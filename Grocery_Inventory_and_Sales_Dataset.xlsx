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ravul\Downloads\OneDrive\Desktop\Data Analysis\Grocery dashboard Excel\"/>
    </mc:Choice>
  </mc:AlternateContent>
  <xr:revisionPtr revIDLastSave="0" documentId="8_{3FA64432-A648-4087-8AFD-8A91A7BFD37B}"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Analysis" sheetId="3" r:id="rId2"/>
    <sheet name="Dashboard" sheetId="4" r:id="rId3"/>
  </sheets>
  <definedNames>
    <definedName name="Slicer_Category">#N/A</definedName>
    <definedName name="Slicer_Expiry_Status">#N/A</definedName>
    <definedName name="Slicer_Reorder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H6" i="3"/>
  <c r="G6"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E6" i="3"/>
  <c r="AA8"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X637" i="1"/>
  <c r="X76" i="1"/>
  <c r="X199" i="1"/>
  <c r="X240" i="1"/>
  <c r="X822" i="1"/>
  <c r="X816" i="1"/>
  <c r="X728" i="1"/>
  <c r="X646" i="1"/>
  <c r="X86" i="1"/>
  <c r="X500" i="1"/>
  <c r="X870" i="1"/>
  <c r="X75" i="1"/>
  <c r="X531" i="1"/>
  <c r="X450" i="1"/>
  <c r="X378" i="1"/>
  <c r="X942" i="1"/>
  <c r="X472" i="1"/>
  <c r="X239" i="1"/>
  <c r="X679" i="1"/>
  <c r="X699" i="1"/>
  <c r="X32" i="1"/>
  <c r="X972" i="1"/>
  <c r="X330" i="1"/>
  <c r="X799" i="1"/>
  <c r="X610" i="1"/>
  <c r="X719" i="1"/>
  <c r="X329" i="1"/>
  <c r="X805" i="1"/>
  <c r="X85" i="1"/>
  <c r="X578" i="1"/>
  <c r="X520" i="1"/>
  <c r="X850" i="1"/>
  <c r="X215" i="1"/>
  <c r="X821" i="1"/>
  <c r="X893" i="1"/>
  <c r="X276" i="1"/>
  <c r="X664" i="1"/>
  <c r="X31" i="1"/>
  <c r="X302" i="1"/>
  <c r="X323" i="1"/>
  <c r="X208" i="1"/>
  <c r="X98" i="1"/>
  <c r="X292" i="1"/>
  <c r="X97" i="1"/>
  <c r="X645" i="1"/>
  <c r="X313" i="1"/>
  <c r="X941" i="1"/>
  <c r="X927" i="1"/>
  <c r="X540" i="1"/>
  <c r="X386" i="1"/>
  <c r="X577" i="1"/>
  <c r="X173" i="1"/>
  <c r="X499" i="1"/>
  <c r="X586" i="1"/>
  <c r="X368" i="1"/>
  <c r="X432" i="1"/>
  <c r="X30" i="1"/>
  <c r="X834" i="1"/>
  <c r="X25" i="1"/>
  <c r="X570" i="1"/>
  <c r="X727" i="1"/>
  <c r="X230" i="1"/>
  <c r="X714" i="1"/>
  <c r="X505" i="1"/>
  <c r="X558" i="1"/>
  <c r="X339" i="1"/>
  <c r="X464" i="1"/>
  <c r="X260" i="1"/>
  <c r="X903" i="1"/>
  <c r="X849" i="1"/>
  <c r="X896" i="1"/>
  <c r="X991" i="1"/>
  <c r="X644" i="1"/>
  <c r="X431" i="1"/>
  <c r="X127" i="1"/>
  <c r="X964" i="1"/>
  <c r="X120" i="1"/>
  <c r="X154" i="1"/>
  <c r="X713" i="1"/>
  <c r="X726" i="1"/>
  <c r="X430" i="1"/>
  <c r="X312" i="1"/>
  <c r="X883" i="1"/>
  <c r="X39" i="1"/>
  <c r="X471" i="1"/>
  <c r="X931" i="1"/>
  <c r="X655" i="1"/>
  <c r="X498" i="1"/>
  <c r="X497" i="1"/>
  <c r="X470" i="1"/>
  <c r="X792" i="1"/>
  <c r="X643" i="1"/>
  <c r="X283" i="1"/>
  <c r="X164" i="1"/>
  <c r="X463" i="1"/>
  <c r="X557" i="1"/>
  <c r="X791" i="1"/>
  <c r="X271" i="1"/>
  <c r="X24" i="1"/>
  <c r="X403" i="1"/>
  <c r="X184" i="1"/>
  <c r="X429" i="1"/>
  <c r="X971" i="1"/>
  <c r="X23" i="1"/>
  <c r="X126" i="1"/>
  <c r="X358" i="1"/>
  <c r="X882" i="1"/>
  <c r="X609" i="1"/>
  <c r="X311" i="1"/>
  <c r="X291" i="1"/>
  <c r="X990" i="1"/>
  <c r="X496" i="1"/>
  <c r="X970" i="1"/>
  <c r="X14" i="1"/>
  <c r="X848" i="1"/>
  <c r="X963" i="1"/>
  <c r="X328" i="1"/>
  <c r="X462" i="1"/>
  <c r="X207" i="1"/>
  <c r="X55" i="1"/>
  <c r="X172" i="1"/>
  <c r="X69" i="1"/>
  <c r="X191" i="1"/>
  <c r="X663" i="1"/>
  <c r="X251" i="1"/>
  <c r="X206" i="1"/>
  <c r="X749" i="1"/>
  <c r="X956" i="1"/>
  <c r="X962" i="1"/>
  <c r="X119" i="1"/>
  <c r="X981" i="1"/>
  <c r="X673" i="1"/>
  <c r="X267" i="1"/>
  <c r="X250" i="1"/>
  <c r="X608" i="1"/>
  <c r="X385" i="1"/>
  <c r="X547" i="1"/>
  <c r="X238" i="1"/>
  <c r="X310" i="1"/>
  <c r="X469" i="1"/>
  <c r="X259" i="1"/>
  <c r="X712" i="1"/>
  <c r="X282" i="1"/>
  <c r="X352" i="1"/>
  <c r="X698" i="1"/>
  <c r="X556" i="1"/>
  <c r="X654" i="1"/>
  <c r="X322" i="1"/>
  <c r="X576" i="1"/>
  <c r="X733" i="1"/>
  <c r="X153" i="1"/>
  <c r="X653" i="1"/>
  <c r="X152" i="1"/>
  <c r="X621" i="1"/>
  <c r="X980" i="1"/>
  <c r="X524" i="1"/>
  <c r="X875" i="1"/>
  <c r="X367" i="1"/>
  <c r="X652" i="1"/>
  <c r="X642" i="1"/>
  <c r="X214" i="1"/>
  <c r="X689" i="1"/>
  <c r="X607" i="1"/>
  <c r="X417" i="1"/>
  <c r="X585" i="1"/>
  <c r="X384" i="1"/>
  <c r="X869" i="1"/>
  <c r="X205" i="1"/>
  <c r="X29" i="1"/>
  <c r="X468" i="1"/>
  <c r="X740" i="1"/>
  <c r="X13" i="1"/>
  <c r="X4" i="1"/>
  <c r="X487" i="1"/>
  <c r="X68" i="1"/>
  <c r="X815" i="1"/>
  <c r="X416" i="1"/>
  <c r="X22" i="1"/>
  <c r="X711" i="1"/>
  <c r="X874" i="1"/>
  <c r="X530" i="1"/>
  <c r="X892" i="1"/>
  <c r="X309" i="1"/>
  <c r="X198" i="1"/>
  <c r="X940" i="1"/>
  <c r="X833" i="1"/>
  <c r="X718" i="1"/>
  <c r="X598" i="1"/>
  <c r="X710" i="1"/>
  <c r="X481" i="1"/>
  <c r="X773" i="1"/>
  <c r="X118" i="1"/>
  <c r="X804" i="1"/>
  <c r="X847" i="1"/>
  <c r="X38" i="1"/>
  <c r="X12" i="1"/>
  <c r="X629" i="1"/>
  <c r="X151" i="1"/>
  <c r="X171" i="1"/>
  <c r="X183" i="1"/>
  <c r="X495" i="1"/>
  <c r="X197" i="1"/>
  <c r="X952" i="1"/>
  <c r="X366" i="1"/>
  <c r="X529" i="1"/>
  <c r="X229" i="1"/>
  <c r="X480" i="1"/>
  <c r="X873" i="1"/>
  <c r="X11" i="1"/>
  <c r="X461" i="1"/>
  <c r="X606" i="1"/>
  <c r="X402" i="1"/>
  <c r="X528" i="1"/>
  <c r="X620" i="1"/>
  <c r="X868" i="1"/>
  <c r="X672" i="1"/>
  <c r="X108" i="1"/>
  <c r="X902" i="1"/>
  <c r="X955" i="1"/>
  <c r="X107" i="1"/>
  <c r="X351" i="1"/>
  <c r="X717" i="1"/>
  <c r="X969" i="1"/>
  <c r="X494" i="1"/>
  <c r="X37" i="1"/>
  <c r="X106" i="1"/>
  <c r="X790" i="1"/>
  <c r="X504" i="1"/>
  <c r="X546" i="1"/>
  <c r="X163" i="1"/>
  <c r="X772" i="1"/>
  <c r="X697" i="1"/>
  <c r="X54" i="1"/>
  <c r="X828" i="1"/>
  <c r="X290" i="1"/>
  <c r="X135" i="1"/>
  <c r="X237" i="1"/>
  <c r="X350" i="1"/>
  <c r="X636" i="1"/>
  <c r="X117" i="1"/>
  <c r="X912" i="1"/>
  <c r="X125" i="1"/>
  <c r="X258" i="1"/>
  <c r="X961" i="1"/>
  <c r="X116" i="1"/>
  <c r="X523" i="1"/>
  <c r="X771" i="1"/>
  <c r="X321" i="1"/>
  <c r="X392" i="1"/>
  <c r="X748" i="1"/>
  <c r="X36" i="1"/>
  <c r="X327" i="1"/>
  <c r="X96" i="1"/>
  <c r="X757" i="1"/>
  <c r="X891" i="1"/>
  <c r="X628" i="1"/>
  <c r="X725" i="1"/>
  <c r="X21" i="1"/>
  <c r="X662" i="1"/>
  <c r="X739" i="1"/>
  <c r="X170" i="1"/>
  <c r="X28" i="1"/>
  <c r="X266" i="1"/>
  <c r="X428" i="1"/>
  <c r="X460" i="1"/>
  <c r="X150" i="1"/>
  <c r="X575" i="1"/>
  <c r="X619" i="1"/>
  <c r="X765" i="1"/>
  <c r="X960" i="1"/>
  <c r="X169" i="1"/>
  <c r="X522" i="1"/>
  <c r="X95" i="1"/>
  <c r="X383" i="1"/>
  <c r="X270" i="1"/>
  <c r="X289" i="1"/>
  <c r="X182" i="1"/>
  <c r="X105" i="1"/>
  <c r="X605" i="1"/>
  <c r="X951" i="1"/>
  <c r="X770" i="1"/>
  <c r="X959" i="1"/>
  <c r="X569" i="1"/>
  <c r="X756" i="1"/>
  <c r="X493" i="1"/>
  <c r="X901" i="1"/>
  <c r="X326" i="1"/>
  <c r="X527" i="1"/>
  <c r="X349" i="1"/>
  <c r="X926" i="1"/>
  <c r="X424" i="1"/>
  <c r="X94" i="1"/>
  <c r="X832" i="1"/>
  <c r="X789" i="1"/>
  <c r="X939" i="1"/>
  <c r="X61" i="1"/>
  <c r="X627" i="1"/>
  <c r="X867" i="1"/>
  <c r="X401" i="1"/>
  <c r="X492" i="1"/>
  <c r="X162" i="1"/>
  <c r="X10" i="1"/>
  <c r="X803" i="1"/>
  <c r="X348" i="1"/>
  <c r="X196" i="1"/>
  <c r="X168" i="1"/>
  <c r="X213" i="1"/>
  <c r="X925" i="1"/>
  <c r="X709" i="1"/>
  <c r="X911" i="1"/>
  <c r="X755" i="1"/>
  <c r="X134" i="1"/>
  <c r="X820" i="1"/>
  <c r="X592" i="1"/>
  <c r="X555" i="1"/>
  <c r="X563" i="1"/>
  <c r="X724" i="1"/>
  <c r="X930" i="1"/>
  <c r="X347" i="1"/>
  <c r="X968" i="1"/>
  <c r="X924" i="1"/>
  <c r="X67" i="1"/>
  <c r="X338" i="1"/>
  <c r="X190" i="1"/>
  <c r="X979" i="1"/>
  <c r="X967" i="1"/>
  <c r="X66" i="1"/>
  <c r="X149" i="1"/>
  <c r="X688" i="1"/>
  <c r="X769" i="1"/>
  <c r="X641" i="1"/>
  <c r="X929" i="1"/>
  <c r="X918" i="1"/>
  <c r="X53" i="1"/>
  <c r="X167" i="1"/>
  <c r="X325" i="1"/>
  <c r="X459" i="1"/>
  <c r="X195" i="1"/>
  <c r="X189" i="1"/>
  <c r="X640" i="1"/>
  <c r="X93" i="1"/>
  <c r="X798" i="1"/>
  <c r="X124" i="1"/>
  <c r="X479" i="1"/>
  <c r="X635" i="1"/>
  <c r="X357" i="1"/>
  <c r="X449" i="1"/>
  <c r="X115" i="1"/>
  <c r="X511" i="1"/>
  <c r="X35" i="1"/>
  <c r="X819" i="1"/>
  <c r="X337" i="1"/>
  <c r="X844" i="1"/>
  <c r="X448" i="1"/>
  <c r="X764" i="1"/>
  <c r="X440" i="1"/>
  <c r="X415" i="1"/>
  <c r="X301" i="1"/>
  <c r="X797" i="1"/>
  <c r="X486" i="1"/>
  <c r="X249" i="1"/>
  <c r="X989" i="1"/>
  <c r="X80" i="1"/>
  <c r="X604" i="1"/>
  <c r="X584" i="1"/>
  <c r="X568" i="1"/>
  <c r="X732" i="1"/>
  <c r="X288" i="1"/>
  <c r="X671" i="1"/>
  <c r="X860" i="1"/>
  <c r="X414" i="1"/>
  <c r="X84" i="1"/>
  <c r="X843" i="1"/>
  <c r="X478" i="1"/>
  <c r="X60" i="1"/>
  <c r="X324" i="1"/>
  <c r="X842" i="1"/>
  <c r="X356" i="1"/>
  <c r="X768" i="1"/>
  <c r="X519" i="1"/>
  <c r="X188" i="1"/>
  <c r="X890" i="1"/>
  <c r="X900" i="1"/>
  <c r="X228" i="1"/>
  <c r="X248" i="1"/>
  <c r="X269" i="1"/>
  <c r="X227" i="1"/>
  <c r="X696" i="1"/>
  <c r="X626" i="1"/>
  <c r="X510" i="1"/>
  <c r="X661" i="1"/>
  <c r="X780" i="1"/>
  <c r="X618" i="1"/>
  <c r="X788" i="1"/>
  <c r="X413" i="1"/>
  <c r="X377" i="1"/>
  <c r="X65" i="1"/>
  <c r="X554" i="1"/>
  <c r="X74" i="1"/>
  <c r="X958" i="1"/>
  <c r="X34" i="1"/>
  <c r="X382" i="1"/>
  <c r="X439" i="1"/>
  <c r="X708" i="1"/>
  <c r="X458" i="1"/>
  <c r="X553" i="1"/>
  <c r="X20" i="1"/>
  <c r="X226" i="1"/>
  <c r="X64" i="1"/>
  <c r="X166" i="1"/>
  <c r="X910" i="1"/>
  <c r="X225" i="1"/>
  <c r="X396" i="1"/>
  <c r="X859" i="1"/>
  <c r="X257" i="1"/>
  <c r="X73" i="1"/>
  <c r="X617" i="1"/>
  <c r="X336" i="1"/>
  <c r="X224" i="1"/>
  <c r="X591" i="1"/>
  <c r="X365" i="1"/>
  <c r="X376" i="1"/>
  <c r="X355" i="1"/>
  <c r="X545" i="1"/>
  <c r="X412" i="1"/>
  <c r="X978" i="1"/>
  <c r="X707" i="1"/>
  <c r="X754" i="1"/>
  <c r="X9" i="1"/>
  <c r="X148" i="1"/>
  <c r="X52" i="1"/>
  <c r="X256" i="1"/>
  <c r="X763" i="1"/>
  <c r="X320" i="1"/>
  <c r="X841" i="1"/>
  <c r="X634" i="1"/>
  <c r="X411" i="1"/>
  <c r="X695" i="1"/>
  <c r="X491" i="1"/>
  <c r="X223" i="1"/>
  <c r="X490" i="1"/>
  <c r="X723" i="1"/>
  <c r="X787" i="1"/>
  <c r="X779" i="1"/>
  <c r="X633" i="1"/>
  <c r="X423" i="1"/>
  <c r="X827" i="1"/>
  <c r="X678" i="1"/>
  <c r="X364" i="1"/>
  <c r="X222" i="1"/>
  <c r="X687" i="1"/>
  <c r="X51" i="1"/>
  <c r="X221" i="1"/>
  <c r="X923" i="1"/>
  <c r="X335" i="1"/>
  <c r="X881" i="1"/>
  <c r="X747" i="1"/>
  <c r="X950" i="1"/>
  <c r="X83" i="1"/>
  <c r="X236" i="1"/>
  <c r="X410" i="1"/>
  <c r="X438" i="1"/>
  <c r="X457" i="1"/>
  <c r="X485" i="1"/>
  <c r="X917" i="1"/>
  <c r="X3" i="1"/>
  <c r="X786" i="1"/>
  <c r="X275" i="1"/>
  <c r="X194" i="1"/>
  <c r="X562" i="1"/>
  <c r="X437" i="1"/>
  <c r="X988" i="1"/>
  <c r="X300" i="1"/>
  <c r="X178" i="1"/>
  <c r="X204" i="1"/>
  <c r="X203" i="1"/>
  <c r="X8" i="1"/>
  <c r="X677" i="1"/>
  <c r="X660" i="1"/>
  <c r="X104" i="1"/>
  <c r="X346" i="1"/>
  <c r="X785" i="1"/>
  <c r="X938" i="1"/>
  <c r="X686" i="1"/>
  <c r="X738" i="1"/>
  <c r="X567" i="1"/>
  <c r="X814" i="1"/>
  <c r="X590" i="1"/>
  <c r="X193" i="1"/>
  <c r="X858" i="1"/>
  <c r="X319" i="1"/>
  <c r="X409" i="1"/>
  <c r="X287" i="1"/>
  <c r="X19" i="1"/>
  <c r="X784" i="1"/>
  <c r="X977" i="1"/>
  <c r="X909" i="1"/>
  <c r="X831" i="1"/>
  <c r="X561" i="1"/>
  <c r="X50" i="1"/>
  <c r="X503" i="1"/>
  <c r="X212" i="1"/>
  <c r="X651" i="1"/>
  <c r="X161" i="1"/>
  <c r="X949" i="1"/>
  <c r="X92" i="1"/>
  <c r="X247" i="1"/>
  <c r="X813" i="1"/>
  <c r="X603" i="1"/>
  <c r="X762" i="1"/>
  <c r="X908" i="1"/>
  <c r="X7" i="1"/>
  <c r="X220" i="1"/>
  <c r="X59" i="1"/>
  <c r="X345" i="1"/>
  <c r="X72" i="1"/>
  <c r="X948" i="1"/>
  <c r="X381" i="1"/>
  <c r="X318" i="1"/>
  <c r="X895" i="1"/>
  <c r="X363" i="1"/>
  <c r="X589" i="1"/>
  <c r="X219" i="1"/>
  <c r="X447" i="1"/>
  <c r="X246" i="1"/>
  <c r="X544" i="1"/>
  <c r="X767" i="1"/>
  <c r="X286" i="1"/>
  <c r="X296" i="1"/>
  <c r="X477" i="1"/>
  <c r="X899" i="1"/>
  <c r="X746" i="1"/>
  <c r="X255" i="1"/>
  <c r="X354" i="1"/>
  <c r="X916" i="1"/>
  <c r="X976" i="1"/>
  <c r="X18" i="1"/>
  <c r="X907" i="1"/>
  <c r="X408" i="1"/>
  <c r="X375" i="1"/>
  <c r="X731" i="1"/>
  <c r="X706" i="1"/>
  <c r="X274" i="1"/>
  <c r="X694" i="1"/>
  <c r="X334" i="1"/>
  <c r="X160" i="1"/>
  <c r="X518" i="1"/>
  <c r="X737" i="1"/>
  <c r="X517" i="1"/>
  <c r="X49" i="1"/>
  <c r="X866" i="1"/>
  <c r="X722" i="1"/>
  <c r="X889" i="1"/>
  <c r="X802" i="1"/>
  <c r="X187" i="1"/>
  <c r="X937" i="1"/>
  <c r="X954" i="1"/>
  <c r="X58" i="1"/>
  <c r="X543" i="1"/>
  <c r="X639" i="1"/>
  <c r="X147" i="1"/>
  <c r="X344" i="1"/>
  <c r="X516" i="1"/>
  <c r="X17" i="1"/>
  <c r="X103" i="1"/>
  <c r="X456" i="1"/>
  <c r="X102" i="1"/>
  <c r="X539" i="1"/>
  <c r="X123" i="1"/>
  <c r="X177" i="1"/>
  <c r="X235" i="1"/>
  <c r="X857" i="1"/>
  <c r="X79" i="1"/>
  <c r="X846" i="1"/>
  <c r="X333" i="1"/>
  <c r="X906" i="1"/>
  <c r="X975" i="1"/>
  <c r="X705" i="1"/>
  <c r="X676" i="1"/>
  <c r="X574" i="1"/>
  <c r="X745" i="1"/>
  <c r="X181" i="1"/>
  <c r="X234" i="1"/>
  <c r="X391" i="1"/>
  <c r="X865" i="1"/>
  <c r="X753" i="1"/>
  <c r="X744" i="1"/>
  <c r="X295" i="1"/>
  <c r="X812" i="1"/>
  <c r="X427" i="1"/>
  <c r="X783" i="1"/>
  <c r="X632" i="1"/>
  <c r="X455" i="1"/>
  <c r="X730" i="1"/>
  <c r="X743" i="1"/>
  <c r="X265" i="1"/>
  <c r="X146" i="1"/>
  <c r="X343" i="1"/>
  <c r="X631" i="1"/>
  <c r="X281" i="1"/>
  <c r="X840" i="1"/>
  <c r="X953" i="1"/>
  <c r="X542" i="1"/>
  <c r="X583" i="1"/>
  <c r="X27" i="1"/>
  <c r="X268" i="1"/>
  <c r="X176" i="1"/>
  <c r="X845" i="1"/>
  <c r="X390" i="1"/>
  <c r="X974" i="1"/>
  <c r="X650" i="1"/>
  <c r="X670" i="1"/>
  <c r="X966" i="1"/>
  <c r="X294" i="1"/>
  <c r="X446" i="1"/>
  <c r="X445" i="1"/>
  <c r="X444" i="1"/>
  <c r="X395" i="1"/>
  <c r="X502" i="1"/>
  <c r="X218" i="1"/>
  <c r="X721" i="1"/>
  <c r="X436" i="1"/>
  <c r="X716" i="1"/>
  <c r="X766" i="1"/>
  <c r="X602" i="1"/>
  <c r="X538" i="1"/>
  <c r="X965" i="1"/>
  <c r="X63" i="1"/>
  <c r="X273" i="1"/>
  <c r="X299" i="1"/>
  <c r="X782" i="1"/>
  <c r="X915" i="1"/>
  <c r="X380" i="1"/>
  <c r="X374" i="1"/>
  <c r="X616" i="1"/>
  <c r="X894" i="1"/>
  <c r="X91" i="1"/>
  <c r="X82" i="1"/>
  <c r="X685" i="1"/>
  <c r="X264" i="1"/>
  <c r="X947" i="1"/>
  <c r="X830" i="1"/>
  <c r="X373" i="1"/>
  <c r="X856" i="1"/>
  <c r="X362" i="1"/>
  <c r="X233" i="1"/>
  <c r="X801" i="1"/>
  <c r="X761" i="1"/>
  <c r="X467" i="1"/>
  <c r="X552" i="1"/>
  <c r="X880" i="1"/>
  <c r="X987" i="1"/>
  <c r="X826" i="1"/>
  <c r="X361" i="1"/>
  <c r="X704" i="1"/>
  <c r="X659" i="1"/>
  <c r="X211" i="1"/>
  <c r="X537" i="1"/>
  <c r="X536" i="1"/>
  <c r="X872" i="1"/>
  <c r="X936" i="1"/>
  <c r="X280" i="1"/>
  <c r="X426" i="1"/>
  <c r="X159" i="1"/>
  <c r="X78" i="1"/>
  <c r="X407" i="1"/>
  <c r="X48" i="1"/>
  <c r="X922" i="1"/>
  <c r="X476" i="1"/>
  <c r="X515" i="1"/>
  <c r="X245" i="1"/>
  <c r="X400" i="1"/>
  <c r="X406" i="1"/>
  <c r="X864" i="1"/>
  <c r="X180" i="1"/>
  <c r="X114" i="1"/>
  <c r="X811" i="1"/>
  <c r="X466" i="1"/>
  <c r="X145" i="1"/>
  <c r="X405" i="1"/>
  <c r="X372" i="1"/>
  <c r="X435" i="1"/>
  <c r="X560" i="1"/>
  <c r="X244" i="1"/>
  <c r="X871" i="1"/>
  <c r="X272" i="1"/>
  <c r="X509" i="1"/>
  <c r="X825" i="1"/>
  <c r="X133" i="1"/>
  <c r="X454" i="1"/>
  <c r="X422" i="1"/>
  <c r="X217" i="1"/>
  <c r="X905" i="1"/>
  <c r="X26" i="1"/>
  <c r="X16" i="1"/>
  <c r="X888" i="1"/>
  <c r="X601" i="1"/>
  <c r="X973" i="1"/>
  <c r="X693" i="1"/>
  <c r="X132" i="1"/>
  <c r="X131" i="1"/>
  <c r="X630" i="1"/>
  <c r="X475" i="1"/>
  <c r="X443" i="1"/>
  <c r="X379" i="1"/>
  <c r="X863" i="1"/>
  <c r="X33" i="1"/>
  <c r="X317" i="1"/>
  <c r="X316" i="1"/>
  <c r="X898" i="1"/>
  <c r="X879" i="1"/>
  <c r="X465" i="1"/>
  <c r="X855" i="1"/>
  <c r="X308" i="1"/>
  <c r="X625" i="1"/>
  <c r="X582" i="1"/>
  <c r="X186" i="1"/>
  <c r="X165" i="1"/>
  <c r="X675" i="1"/>
  <c r="X752" i="1"/>
  <c r="X597" i="1"/>
  <c r="X862" i="1"/>
  <c r="X404" i="1"/>
  <c r="X47" i="1"/>
  <c r="X796" i="1"/>
  <c r="X210" i="1"/>
  <c r="X243" i="1"/>
  <c r="X144" i="1"/>
  <c r="X624" i="1"/>
  <c r="X559" i="1"/>
  <c r="X389" i="1"/>
  <c r="X669" i="1"/>
  <c r="X736" i="1"/>
  <c r="X839" i="1"/>
  <c r="X158" i="1"/>
  <c r="X143" i="1"/>
  <c r="X175" i="1"/>
  <c r="X263" i="1"/>
  <c r="X508" i="1"/>
  <c r="X615" i="1"/>
  <c r="X986" i="1"/>
  <c r="X242" i="1"/>
  <c r="X90" i="1"/>
  <c r="X985" i="1"/>
  <c r="X342" i="1"/>
  <c r="X541" i="1"/>
  <c r="X649" i="1"/>
  <c r="X332" i="1"/>
  <c r="X453" i="1"/>
  <c r="X254" i="1"/>
  <c r="X6" i="1"/>
  <c r="X399" i="1"/>
  <c r="X315" i="1"/>
  <c r="X130" i="1"/>
  <c r="X484" i="1"/>
  <c r="X142" i="1"/>
  <c r="X501" i="1"/>
  <c r="X157" i="1"/>
  <c r="X46" i="1"/>
  <c r="X514" i="1"/>
  <c r="X45" i="1"/>
  <c r="X314" i="1"/>
  <c r="X507" i="1"/>
  <c r="X388" i="1"/>
  <c r="X141" i="1"/>
  <c r="X101" i="1"/>
  <c r="X946" i="1"/>
  <c r="X887" i="1"/>
  <c r="X566" i="1"/>
  <c r="X129" i="1"/>
  <c r="X202" i="1"/>
  <c r="X526" i="1"/>
  <c r="X201" i="1"/>
  <c r="X421" i="1"/>
  <c r="X921" i="1"/>
  <c r="X156" i="1"/>
  <c r="X581" i="1"/>
  <c r="X824" i="1"/>
  <c r="X838" i="1"/>
  <c r="X945" i="1"/>
  <c r="X648" i="1"/>
  <c r="X420" i="1"/>
  <c r="X341" i="1"/>
  <c r="X580" i="1"/>
  <c r="X596" i="1"/>
  <c r="X307" i="1"/>
  <c r="X573" i="1"/>
  <c r="X751" i="1"/>
  <c r="X703" i="1"/>
  <c r="X525" i="1"/>
  <c r="X760" i="1"/>
  <c r="X113" i="1"/>
  <c r="X452" i="1"/>
  <c r="X489" i="1"/>
  <c r="X829" i="1"/>
  <c r="X702" i="1"/>
  <c r="X253" i="1"/>
  <c r="X398" i="1"/>
  <c r="X658" i="1"/>
  <c r="X565" i="1"/>
  <c r="X920" i="1"/>
  <c r="X944" i="1"/>
  <c r="X810" i="1"/>
  <c r="X935" i="1"/>
  <c r="X81" i="1"/>
  <c r="X759" i="1"/>
  <c r="X279" i="1"/>
  <c r="X878" i="1"/>
  <c r="X44" i="1"/>
  <c r="X71" i="1"/>
  <c r="X232" i="1"/>
  <c r="X15" i="1"/>
  <c r="X442" i="1"/>
  <c r="X588" i="1"/>
  <c r="X298" i="1"/>
  <c r="X434" i="1"/>
  <c r="X904" i="1"/>
  <c r="X750" i="1"/>
  <c r="X957" i="1"/>
  <c r="X360" i="1"/>
  <c r="X551" i="1"/>
  <c r="X854" i="1"/>
  <c r="X623" i="1"/>
  <c r="X62" i="1"/>
  <c r="X122" i="1"/>
  <c r="X614" i="1"/>
  <c r="X112" i="1"/>
  <c r="X781" i="1"/>
  <c r="X483" i="1"/>
  <c r="X359" i="1"/>
  <c r="X262" i="1"/>
  <c r="X231" i="1"/>
  <c r="X914" i="1"/>
  <c r="X897" i="1"/>
  <c r="X394" i="1"/>
  <c r="X371" i="1"/>
  <c r="X306" i="1"/>
  <c r="X886" i="1"/>
  <c r="X853" i="1"/>
  <c r="X720" i="1"/>
  <c r="X795" i="1"/>
  <c r="X809" i="1"/>
  <c r="X778" i="1"/>
  <c r="X441" i="1"/>
  <c r="X278" i="1"/>
  <c r="X684" i="1"/>
  <c r="X89" i="1"/>
  <c r="X88" i="1"/>
  <c r="X535" i="1"/>
  <c r="X735" i="1"/>
  <c r="X800" i="1"/>
  <c r="X885" i="1"/>
  <c r="X701" i="1"/>
  <c r="X613" i="1"/>
  <c r="X185" i="1"/>
  <c r="X884" i="1"/>
  <c r="X419" i="1"/>
  <c r="X111" i="1"/>
  <c r="X397" i="1"/>
  <c r="X140" i="1"/>
  <c r="X70" i="1"/>
  <c r="X200" i="1"/>
  <c r="X216" i="1"/>
  <c r="X928" i="1"/>
  <c r="X474" i="1"/>
  <c r="X668" i="1"/>
  <c r="X808" i="1"/>
  <c r="X667" i="1"/>
  <c r="X43" i="1"/>
  <c r="X837" i="1"/>
  <c r="X692" i="1"/>
  <c r="X57" i="1"/>
  <c r="X647" i="1"/>
  <c r="X683" i="1"/>
  <c r="X700" i="1"/>
  <c r="X110" i="1"/>
  <c r="X77" i="1"/>
  <c r="X277" i="1"/>
  <c r="X261" i="1"/>
  <c r="X42" i="1"/>
  <c r="X777" i="1"/>
  <c r="X657" i="1"/>
  <c r="X521" i="1"/>
  <c r="X861" i="1"/>
  <c r="X513" i="1"/>
  <c r="X5" i="1"/>
  <c r="X913" i="1"/>
  <c r="X293" i="1"/>
  <c r="X139" i="1"/>
  <c r="X742" i="1"/>
  <c r="X572" i="1"/>
  <c r="X984" i="1"/>
  <c r="X734" i="1"/>
  <c r="X488" i="1"/>
  <c r="X393" i="1"/>
  <c r="X370" i="1"/>
  <c r="X622" i="1"/>
  <c r="X241" i="1"/>
  <c r="X252" i="1"/>
  <c r="X128" i="1"/>
  <c r="X656" i="1"/>
  <c r="X852" i="1"/>
  <c r="X305" i="1"/>
  <c r="X138" i="1"/>
  <c r="X934" i="1"/>
  <c r="X776" i="1"/>
  <c r="X818" i="1"/>
  <c r="X297" i="1"/>
  <c r="X674" i="1"/>
  <c r="X179" i="1"/>
  <c r="X285" i="1"/>
  <c r="X715" i="1"/>
  <c r="X56" i="1"/>
  <c r="X550" i="1"/>
  <c r="X775" i="1"/>
  <c r="X600" i="1"/>
  <c r="X87" i="1"/>
  <c r="X473" i="1"/>
  <c r="X877" i="1"/>
  <c r="X369" i="1"/>
  <c r="X155" i="1"/>
  <c r="X564" i="1"/>
  <c r="X304" i="1"/>
  <c r="X943" i="1"/>
  <c r="X100" i="1"/>
  <c r="X741" i="1"/>
  <c r="X595" i="1"/>
  <c r="X666" i="1"/>
  <c r="X121" i="1"/>
  <c r="X209" i="1"/>
  <c r="X594" i="1"/>
  <c r="X774" i="1"/>
  <c r="X612" i="1"/>
  <c r="X807" i="1"/>
  <c r="X983" i="1"/>
  <c r="X433" i="1"/>
  <c r="X919" i="1"/>
  <c r="X682" i="1"/>
  <c r="X611" i="1"/>
  <c r="X794" i="1"/>
  <c r="X806" i="1"/>
  <c r="X549" i="1"/>
  <c r="X506" i="1"/>
  <c r="X137" i="1"/>
  <c r="X534" i="1"/>
  <c r="X571" i="1"/>
  <c r="X174" i="1"/>
  <c r="X99" i="1"/>
  <c r="X512" i="1"/>
  <c r="X548" i="1"/>
  <c r="X793" i="1"/>
  <c r="X982" i="1"/>
  <c r="X681" i="1"/>
  <c r="X836" i="1"/>
  <c r="X599" i="1"/>
  <c r="X451" i="1"/>
  <c r="X482" i="1"/>
  <c r="X593" i="1"/>
  <c r="X680" i="1"/>
  <c r="X303" i="1"/>
  <c r="X665" i="1"/>
  <c r="X587" i="1"/>
  <c r="X579" i="1"/>
  <c r="X353" i="1"/>
  <c r="X729" i="1"/>
  <c r="X638" i="1"/>
  <c r="X192" i="1"/>
  <c r="X425" i="1"/>
  <c r="X876" i="1"/>
  <c r="X817" i="1"/>
  <c r="X933" i="1"/>
  <c r="X41" i="1"/>
  <c r="X851" i="1"/>
  <c r="X136" i="1"/>
  <c r="X387" i="1"/>
  <c r="X823" i="1"/>
  <c r="X691" i="1"/>
  <c r="X758" i="1"/>
  <c r="X932" i="1"/>
  <c r="X533" i="1"/>
  <c r="X331" i="1"/>
  <c r="X418" i="1"/>
  <c r="X340" i="1"/>
  <c r="X284" i="1"/>
  <c r="X2" i="1"/>
  <c r="X690" i="1"/>
  <c r="X532" i="1"/>
  <c r="X109" i="1"/>
  <c r="X40" i="1"/>
  <c r="X835" i="1"/>
  <c r="V835" i="1"/>
  <c r="V40" i="1"/>
  <c r="V109" i="1"/>
  <c r="V532" i="1"/>
  <c r="V690" i="1"/>
  <c r="V2" i="1"/>
  <c r="V284" i="1"/>
  <c r="V340" i="1"/>
  <c r="V418" i="1"/>
  <c r="V331" i="1"/>
  <c r="V533" i="1"/>
  <c r="V932" i="1"/>
  <c r="V758" i="1"/>
  <c r="V691" i="1"/>
  <c r="V823" i="1"/>
  <c r="V387" i="1"/>
  <c r="V136" i="1"/>
  <c r="V851" i="1"/>
  <c r="V41" i="1"/>
  <c r="V933" i="1"/>
  <c r="V817" i="1"/>
  <c r="V876" i="1"/>
  <c r="V425" i="1"/>
  <c r="V192" i="1"/>
  <c r="V638" i="1"/>
  <c r="V729" i="1"/>
  <c r="V353" i="1"/>
  <c r="V579" i="1"/>
  <c r="V587" i="1"/>
  <c r="V665" i="1"/>
  <c r="V303" i="1"/>
  <c r="V680" i="1"/>
  <c r="V593" i="1"/>
  <c r="V482" i="1"/>
  <c r="V451" i="1"/>
  <c r="V599" i="1"/>
  <c r="V836" i="1"/>
  <c r="V681" i="1"/>
  <c r="V982" i="1"/>
  <c r="V793" i="1"/>
  <c r="V548" i="1"/>
  <c r="V512" i="1"/>
  <c r="V99" i="1"/>
  <c r="V174" i="1"/>
  <c r="V571" i="1"/>
  <c r="V534" i="1"/>
  <c r="V137" i="1"/>
  <c r="V506" i="1"/>
  <c r="V549" i="1"/>
  <c r="V806" i="1"/>
  <c r="V794" i="1"/>
  <c r="V611" i="1"/>
  <c r="V682" i="1"/>
  <c r="V919" i="1"/>
  <c r="V433" i="1"/>
  <c r="V983" i="1"/>
  <c r="V807" i="1"/>
  <c r="V612" i="1"/>
  <c r="V774" i="1"/>
  <c r="V594" i="1"/>
  <c r="V209" i="1"/>
  <c r="V121" i="1"/>
  <c r="V666" i="1"/>
  <c r="V595" i="1"/>
  <c r="V741" i="1"/>
  <c r="V100" i="1"/>
  <c r="V943" i="1"/>
  <c r="V304" i="1"/>
  <c r="V564" i="1"/>
  <c r="V155" i="1"/>
  <c r="V369" i="1"/>
  <c r="V877" i="1"/>
  <c r="V473" i="1"/>
  <c r="V87" i="1"/>
  <c r="V600" i="1"/>
  <c r="V775" i="1"/>
  <c r="V550" i="1"/>
  <c r="V56" i="1"/>
  <c r="V715" i="1"/>
  <c r="V285" i="1"/>
  <c r="V179" i="1"/>
  <c r="V674" i="1"/>
  <c r="V297" i="1"/>
  <c r="V818" i="1"/>
  <c r="V776" i="1"/>
  <c r="V934" i="1"/>
  <c r="V138" i="1"/>
  <c r="V305" i="1"/>
  <c r="V852" i="1"/>
  <c r="V656" i="1"/>
  <c r="V128" i="1"/>
  <c r="V252" i="1"/>
  <c r="V241" i="1"/>
  <c r="V622" i="1"/>
  <c r="V370" i="1"/>
  <c r="V393" i="1"/>
  <c r="V488" i="1"/>
  <c r="V734" i="1"/>
  <c r="V984" i="1"/>
  <c r="V572" i="1"/>
  <c r="V742" i="1"/>
  <c r="V139" i="1"/>
  <c r="V293" i="1"/>
  <c r="V913" i="1"/>
  <c r="V5" i="1"/>
  <c r="V513" i="1"/>
  <c r="V861" i="1"/>
  <c r="V521" i="1"/>
  <c r="V657" i="1"/>
  <c r="V777" i="1"/>
  <c r="V42" i="1"/>
  <c r="V261" i="1"/>
  <c r="V277" i="1"/>
  <c r="V77" i="1"/>
  <c r="V110" i="1"/>
  <c r="V700" i="1"/>
  <c r="V683" i="1"/>
  <c r="V647" i="1"/>
  <c r="V57" i="1"/>
  <c r="V692" i="1"/>
  <c r="V837" i="1"/>
  <c r="V43" i="1"/>
  <c r="V667" i="1"/>
  <c r="V808" i="1"/>
  <c r="V668" i="1"/>
  <c r="V474" i="1"/>
  <c r="V928" i="1"/>
  <c r="V216" i="1"/>
  <c r="V200" i="1"/>
  <c r="V70" i="1"/>
  <c r="V140" i="1"/>
  <c r="V397" i="1"/>
  <c r="V111" i="1"/>
  <c r="V419" i="1"/>
  <c r="V884" i="1"/>
  <c r="V185" i="1"/>
  <c r="V613" i="1"/>
  <c r="V701" i="1"/>
  <c r="V885" i="1"/>
  <c r="V800" i="1"/>
  <c r="V735" i="1"/>
  <c r="V535" i="1"/>
  <c r="V88" i="1"/>
  <c r="V89" i="1"/>
  <c r="V684" i="1"/>
  <c r="V278" i="1"/>
  <c r="V441" i="1"/>
  <c r="V778" i="1"/>
  <c r="V809" i="1"/>
  <c r="V795" i="1"/>
  <c r="V720" i="1"/>
  <c r="V853" i="1"/>
  <c r="V886" i="1"/>
  <c r="V306" i="1"/>
  <c r="V371" i="1"/>
  <c r="V394" i="1"/>
  <c r="V897" i="1"/>
  <c r="V914" i="1"/>
  <c r="V231" i="1"/>
  <c r="V262" i="1"/>
  <c r="V359" i="1"/>
  <c r="V483" i="1"/>
  <c r="V781" i="1"/>
  <c r="V112" i="1"/>
  <c r="V614" i="1"/>
  <c r="V122" i="1"/>
  <c r="V62" i="1"/>
  <c r="V623" i="1"/>
  <c r="V854" i="1"/>
  <c r="V551" i="1"/>
  <c r="V360" i="1"/>
  <c r="V957" i="1"/>
  <c r="V750" i="1"/>
  <c r="V904" i="1"/>
  <c r="V434" i="1"/>
  <c r="V298" i="1"/>
  <c r="V588" i="1"/>
  <c r="V442" i="1"/>
  <c r="V15" i="1"/>
  <c r="V232" i="1"/>
  <c r="V71" i="1"/>
  <c r="V44" i="1"/>
  <c r="V878" i="1"/>
  <c r="V279" i="1"/>
  <c r="V759" i="1"/>
  <c r="V81" i="1"/>
  <c r="V935" i="1"/>
  <c r="V810" i="1"/>
  <c r="V944" i="1"/>
  <c r="V920" i="1"/>
  <c r="V565" i="1"/>
  <c r="V658" i="1"/>
  <c r="V398" i="1"/>
  <c r="V253" i="1"/>
  <c r="V702" i="1"/>
  <c r="V829" i="1"/>
  <c r="V489" i="1"/>
  <c r="V452" i="1"/>
  <c r="V113" i="1"/>
  <c r="V760" i="1"/>
  <c r="V525" i="1"/>
  <c r="V703" i="1"/>
  <c r="V751" i="1"/>
  <c r="V573" i="1"/>
  <c r="V307" i="1"/>
  <c r="V596" i="1"/>
  <c r="V580" i="1"/>
  <c r="V341" i="1"/>
  <c r="V420" i="1"/>
  <c r="V648" i="1"/>
  <c r="V945" i="1"/>
  <c r="V838" i="1"/>
  <c r="V824" i="1"/>
  <c r="V581" i="1"/>
  <c r="V156" i="1"/>
  <c r="V921" i="1"/>
  <c r="V421" i="1"/>
  <c r="V201" i="1"/>
  <c r="V526" i="1"/>
  <c r="V202" i="1"/>
  <c r="V129" i="1"/>
  <c r="V566" i="1"/>
  <c r="V887" i="1"/>
  <c r="V946" i="1"/>
  <c r="V101" i="1"/>
  <c r="V141" i="1"/>
  <c r="V388" i="1"/>
  <c r="V507" i="1"/>
  <c r="V314" i="1"/>
  <c r="V45" i="1"/>
  <c r="V514" i="1"/>
  <c r="V46" i="1"/>
  <c r="V157" i="1"/>
  <c r="V501" i="1"/>
  <c r="V142" i="1"/>
  <c r="V484" i="1"/>
  <c r="V130" i="1"/>
  <c r="V315" i="1"/>
  <c r="V399" i="1"/>
  <c r="V6" i="1"/>
  <c r="V254" i="1"/>
  <c r="V453" i="1"/>
  <c r="V332" i="1"/>
  <c r="V649" i="1"/>
  <c r="V541" i="1"/>
  <c r="V342" i="1"/>
  <c r="V985" i="1"/>
  <c r="V90" i="1"/>
  <c r="V242" i="1"/>
  <c r="V986" i="1"/>
  <c r="V615" i="1"/>
  <c r="V508" i="1"/>
  <c r="V263" i="1"/>
  <c r="V175" i="1"/>
  <c r="V143" i="1"/>
  <c r="V158" i="1"/>
  <c r="V839" i="1"/>
  <c r="V736" i="1"/>
  <c r="V669" i="1"/>
  <c r="V389" i="1"/>
  <c r="V559" i="1"/>
  <c r="V624" i="1"/>
  <c r="V144" i="1"/>
  <c r="V243" i="1"/>
  <c r="V210" i="1"/>
  <c r="V796" i="1"/>
  <c r="V47" i="1"/>
  <c r="V404" i="1"/>
  <c r="V862" i="1"/>
  <c r="V597" i="1"/>
  <c r="V752" i="1"/>
  <c r="V675" i="1"/>
  <c r="V165" i="1"/>
  <c r="V186" i="1"/>
  <c r="V582" i="1"/>
  <c r="V625" i="1"/>
  <c r="V308" i="1"/>
  <c r="V855" i="1"/>
  <c r="V465" i="1"/>
  <c r="V879" i="1"/>
  <c r="V898" i="1"/>
  <c r="V316" i="1"/>
  <c r="V317" i="1"/>
  <c r="V33" i="1"/>
  <c r="V863" i="1"/>
  <c r="V379" i="1"/>
  <c r="V443" i="1"/>
  <c r="V475" i="1"/>
  <c r="V630" i="1"/>
  <c r="V131" i="1"/>
  <c r="V132" i="1"/>
  <c r="V693" i="1"/>
  <c r="V973" i="1"/>
  <c r="V601" i="1"/>
  <c r="V888" i="1"/>
  <c r="V16" i="1"/>
  <c r="V26" i="1"/>
  <c r="V905" i="1"/>
  <c r="V217" i="1"/>
  <c r="V422" i="1"/>
  <c r="V454" i="1"/>
  <c r="V133" i="1"/>
  <c r="V825" i="1"/>
  <c r="V509" i="1"/>
  <c r="V272" i="1"/>
  <c r="V871" i="1"/>
  <c r="V244" i="1"/>
  <c r="V560" i="1"/>
  <c r="V435" i="1"/>
  <c r="V372" i="1"/>
  <c r="V405" i="1"/>
  <c r="V145" i="1"/>
  <c r="V466" i="1"/>
  <c r="V811" i="1"/>
  <c r="V114" i="1"/>
  <c r="V180" i="1"/>
  <c r="V864" i="1"/>
  <c r="V406" i="1"/>
  <c r="V400" i="1"/>
  <c r="V245" i="1"/>
  <c r="V515" i="1"/>
  <c r="V476" i="1"/>
  <c r="V922" i="1"/>
  <c r="V48" i="1"/>
  <c r="V407" i="1"/>
  <c r="V78" i="1"/>
  <c r="V159" i="1"/>
  <c r="V426" i="1"/>
  <c r="V280" i="1"/>
  <c r="V936" i="1"/>
  <c r="V872" i="1"/>
  <c r="V536" i="1"/>
  <c r="V537" i="1"/>
  <c r="V211" i="1"/>
  <c r="V659" i="1"/>
  <c r="V704" i="1"/>
  <c r="V361" i="1"/>
  <c r="V826" i="1"/>
  <c r="V987" i="1"/>
  <c r="V880" i="1"/>
  <c r="V552" i="1"/>
  <c r="V467" i="1"/>
  <c r="V761" i="1"/>
  <c r="V801" i="1"/>
  <c r="V233" i="1"/>
  <c r="V362" i="1"/>
  <c r="V856" i="1"/>
  <c r="V373" i="1"/>
  <c r="V830" i="1"/>
  <c r="V947" i="1"/>
  <c r="V264" i="1"/>
  <c r="V685" i="1"/>
  <c r="V82" i="1"/>
  <c r="V91" i="1"/>
  <c r="V894" i="1"/>
  <c r="V616" i="1"/>
  <c r="V374" i="1"/>
  <c r="V380" i="1"/>
  <c r="V915" i="1"/>
  <c r="V782" i="1"/>
  <c r="V299" i="1"/>
  <c r="V273" i="1"/>
  <c r="V63" i="1"/>
  <c r="V965" i="1"/>
  <c r="V538" i="1"/>
  <c r="V602" i="1"/>
  <c r="V766" i="1"/>
  <c r="V716" i="1"/>
  <c r="V436" i="1"/>
  <c r="V721" i="1"/>
  <c r="V218" i="1"/>
  <c r="V502" i="1"/>
  <c r="V395" i="1"/>
  <c r="V444" i="1"/>
  <c r="V445" i="1"/>
  <c r="V446" i="1"/>
  <c r="V294" i="1"/>
  <c r="V966" i="1"/>
  <c r="V670" i="1"/>
  <c r="V650" i="1"/>
  <c r="V974" i="1"/>
  <c r="V390" i="1"/>
  <c r="V845" i="1"/>
  <c r="V176" i="1"/>
  <c r="V268" i="1"/>
  <c r="V27" i="1"/>
  <c r="V583" i="1"/>
  <c r="V542" i="1"/>
  <c r="V953" i="1"/>
  <c r="V840" i="1"/>
  <c r="V281" i="1"/>
  <c r="V631" i="1"/>
  <c r="V343" i="1"/>
  <c r="V146" i="1"/>
  <c r="V265" i="1"/>
  <c r="V743" i="1"/>
  <c r="V730" i="1"/>
  <c r="V455" i="1"/>
  <c r="V632" i="1"/>
  <c r="V783" i="1"/>
  <c r="V427" i="1"/>
  <c r="V812" i="1"/>
  <c r="V295" i="1"/>
  <c r="V744" i="1"/>
  <c r="V753" i="1"/>
  <c r="V865" i="1"/>
  <c r="V391" i="1"/>
  <c r="V234" i="1"/>
  <c r="V181" i="1"/>
  <c r="V745" i="1"/>
  <c r="V574" i="1"/>
  <c r="V676" i="1"/>
  <c r="V705" i="1"/>
  <c r="V975" i="1"/>
  <c r="V906" i="1"/>
  <c r="V333" i="1"/>
  <c r="V846" i="1"/>
  <c r="V79" i="1"/>
  <c r="V857" i="1"/>
  <c r="V235" i="1"/>
  <c r="V177" i="1"/>
  <c r="V123" i="1"/>
  <c r="V539" i="1"/>
  <c r="V102" i="1"/>
  <c r="V456" i="1"/>
  <c r="V103" i="1"/>
  <c r="V17" i="1"/>
  <c r="V516" i="1"/>
  <c r="V344" i="1"/>
  <c r="V147" i="1"/>
  <c r="V639" i="1"/>
  <c r="V543" i="1"/>
  <c r="V58" i="1"/>
  <c r="V954" i="1"/>
  <c r="V937" i="1"/>
  <c r="V187" i="1"/>
  <c r="V802" i="1"/>
  <c r="V889" i="1"/>
  <c r="V722" i="1"/>
  <c r="V866" i="1"/>
  <c r="V49" i="1"/>
  <c r="V517" i="1"/>
  <c r="V737" i="1"/>
  <c r="V518" i="1"/>
  <c r="V160" i="1"/>
  <c r="V334" i="1"/>
  <c r="V694" i="1"/>
  <c r="V274" i="1"/>
  <c r="V706" i="1"/>
  <c r="V731" i="1"/>
  <c r="V375" i="1"/>
  <c r="V408" i="1"/>
  <c r="V907" i="1"/>
  <c r="V18" i="1"/>
  <c r="V976" i="1"/>
  <c r="V916" i="1"/>
  <c r="V354" i="1"/>
  <c r="V255" i="1"/>
  <c r="V746" i="1"/>
  <c r="V899" i="1"/>
  <c r="V477" i="1"/>
  <c r="V296" i="1"/>
  <c r="V286" i="1"/>
  <c r="V767" i="1"/>
  <c r="V544" i="1"/>
  <c r="V246" i="1"/>
  <c r="V447" i="1"/>
  <c r="V219" i="1"/>
  <c r="V589" i="1"/>
  <c r="V363" i="1"/>
  <c r="V895" i="1"/>
  <c r="V318" i="1"/>
  <c r="V381" i="1"/>
  <c r="V948" i="1"/>
  <c r="V72" i="1"/>
  <c r="V345" i="1"/>
  <c r="V59" i="1"/>
  <c r="V220" i="1"/>
  <c r="V7" i="1"/>
  <c r="V908" i="1"/>
  <c r="V762" i="1"/>
  <c r="V603" i="1"/>
  <c r="V813" i="1"/>
  <c r="V247" i="1"/>
  <c r="V92" i="1"/>
  <c r="V949" i="1"/>
  <c r="V161" i="1"/>
  <c r="V651" i="1"/>
  <c r="V212" i="1"/>
  <c r="V503" i="1"/>
  <c r="V50" i="1"/>
  <c r="V561" i="1"/>
  <c r="V831" i="1"/>
  <c r="V909" i="1"/>
  <c r="V977" i="1"/>
  <c r="V784" i="1"/>
  <c r="V19" i="1"/>
  <c r="V287" i="1"/>
  <c r="V409" i="1"/>
  <c r="V319" i="1"/>
  <c r="V858" i="1"/>
  <c r="V193" i="1"/>
  <c r="V590" i="1"/>
  <c r="V814" i="1"/>
  <c r="V567" i="1"/>
  <c r="V738" i="1"/>
  <c r="V686" i="1"/>
  <c r="V938" i="1"/>
  <c r="V785" i="1"/>
  <c r="V346" i="1"/>
  <c r="V104" i="1"/>
  <c r="V660" i="1"/>
  <c r="V677" i="1"/>
  <c r="V8" i="1"/>
  <c r="V203" i="1"/>
  <c r="V204" i="1"/>
  <c r="V178" i="1"/>
  <c r="V300" i="1"/>
  <c r="V988" i="1"/>
  <c r="V437" i="1"/>
  <c r="V562" i="1"/>
  <c r="V194" i="1"/>
  <c r="V275" i="1"/>
  <c r="V786" i="1"/>
  <c r="V3" i="1"/>
  <c r="V917" i="1"/>
  <c r="V485" i="1"/>
  <c r="V457" i="1"/>
  <c r="V438" i="1"/>
  <c r="V410" i="1"/>
  <c r="V236" i="1"/>
  <c r="V83" i="1"/>
  <c r="V950" i="1"/>
  <c r="V747" i="1"/>
  <c r="V881" i="1"/>
  <c r="V335" i="1"/>
  <c r="V923" i="1"/>
  <c r="V221" i="1"/>
  <c r="V51" i="1"/>
  <c r="V687" i="1"/>
  <c r="V222" i="1"/>
  <c r="V364" i="1"/>
  <c r="V678" i="1"/>
  <c r="V827" i="1"/>
  <c r="V423" i="1"/>
  <c r="V633" i="1"/>
  <c r="V779" i="1"/>
  <c r="V787" i="1"/>
  <c r="V723" i="1"/>
  <c r="V490" i="1"/>
  <c r="V223" i="1"/>
  <c r="V491" i="1"/>
  <c r="V695" i="1"/>
  <c r="V411" i="1"/>
  <c r="V634" i="1"/>
  <c r="V841" i="1"/>
  <c r="V320" i="1"/>
  <c r="V763" i="1"/>
  <c r="V256" i="1"/>
  <c r="V52" i="1"/>
  <c r="V148" i="1"/>
  <c r="V9" i="1"/>
  <c r="V754" i="1"/>
  <c r="V707" i="1"/>
  <c r="V978" i="1"/>
  <c r="V412" i="1"/>
  <c r="V545" i="1"/>
  <c r="V355" i="1"/>
  <c r="V376" i="1"/>
  <c r="V365" i="1"/>
  <c r="V591" i="1"/>
  <c r="V224" i="1"/>
  <c r="V336" i="1"/>
  <c r="V617" i="1"/>
  <c r="V73" i="1"/>
  <c r="V257" i="1"/>
  <c r="V859" i="1"/>
  <c r="V396" i="1"/>
  <c r="V225" i="1"/>
  <c r="V910" i="1"/>
  <c r="V166" i="1"/>
  <c r="V64" i="1"/>
  <c r="V226" i="1"/>
  <c r="V20" i="1"/>
  <c r="V553" i="1"/>
  <c r="V458" i="1"/>
  <c r="V708" i="1"/>
  <c r="V439" i="1"/>
  <c r="V382" i="1"/>
  <c r="V34" i="1"/>
  <c r="V958" i="1"/>
  <c r="V74" i="1"/>
  <c r="V554" i="1"/>
  <c r="V65" i="1"/>
  <c r="V377" i="1"/>
  <c r="V413" i="1"/>
  <c r="V788" i="1"/>
  <c r="V618" i="1"/>
  <c r="V780" i="1"/>
  <c r="V661" i="1"/>
  <c r="V510" i="1"/>
  <c r="V626" i="1"/>
  <c r="V696" i="1"/>
  <c r="V227" i="1"/>
  <c r="V269" i="1"/>
  <c r="V248" i="1"/>
  <c r="V228" i="1"/>
  <c r="V900" i="1"/>
  <c r="V890" i="1"/>
  <c r="V188" i="1"/>
  <c r="V519" i="1"/>
  <c r="V768" i="1"/>
  <c r="V356" i="1"/>
  <c r="V842" i="1"/>
  <c r="V324" i="1"/>
  <c r="V60" i="1"/>
  <c r="V478" i="1"/>
  <c r="V843" i="1"/>
  <c r="V84" i="1"/>
  <c r="V414" i="1"/>
  <c r="V860" i="1"/>
  <c r="V671" i="1"/>
  <c r="V288" i="1"/>
  <c r="V732" i="1"/>
  <c r="V568" i="1"/>
  <c r="V584" i="1"/>
  <c r="V604" i="1"/>
  <c r="V80" i="1"/>
  <c r="V989" i="1"/>
  <c r="V249" i="1"/>
  <c r="V486" i="1"/>
  <c r="V797" i="1"/>
  <c r="V301" i="1"/>
  <c r="V415" i="1"/>
  <c r="V440" i="1"/>
  <c r="V764" i="1"/>
  <c r="V448" i="1"/>
  <c r="V844" i="1"/>
  <c r="V337" i="1"/>
  <c r="V819" i="1"/>
  <c r="V35" i="1"/>
  <c r="V511" i="1"/>
  <c r="V115" i="1"/>
  <c r="V449" i="1"/>
  <c r="V357" i="1"/>
  <c r="V635" i="1"/>
  <c r="V479" i="1"/>
  <c r="V124" i="1"/>
  <c r="V798" i="1"/>
  <c r="V93" i="1"/>
  <c r="V640" i="1"/>
  <c r="V189" i="1"/>
  <c r="V195" i="1"/>
  <c r="V459" i="1"/>
  <c r="V325" i="1"/>
  <c r="V167" i="1"/>
  <c r="V53" i="1"/>
  <c r="V918" i="1"/>
  <c r="V929" i="1"/>
  <c r="V641" i="1"/>
  <c r="V769" i="1"/>
  <c r="V688" i="1"/>
  <c r="V149" i="1"/>
  <c r="V66" i="1"/>
  <c r="V967" i="1"/>
  <c r="V979" i="1"/>
  <c r="V190" i="1"/>
  <c r="V338" i="1"/>
  <c r="V67" i="1"/>
  <c r="V924" i="1"/>
  <c r="V968" i="1"/>
  <c r="V347" i="1"/>
  <c r="V930" i="1"/>
  <c r="V724" i="1"/>
  <c r="V563" i="1"/>
  <c r="V555" i="1"/>
  <c r="V592" i="1"/>
  <c r="V820" i="1"/>
  <c r="V134" i="1"/>
  <c r="V755" i="1"/>
  <c r="V911" i="1"/>
  <c r="V709" i="1"/>
  <c r="V925" i="1"/>
  <c r="V213" i="1"/>
  <c r="V168" i="1"/>
  <c r="V196" i="1"/>
  <c r="V348" i="1"/>
  <c r="V803" i="1"/>
  <c r="V10" i="1"/>
  <c r="V162" i="1"/>
  <c r="V492" i="1"/>
  <c r="V401" i="1"/>
  <c r="V867" i="1"/>
  <c r="V627" i="1"/>
  <c r="V61" i="1"/>
  <c r="V939" i="1"/>
  <c r="V789" i="1"/>
  <c r="V832" i="1"/>
  <c r="V94" i="1"/>
  <c r="V424" i="1"/>
  <c r="V926" i="1"/>
  <c r="V349" i="1"/>
  <c r="V527" i="1"/>
  <c r="V326" i="1"/>
  <c r="V901" i="1"/>
  <c r="V493" i="1"/>
  <c r="V756" i="1"/>
  <c r="V569" i="1"/>
  <c r="V959" i="1"/>
  <c r="V770" i="1"/>
  <c r="V951" i="1"/>
  <c r="V605" i="1"/>
  <c r="V105" i="1"/>
  <c r="V182" i="1"/>
  <c r="V289" i="1"/>
  <c r="V270" i="1"/>
  <c r="V383" i="1"/>
  <c r="V95" i="1"/>
  <c r="V522" i="1"/>
  <c r="V169" i="1"/>
  <c r="V960" i="1"/>
  <c r="V765" i="1"/>
  <c r="V619" i="1"/>
  <c r="V575" i="1"/>
  <c r="V150" i="1"/>
  <c r="V460" i="1"/>
  <c r="V428" i="1"/>
  <c r="V266" i="1"/>
  <c r="V28" i="1"/>
  <c r="V170" i="1"/>
  <c r="V739" i="1"/>
  <c r="V662" i="1"/>
  <c r="V21" i="1"/>
  <c r="V725" i="1"/>
  <c r="V628" i="1"/>
  <c r="V891" i="1"/>
  <c r="V757" i="1"/>
  <c r="V96" i="1"/>
  <c r="V327" i="1"/>
  <c r="V36" i="1"/>
  <c r="V748" i="1"/>
  <c r="V392" i="1"/>
  <c r="V321" i="1"/>
  <c r="V771" i="1"/>
  <c r="V523" i="1"/>
  <c r="V116" i="1"/>
  <c r="V961" i="1"/>
  <c r="V258" i="1"/>
  <c r="V125" i="1"/>
  <c r="V912" i="1"/>
  <c r="V117" i="1"/>
  <c r="V636" i="1"/>
  <c r="V350" i="1"/>
  <c r="V237" i="1"/>
  <c r="V135" i="1"/>
  <c r="V290" i="1"/>
  <c r="V828" i="1"/>
  <c r="V54" i="1"/>
  <c r="V697" i="1"/>
  <c r="V772" i="1"/>
  <c r="V163" i="1"/>
  <c r="V546" i="1"/>
  <c r="V504" i="1"/>
  <c r="V790" i="1"/>
  <c r="V106" i="1"/>
  <c r="V37" i="1"/>
  <c r="V494" i="1"/>
  <c r="V969" i="1"/>
  <c r="V717" i="1"/>
  <c r="V351" i="1"/>
  <c r="V107" i="1"/>
  <c r="V955" i="1"/>
  <c r="V902" i="1"/>
  <c r="V108" i="1"/>
  <c r="V672" i="1"/>
  <c r="V868" i="1"/>
  <c r="V620" i="1"/>
  <c r="V528" i="1"/>
  <c r="V402" i="1"/>
  <c r="V606" i="1"/>
  <c r="V461" i="1"/>
  <c r="V11" i="1"/>
  <c r="V873" i="1"/>
  <c r="V480" i="1"/>
  <c r="V229" i="1"/>
  <c r="V529" i="1"/>
  <c r="V366" i="1"/>
  <c r="V952" i="1"/>
  <c r="V197" i="1"/>
  <c r="V495" i="1"/>
  <c r="V183" i="1"/>
  <c r="V171" i="1"/>
  <c r="V151" i="1"/>
  <c r="V629" i="1"/>
  <c r="V12" i="1"/>
  <c r="V38" i="1"/>
  <c r="V847" i="1"/>
  <c r="V804" i="1"/>
  <c r="V118" i="1"/>
  <c r="V773" i="1"/>
  <c r="V481" i="1"/>
  <c r="V710" i="1"/>
  <c r="V598" i="1"/>
  <c r="V718" i="1"/>
  <c r="V833" i="1"/>
  <c r="V940" i="1"/>
  <c r="V198" i="1"/>
  <c r="V309" i="1"/>
  <c r="V892" i="1"/>
  <c r="V530" i="1"/>
  <c r="V874" i="1"/>
  <c r="V711" i="1"/>
  <c r="V22" i="1"/>
  <c r="V416" i="1"/>
  <c r="V815" i="1"/>
  <c r="V68" i="1"/>
  <c r="V487" i="1"/>
  <c r="V4" i="1"/>
  <c r="V13" i="1"/>
  <c r="V740" i="1"/>
  <c r="V468" i="1"/>
  <c r="V29" i="1"/>
  <c r="V205" i="1"/>
  <c r="V869" i="1"/>
  <c r="V384" i="1"/>
  <c r="V585" i="1"/>
  <c r="V417" i="1"/>
  <c r="V607" i="1"/>
  <c r="V689" i="1"/>
  <c r="V214" i="1"/>
  <c r="V642" i="1"/>
  <c r="V652" i="1"/>
  <c r="V367" i="1"/>
  <c r="V875" i="1"/>
  <c r="V524" i="1"/>
  <c r="V980" i="1"/>
  <c r="V621" i="1"/>
  <c r="V152" i="1"/>
  <c r="V653" i="1"/>
  <c r="V153" i="1"/>
  <c r="V733" i="1"/>
  <c r="V576" i="1"/>
  <c r="V322" i="1"/>
  <c r="V654" i="1"/>
  <c r="V556" i="1"/>
  <c r="V698" i="1"/>
  <c r="V352" i="1"/>
  <c r="V282" i="1"/>
  <c r="V712" i="1"/>
  <c r="V259" i="1"/>
  <c r="V469" i="1"/>
  <c r="V310" i="1"/>
  <c r="V238" i="1"/>
  <c r="V547" i="1"/>
  <c r="V385" i="1"/>
  <c r="V608" i="1"/>
  <c r="V250" i="1"/>
  <c r="V267" i="1"/>
  <c r="V673" i="1"/>
  <c r="V981" i="1"/>
  <c r="V119" i="1"/>
  <c r="V962" i="1"/>
  <c r="V956" i="1"/>
  <c r="V749" i="1"/>
  <c r="V206" i="1"/>
  <c r="V251" i="1"/>
  <c r="V663" i="1"/>
  <c r="V191" i="1"/>
  <c r="V69" i="1"/>
  <c r="V172" i="1"/>
  <c r="V55" i="1"/>
  <c r="V207" i="1"/>
  <c r="V462" i="1"/>
  <c r="V328" i="1"/>
  <c r="V963" i="1"/>
  <c r="V848" i="1"/>
  <c r="V14" i="1"/>
  <c r="V970" i="1"/>
  <c r="V496" i="1"/>
  <c r="V990" i="1"/>
  <c r="V291" i="1"/>
  <c r="V311" i="1"/>
  <c r="V609" i="1"/>
  <c r="V882" i="1"/>
  <c r="V358" i="1"/>
  <c r="V126" i="1"/>
  <c r="V23" i="1"/>
  <c r="V971" i="1"/>
  <c r="V429" i="1"/>
  <c r="V184" i="1"/>
  <c r="V403" i="1"/>
  <c r="V24" i="1"/>
  <c r="V271" i="1"/>
  <c r="V791" i="1"/>
  <c r="V557" i="1"/>
  <c r="V463" i="1"/>
  <c r="V164" i="1"/>
  <c r="V283" i="1"/>
  <c r="V643" i="1"/>
  <c r="V792" i="1"/>
  <c r="V470" i="1"/>
  <c r="V497" i="1"/>
  <c r="V498" i="1"/>
  <c r="V655" i="1"/>
  <c r="V931" i="1"/>
  <c r="V471" i="1"/>
  <c r="V39" i="1"/>
  <c r="V883" i="1"/>
  <c r="V312" i="1"/>
  <c r="V430" i="1"/>
  <c r="V726" i="1"/>
  <c r="V713" i="1"/>
  <c r="V154" i="1"/>
  <c r="V120" i="1"/>
  <c r="V964" i="1"/>
  <c r="V127" i="1"/>
  <c r="V431" i="1"/>
  <c r="V644" i="1"/>
  <c r="V991" i="1"/>
  <c r="V896" i="1"/>
  <c r="V849" i="1"/>
  <c r="V903" i="1"/>
  <c r="V260" i="1"/>
  <c r="V464" i="1"/>
  <c r="V339" i="1"/>
  <c r="V558" i="1"/>
  <c r="V505" i="1"/>
  <c r="V714" i="1"/>
  <c r="V230" i="1"/>
  <c r="V727" i="1"/>
  <c r="V570" i="1"/>
  <c r="V25" i="1"/>
  <c r="V834" i="1"/>
  <c r="V30" i="1"/>
  <c r="V432" i="1"/>
  <c r="V368" i="1"/>
  <c r="V586" i="1"/>
  <c r="V499" i="1"/>
  <c r="V173" i="1"/>
  <c r="V577" i="1"/>
  <c r="V386" i="1"/>
  <c r="V540" i="1"/>
  <c r="V927" i="1"/>
  <c r="V941" i="1"/>
  <c r="V313" i="1"/>
  <c r="V645" i="1"/>
  <c r="V97" i="1"/>
  <c r="V292" i="1"/>
  <c r="V98" i="1"/>
  <c r="V208" i="1"/>
  <c r="V323" i="1"/>
  <c r="V302" i="1"/>
  <c r="V31" i="1"/>
  <c r="V664" i="1"/>
  <c r="V276" i="1"/>
  <c r="V893" i="1"/>
  <c r="V821" i="1"/>
  <c r="V215" i="1"/>
  <c r="V850" i="1"/>
  <c r="V520" i="1"/>
  <c r="V578" i="1"/>
  <c r="V85" i="1"/>
  <c r="V805" i="1"/>
  <c r="V329" i="1"/>
  <c r="V719" i="1"/>
  <c r="V610" i="1"/>
  <c r="V799" i="1"/>
  <c r="V330" i="1"/>
  <c r="V972" i="1"/>
  <c r="V32" i="1"/>
  <c r="V699" i="1"/>
  <c r="V679" i="1"/>
  <c r="V239" i="1"/>
  <c r="V472" i="1"/>
  <c r="V942" i="1"/>
  <c r="V378" i="1"/>
  <c r="V450" i="1"/>
  <c r="V531" i="1"/>
  <c r="V75" i="1"/>
  <c r="V870" i="1"/>
  <c r="V500" i="1"/>
  <c r="V86" i="1"/>
  <c r="V646" i="1"/>
  <c r="V728" i="1"/>
  <c r="V816" i="1"/>
  <c r="V822" i="1"/>
  <c r="V240" i="1"/>
  <c r="V199" i="1"/>
  <c r="V76" i="1"/>
  <c r="V637" i="1"/>
  <c r="K6" i="3" l="1"/>
  <c r="I6" i="3"/>
  <c r="J6" i="3"/>
  <c r="F6" i="3"/>
  <c r="D6" i="3"/>
  <c r="B6" i="3" a="1"/>
  <c r="B6"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<sst xmlns="http://schemas.openxmlformats.org/spreadsheetml/2006/main" count="8269" uniqueCount="3728">
  <si>
    <t>Product_ID</t>
  </si>
  <si>
    <t>Product_Name</t>
  </si>
  <si>
    <t>Supplier_ID</t>
  </si>
  <si>
    <t>Supplier_Name</t>
  </si>
  <si>
    <t>Stock_Quantity</t>
  </si>
  <si>
    <t>Reorder_Level</t>
  </si>
  <si>
    <t>Reorder_Quantity</t>
  </si>
  <si>
    <t>Unit_Price</t>
  </si>
  <si>
    <t>Date_Received</t>
  </si>
  <si>
    <t>Last_Order_Date</t>
  </si>
  <si>
    <t>Expiration_Date</t>
  </si>
  <si>
    <t>Warehouse_Location</t>
  </si>
  <si>
    <t>Sales_Volume</t>
  </si>
  <si>
    <t>Inventory_Turnover_Rate</t>
  </si>
  <si>
    <t>Status</t>
  </si>
  <si>
    <t>29-205-1132</t>
  </si>
  <si>
    <t>Sushi Rice</t>
  </si>
  <si>
    <t>Grains &amp; Pulses</t>
  </si>
  <si>
    <t>38-037-1699</t>
  </si>
  <si>
    <t>Jaxnation</t>
  </si>
  <si>
    <t>8/16/2024</t>
  </si>
  <si>
    <t>6/29/2024</t>
  </si>
  <si>
    <t>9/19/2024</t>
  </si>
  <si>
    <t>48 Del Sol Trail</t>
  </si>
  <si>
    <t>Discontinued</t>
  </si>
  <si>
    <t>40-681-9981</t>
  </si>
  <si>
    <t>Arabica Coffee</t>
  </si>
  <si>
    <t>Beverages</t>
  </si>
  <si>
    <t>54-470-2479</t>
  </si>
  <si>
    <t>Feedmix</t>
  </si>
  <si>
    <t>5/29/2024</t>
  </si>
  <si>
    <t>36 3rd Place</t>
  </si>
  <si>
    <t>06-955-3428</t>
  </si>
  <si>
    <t>Black Rice</t>
  </si>
  <si>
    <t>54-031-2945</t>
  </si>
  <si>
    <t>Vinder</t>
  </si>
  <si>
    <t>9/22/2024</t>
  </si>
  <si>
    <t>3296 Walton Court</t>
  </si>
  <si>
    <t>Backordered</t>
  </si>
  <si>
    <t>71-594-6552</t>
  </si>
  <si>
    <t>Long Grain Rice</t>
  </si>
  <si>
    <t>63-492-7603</t>
  </si>
  <si>
    <t>Brightbean</t>
  </si>
  <si>
    <t>2/19/2025</t>
  </si>
  <si>
    <t>4/17/2024</t>
  </si>
  <si>
    <t>3 Westerfield Crossing</t>
  </si>
  <si>
    <t>Active</t>
  </si>
  <si>
    <t>57-437-1828</t>
  </si>
  <si>
    <t>Plum</t>
  </si>
  <si>
    <t>Fruits &amp; Vegetables</t>
  </si>
  <si>
    <t>54-226-4308</t>
  </si>
  <si>
    <t>Topicstorm</t>
  </si>
  <si>
    <t>15068 Scoville Court</t>
  </si>
  <si>
    <t>21-120-6238</t>
  </si>
  <si>
    <t>All-Purpose Flour</t>
  </si>
  <si>
    <t>86-292-4587</t>
  </si>
  <si>
    <t>Dabjam</t>
  </si>
  <si>
    <t>5/26/2024</t>
  </si>
  <si>
    <t>050 Mcbride Avenue</t>
  </si>
  <si>
    <t>71-516-1996</t>
  </si>
  <si>
    <t>Corn Oil</t>
  </si>
  <si>
    <t>Oils &amp; Fats</t>
  </si>
  <si>
    <t>04-391-7610</t>
  </si>
  <si>
    <t>Tagfeed</t>
  </si>
  <si>
    <t>3/18/2024</t>
  </si>
  <si>
    <t>6/20/2024</t>
  </si>
  <si>
    <t>12 Truax Court</t>
  </si>
  <si>
    <t>39-629-5554</t>
  </si>
  <si>
    <t>Egg (Goose)</t>
  </si>
  <si>
    <t>Dairy</t>
  </si>
  <si>
    <t>67-679-4930</t>
  </si>
  <si>
    <t>Muxo</t>
  </si>
  <si>
    <t>267 International Plaza</t>
  </si>
  <si>
    <t>66-268-8345</t>
  </si>
  <si>
    <t>Greek Yogurt</t>
  </si>
  <si>
    <t>32-182-1895</t>
  </si>
  <si>
    <t>Thoughtstorm</t>
  </si>
  <si>
    <t>550 Clemons Plaza</t>
  </si>
  <si>
    <t>46-452-9419</t>
  </si>
  <si>
    <t>Egg (Duck)</t>
  </si>
  <si>
    <t>67-137-4215</t>
  </si>
  <si>
    <t>Wordify</t>
  </si>
  <si>
    <t>11/18/2024</t>
  </si>
  <si>
    <t>11/14/2024</t>
  </si>
  <si>
    <t>55782 Welch Hill</t>
  </si>
  <si>
    <t>51-469-4611</t>
  </si>
  <si>
    <t>62-029-0827</t>
  </si>
  <si>
    <t>Fivebridge</t>
  </si>
  <si>
    <t>12/18/2024</t>
  </si>
  <si>
    <t>5/24/2024</t>
  </si>
  <si>
    <t>04776 Saint Paul Park</t>
  </si>
  <si>
    <t>42-220-9305</t>
  </si>
  <si>
    <t>White Sugar</t>
  </si>
  <si>
    <t>56-092-7992</t>
  </si>
  <si>
    <t>Zooxo</t>
  </si>
  <si>
    <t>10/19/2024</t>
  </si>
  <si>
    <t>10/14/2024</t>
  </si>
  <si>
    <t>61932 Cascade Crossing</t>
  </si>
  <si>
    <t>75-094-1179</t>
  </si>
  <si>
    <t>Rye Bread</t>
  </si>
  <si>
    <t>Bakery</t>
  </si>
  <si>
    <t>57-615-0729</t>
  </si>
  <si>
    <t>Vitz</t>
  </si>
  <si>
    <t>12/13/2024</t>
  </si>
  <si>
    <t>7/18/2024</t>
  </si>
  <si>
    <t>13 Forest Run Place</t>
  </si>
  <si>
    <t>11-073-0189</t>
  </si>
  <si>
    <t>75-190-3627</t>
  </si>
  <si>
    <t>Voomm</t>
  </si>
  <si>
    <t>9/21/2024</t>
  </si>
  <si>
    <t>5104 Jana Court</t>
  </si>
  <si>
    <t>22-621-2774</t>
  </si>
  <si>
    <t>Strawberries</t>
  </si>
  <si>
    <t>70-901-6191</t>
  </si>
  <si>
    <t>Babblestorm</t>
  </si>
  <si>
    <t>6/30/2024</t>
  </si>
  <si>
    <t>6/14/2024</t>
  </si>
  <si>
    <t>00 Drewry Court</t>
  </si>
  <si>
    <t>39-449-0772</t>
  </si>
  <si>
    <t>Feta Cheese</t>
  </si>
  <si>
    <t>84-504-7617</t>
  </si>
  <si>
    <t>Youfeed</t>
  </si>
  <si>
    <t>2/27/2024</t>
  </si>
  <si>
    <t>195 Portage Junction</t>
  </si>
  <si>
    <t>55-936-2406</t>
  </si>
  <si>
    <t>Bread Flour</t>
  </si>
  <si>
    <t>29-689-5014</t>
  </si>
  <si>
    <t>Mynte</t>
  </si>
  <si>
    <t>11/16/2024</t>
  </si>
  <si>
    <t>52691 8th Drive</t>
  </si>
  <si>
    <t>82-041-7211</t>
  </si>
  <si>
    <t>Swiss Cheese</t>
  </si>
  <si>
    <t>03-615-0558</t>
  </si>
  <si>
    <t>Reallinks</t>
  </si>
  <si>
    <t>5/19/2024</t>
  </si>
  <si>
    <t>285 1st Park</t>
  </si>
  <si>
    <t>48-414-6162</t>
  </si>
  <si>
    <t>10-060-8515</t>
  </si>
  <si>
    <t>Skivee</t>
  </si>
  <si>
    <t>17780 Lindbergh Junction</t>
  </si>
  <si>
    <t>76-854-0095</t>
  </si>
  <si>
    <t>38-883-3382</t>
  </si>
  <si>
    <t>Mydeo</t>
  </si>
  <si>
    <t>5/31/2024</t>
  </si>
  <si>
    <t>12/28/2024</t>
  </si>
  <si>
    <t>7834 Cordelia Alley</t>
  </si>
  <si>
    <t>25-349-7974</t>
  </si>
  <si>
    <t>Spinach</t>
  </si>
  <si>
    <t>82-737-6019</t>
  </si>
  <si>
    <t>Devshare</t>
  </si>
  <si>
    <t>5/28/2024</t>
  </si>
  <si>
    <t>6/22/2024</t>
  </si>
  <si>
    <t>42 Bunker Hill Junction</t>
  </si>
  <si>
    <t>66-627-9752</t>
  </si>
  <si>
    <t>Trout</t>
  </si>
  <si>
    <t>Seafood</t>
  </si>
  <si>
    <t>87-839-6400</t>
  </si>
  <si>
    <t>Jabbertype</t>
  </si>
  <si>
    <t>8/17/2024</t>
  </si>
  <si>
    <t>08 Randy Junction</t>
  </si>
  <si>
    <t>78-614-4402</t>
  </si>
  <si>
    <t>Green Beans</t>
  </si>
  <si>
    <t>51-014-4287</t>
  </si>
  <si>
    <t>Gigazoom</t>
  </si>
  <si>
    <t>9/30/2024</t>
  </si>
  <si>
    <t>2/14/2025</t>
  </si>
  <si>
    <t>4/25/2024</t>
  </si>
  <si>
    <t>37 Browning Trail</t>
  </si>
  <si>
    <t>67-025-1245</t>
  </si>
  <si>
    <t>Cabbage</t>
  </si>
  <si>
    <t>28-575-0716</t>
  </si>
  <si>
    <t>Chatterbridge</t>
  </si>
  <si>
    <t>51890 Lindbergh Terrace</t>
  </si>
  <si>
    <t>68-418-6724</t>
  </si>
  <si>
    <t>Parmesan Cheese</t>
  </si>
  <si>
    <t>75-465-6257</t>
  </si>
  <si>
    <t>Feedspan</t>
  </si>
  <si>
    <t>12/21/2024</t>
  </si>
  <si>
    <t>1/13/2025</t>
  </si>
  <si>
    <t>49869 Bunker Hill Terrace</t>
  </si>
  <si>
    <t>40-795-0753</t>
  </si>
  <si>
    <t>Raw Sugar</t>
  </si>
  <si>
    <t>47-183-4911</t>
  </si>
  <si>
    <t>Mydo</t>
  </si>
  <si>
    <t>2/22/2025</t>
  </si>
  <si>
    <t>5/30/2024</t>
  </si>
  <si>
    <t>66879 Susan Place</t>
  </si>
  <si>
    <t>02-508-3777</t>
  </si>
  <si>
    <t>Egg (Quail)</t>
  </si>
  <si>
    <t>69-933-2582</t>
  </si>
  <si>
    <t>Realpoint</t>
  </si>
  <si>
    <t>6/26/2024</t>
  </si>
  <si>
    <t>895 Northland Hill</t>
  </si>
  <si>
    <t>79-741-0770</t>
  </si>
  <si>
    <t>Mushrooms</t>
  </si>
  <si>
    <t>67-771-7656</t>
  </si>
  <si>
    <t>Photospace</t>
  </si>
  <si>
    <t>6/24/2024</t>
  </si>
  <si>
    <t>2/24/2025</t>
  </si>
  <si>
    <t>3/17/2024</t>
  </si>
  <si>
    <t>91 Kinsman Terrace</t>
  </si>
  <si>
    <t>31-211-5803</t>
  </si>
  <si>
    <t>Oatmeal Biscuit</t>
  </si>
  <si>
    <t>75-503-9347</t>
  </si>
  <si>
    <t>7/16/2024</t>
  </si>
  <si>
    <t>8/21/2024</t>
  </si>
  <si>
    <t>492 Shoshone Road</t>
  </si>
  <si>
    <t>16-499-5059</t>
  </si>
  <si>
    <t>Pear</t>
  </si>
  <si>
    <t>09-090-6360</t>
  </si>
  <si>
    <t>Centizu</t>
  </si>
  <si>
    <t>8/18/2024</t>
  </si>
  <si>
    <t>11/19/2024</t>
  </si>
  <si>
    <t>12/20/2024</t>
  </si>
  <si>
    <t>3 Hooker Way</t>
  </si>
  <si>
    <t>76-340-4432</t>
  </si>
  <si>
    <t>Cucumber</t>
  </si>
  <si>
    <t>79-915-4185</t>
  </si>
  <si>
    <t>Brainverse</t>
  </si>
  <si>
    <t>3/28/2024</t>
  </si>
  <si>
    <t>157 David Center</t>
  </si>
  <si>
    <t>38-732-7667</t>
  </si>
  <si>
    <t>Pineapple</t>
  </si>
  <si>
    <t>88-663-3393</t>
  </si>
  <si>
    <t>Photojam</t>
  </si>
  <si>
    <t>8/23/2024</t>
  </si>
  <si>
    <t>10/13/2024</t>
  </si>
  <si>
    <t>3645 Ridge Oak Drive</t>
  </si>
  <si>
    <t>04-240-2226</t>
  </si>
  <si>
    <t>Olive Oil</t>
  </si>
  <si>
    <t>65-842-6819</t>
  </si>
  <si>
    <t>Kamba</t>
  </si>
  <si>
    <t>8/13/2024</t>
  </si>
  <si>
    <t>6/28/2024</t>
  </si>
  <si>
    <t>504 Green Park</t>
  </si>
  <si>
    <t>79-136-9840</t>
  </si>
  <si>
    <t>Herbal Tea</t>
  </si>
  <si>
    <t>07-809-0926</t>
  </si>
  <si>
    <t>Pixonyx</t>
  </si>
  <si>
    <t>8/19/2024</t>
  </si>
  <si>
    <t>6/23/2024</t>
  </si>
  <si>
    <t>26175 Oxford Way</t>
  </si>
  <si>
    <t>73-401-5721</t>
  </si>
  <si>
    <t>Haddock</t>
  </si>
  <si>
    <t>38-622-5251</t>
  </si>
  <si>
    <t>Midel</t>
  </si>
  <si>
    <t>10/28/2024</t>
  </si>
  <si>
    <t>12/26/2024</t>
  </si>
  <si>
    <t>582 Sauthoff Crossing</t>
  </si>
  <si>
    <t>91-848-0606</t>
  </si>
  <si>
    <t>Onion</t>
  </si>
  <si>
    <t>68-836-0350</t>
  </si>
  <si>
    <t>Skyble</t>
  </si>
  <si>
    <t>7/23/2024</t>
  </si>
  <si>
    <t>13 Corscot Hill</t>
  </si>
  <si>
    <t>54-109-8062</t>
  </si>
  <si>
    <t>04-726-3363</t>
  </si>
  <si>
    <t>Linklinks</t>
  </si>
  <si>
    <t>1/19/2025</t>
  </si>
  <si>
    <t>2/16/2025</t>
  </si>
  <si>
    <t>67 Little Fleur Road</t>
  </si>
  <si>
    <t>70-612-2531</t>
  </si>
  <si>
    <t>94-217-4781</t>
  </si>
  <si>
    <t>Flipbug</t>
  </si>
  <si>
    <t>1/25/2025</t>
  </si>
  <si>
    <t>10/30/2024</t>
  </si>
  <si>
    <t>4 Raven Drive</t>
  </si>
  <si>
    <t>26-161-6692</t>
  </si>
  <si>
    <t>Zucchini</t>
  </si>
  <si>
    <t>61-796-7912</t>
  </si>
  <si>
    <t>Kare</t>
  </si>
  <si>
    <t>12/22/2024</t>
  </si>
  <si>
    <t>70001 Vahlen Lane</t>
  </si>
  <si>
    <t>43-893-5408</t>
  </si>
  <si>
    <t>Short Grain Rice</t>
  </si>
  <si>
    <t>25-414-2945</t>
  </si>
  <si>
    <t>Snaptags</t>
  </si>
  <si>
    <t>1/21/2025</t>
  </si>
  <si>
    <t>3/20/2024</t>
  </si>
  <si>
    <t>8/24/2024</t>
  </si>
  <si>
    <t>6 Orin Place</t>
  </si>
  <si>
    <t>11-316-8405</t>
  </si>
  <si>
    <t>Mango</t>
  </si>
  <si>
    <t>50-918-1373</t>
  </si>
  <si>
    <t>Twitternation</t>
  </si>
  <si>
    <t>4/26/2024</t>
  </si>
  <si>
    <t>11/25/2024</t>
  </si>
  <si>
    <t>108 Morning Center</t>
  </si>
  <si>
    <t>34-086-3222</t>
  </si>
  <si>
    <t>Lemon</t>
  </si>
  <si>
    <t>34-017-9457</t>
  </si>
  <si>
    <t>Layo</t>
  </si>
  <si>
    <t>12/25/2024</t>
  </si>
  <si>
    <t>867 Merrick Place</t>
  </si>
  <si>
    <t>21-816-1004</t>
  </si>
  <si>
    <t>Black Coffee</t>
  </si>
  <si>
    <t>68-482-4786</t>
  </si>
  <si>
    <t>1/26/2025</t>
  </si>
  <si>
    <t>7/22/2024</t>
  </si>
  <si>
    <t>564 Hazelcrest Crossing</t>
  </si>
  <si>
    <t>43-693-2092</t>
  </si>
  <si>
    <t>Butter</t>
  </si>
  <si>
    <t>19-469-9841</t>
  </si>
  <si>
    <t>Kayveo</t>
  </si>
  <si>
    <t>4/30/2024</t>
  </si>
  <si>
    <t>10/21/2024</t>
  </si>
  <si>
    <t>76 Toban Plaza</t>
  </si>
  <si>
    <t>63-270-7076</t>
  </si>
  <si>
    <t>Multigrain Bread</t>
  </si>
  <si>
    <t>85-532-0172</t>
  </si>
  <si>
    <t>Roombo</t>
  </si>
  <si>
    <t>4/21/2024</t>
  </si>
  <si>
    <t>1/24/2025</t>
  </si>
  <si>
    <t>6 Lunder Parkway</t>
  </si>
  <si>
    <t>90-230-9767</t>
  </si>
  <si>
    <t>70-515-9048</t>
  </si>
  <si>
    <t>Voonyx</t>
  </si>
  <si>
    <t>11/17/2024</t>
  </si>
  <si>
    <t>00397 Bay Terrace</t>
  </si>
  <si>
    <t>05-334-2923</t>
  </si>
  <si>
    <t>41-772-6271</t>
  </si>
  <si>
    <t>Browsezoom</t>
  </si>
  <si>
    <t>11/22/2024</t>
  </si>
  <si>
    <t>5/16/2024</t>
  </si>
  <si>
    <t>8 Surrey Pass</t>
  </si>
  <si>
    <t>52-481-5224</t>
  </si>
  <si>
    <t>Kiwi</t>
  </si>
  <si>
    <t>46-382-2024</t>
  </si>
  <si>
    <t>Fiveclub</t>
  </si>
  <si>
    <t>2/15/2025</t>
  </si>
  <si>
    <t>80 Old Shore Plaza</t>
  </si>
  <si>
    <t>11-325-7396</t>
  </si>
  <si>
    <t>98-940-7545</t>
  </si>
  <si>
    <t>Skipfire</t>
  </si>
  <si>
    <t>7/28/2024</t>
  </si>
  <si>
    <t>10/18/2024</t>
  </si>
  <si>
    <t>3/26/2024</t>
  </si>
  <si>
    <t>387 Jay Point</t>
  </si>
  <si>
    <t>70-854-6891</t>
  </si>
  <si>
    <t>Sourdough Bread</t>
  </si>
  <si>
    <t>79-575-9351</t>
  </si>
  <si>
    <t>Flashspan</t>
  </si>
  <si>
    <t>1/28/2025</t>
  </si>
  <si>
    <t>11/28/2024</t>
  </si>
  <si>
    <t>24045 Bluestem Point</t>
  </si>
  <si>
    <t>46-520-1819</t>
  </si>
  <si>
    <t>10-762-7936</t>
  </si>
  <si>
    <t>Katz</t>
  </si>
  <si>
    <t>5/15/2024</t>
  </si>
  <si>
    <t>805 Nancy Crossing</t>
  </si>
  <si>
    <t>91-105-7317</t>
  </si>
  <si>
    <t>Orange</t>
  </si>
  <si>
    <t>84-047-0017</t>
  </si>
  <si>
    <t>44022 Barnett Way</t>
  </si>
  <si>
    <t>40-751-8635</t>
  </si>
  <si>
    <t>48-878-3021</t>
  </si>
  <si>
    <t>Yamia</t>
  </si>
  <si>
    <t>8/30/2024</t>
  </si>
  <si>
    <t>10/17/2024</t>
  </si>
  <si>
    <t>3 Ronald Regan Center</t>
  </si>
  <si>
    <t>02-920-4829</t>
  </si>
  <si>
    <t>White Bread</t>
  </si>
  <si>
    <t>41-587-4864</t>
  </si>
  <si>
    <t>5/22/2024</t>
  </si>
  <si>
    <t>4 Judy Hill</t>
  </si>
  <si>
    <t>36-918-2937</t>
  </si>
  <si>
    <t>Green Coffee</t>
  </si>
  <si>
    <t>53-844-0478</t>
  </si>
  <si>
    <t>Kwinu</t>
  </si>
  <si>
    <t>90865 Sherman Court</t>
  </si>
  <si>
    <t>68-761-6907</t>
  </si>
  <si>
    <t>31-199-3683</t>
  </si>
  <si>
    <t>7/21/2024</t>
  </si>
  <si>
    <t>9695 Alpine Trail</t>
  </si>
  <si>
    <t>69-468-5468</t>
  </si>
  <si>
    <t>37-099-6976</t>
  </si>
  <si>
    <t>Vinte</t>
  </si>
  <si>
    <t>11/26/2024</t>
  </si>
  <si>
    <t>72083 Acker Crossing</t>
  </si>
  <si>
    <t>27-635-8394</t>
  </si>
  <si>
    <t>87-893-6089</t>
  </si>
  <si>
    <t>Twitterwire</t>
  </si>
  <si>
    <t>11/13/2024</t>
  </si>
  <si>
    <t>3/19/2024</t>
  </si>
  <si>
    <t>812 Shelley Circle</t>
  </si>
  <si>
    <t>41-729-5410</t>
  </si>
  <si>
    <t>Sardines</t>
  </si>
  <si>
    <t>71-727-8611</t>
  </si>
  <si>
    <t>Ntag</t>
  </si>
  <si>
    <t>10/23/2024</t>
  </si>
  <si>
    <t>7193 Crownhardt Drive</t>
  </si>
  <si>
    <t>33-335-9140</t>
  </si>
  <si>
    <t>08-209-1598</t>
  </si>
  <si>
    <t>Blogspan</t>
  </si>
  <si>
    <t>10/24/2024</t>
  </si>
  <si>
    <t>8/20/2024</t>
  </si>
  <si>
    <t>8/27/2024</t>
  </si>
  <si>
    <t>76928 Tennyson Parkway</t>
  </si>
  <si>
    <t>11-581-9869</t>
  </si>
  <si>
    <t>Carrot</t>
  </si>
  <si>
    <t>22-867-3079</t>
  </si>
  <si>
    <t>Avaveo</t>
  </si>
  <si>
    <t>9/26/2024</t>
  </si>
  <si>
    <t>44801 Myrtle Center</t>
  </si>
  <si>
    <t>78-237-0277</t>
  </si>
  <si>
    <t>Black Tea</t>
  </si>
  <si>
    <t>50-314-5433</t>
  </si>
  <si>
    <t>Brainbox</t>
  </si>
  <si>
    <t>9/15/2024</t>
  </si>
  <si>
    <t>9/23/2024</t>
  </si>
  <si>
    <t>79 Cardinal Court</t>
  </si>
  <si>
    <t>75-152-8731</t>
  </si>
  <si>
    <t>05-593-1927</t>
  </si>
  <si>
    <t>Voonix</t>
  </si>
  <si>
    <t>622 Anthes Lane</t>
  </si>
  <si>
    <t>65-718-0492</t>
  </si>
  <si>
    <t>91-492-8216</t>
  </si>
  <si>
    <t>1/23/2025</t>
  </si>
  <si>
    <t>8626 Chinook Parkway</t>
  </si>
  <si>
    <t>55-697-5242</t>
  </si>
  <si>
    <t>Ricotta Cheese</t>
  </si>
  <si>
    <t>74-726-0855</t>
  </si>
  <si>
    <t>Shufflebeat</t>
  </si>
  <si>
    <t>1/31/2025</t>
  </si>
  <si>
    <t>9/24/2024</t>
  </si>
  <si>
    <t>19112 Little Fleur Road</t>
  </si>
  <si>
    <t>14-844-4138</t>
  </si>
  <si>
    <t>90-534-2165</t>
  </si>
  <si>
    <t>10/25/2024</t>
  </si>
  <si>
    <t>40643 Sullivan Lane</t>
  </si>
  <si>
    <t>20-225-3930</t>
  </si>
  <si>
    <t>White Tea</t>
  </si>
  <si>
    <t>73-069-2753</t>
  </si>
  <si>
    <t>Skipstorm</t>
  </si>
  <si>
    <t>2/29/2024</t>
  </si>
  <si>
    <t>5756 Stephen Avenue</t>
  </si>
  <si>
    <t>66-993-4234</t>
  </si>
  <si>
    <t>15-852-0491</t>
  </si>
  <si>
    <t>1/16/2025</t>
  </si>
  <si>
    <t>22 Dexter Trail</t>
  </si>
  <si>
    <t>87-762-1317</t>
  </si>
  <si>
    <t>Mozzarella Cheese</t>
  </si>
  <si>
    <t>58-474-3510</t>
  </si>
  <si>
    <t>Dazzlesphere</t>
  </si>
  <si>
    <t>11/20/2024</t>
  </si>
  <si>
    <t>9305 Warrior Way</t>
  </si>
  <si>
    <t>81-844-2979</t>
  </si>
  <si>
    <t>Broccoli</t>
  </si>
  <si>
    <t>02-575-7332</t>
  </si>
  <si>
    <t>Realblab</t>
  </si>
  <si>
    <t>1/15/2025</t>
  </si>
  <si>
    <t>16 Elgar Point</t>
  </si>
  <si>
    <t>44-408-7594</t>
  </si>
  <si>
    <t>Eggplant</t>
  </si>
  <si>
    <t>08-828-3804</t>
  </si>
  <si>
    <t>Eire</t>
  </si>
  <si>
    <t>11/24/2024</t>
  </si>
  <si>
    <t>81 Oneill Circle</t>
  </si>
  <si>
    <t>26-010-9519</t>
  </si>
  <si>
    <t>28-837-4164</t>
  </si>
  <si>
    <t>Blogtag</t>
  </si>
  <si>
    <t>4508 Shopko Trail</t>
  </si>
  <si>
    <t>65-464-5070</t>
  </si>
  <si>
    <t>Heavy Cream</t>
  </si>
  <si>
    <t>01-517-7793</t>
  </si>
  <si>
    <t>Ntags</t>
  </si>
  <si>
    <t>3/16/2024</t>
  </si>
  <si>
    <t>00 Luster Alley</t>
  </si>
  <si>
    <t>07-970-9352</t>
  </si>
  <si>
    <t>Bell Pepper</t>
  </si>
  <si>
    <t>14-724-4622</t>
  </si>
  <si>
    <t>Tagtune</t>
  </si>
  <si>
    <t>459 Gateway Pass</t>
  </si>
  <si>
    <t>88-746-9468</t>
  </si>
  <si>
    <t>06-159-1957</t>
  </si>
  <si>
    <t>Skiba</t>
  </si>
  <si>
    <t>82737 Ryan Place</t>
  </si>
  <si>
    <t>06-336-5482</t>
  </si>
  <si>
    <t>99-784-4391</t>
  </si>
  <si>
    <t>Voolia</t>
  </si>
  <si>
    <t>12/31/2024</t>
  </si>
  <si>
    <t>7 Mockingbird Hill</t>
  </si>
  <si>
    <t>03-276-3931</t>
  </si>
  <si>
    <t>42-224-8186</t>
  </si>
  <si>
    <t>Oyoloo</t>
  </si>
  <si>
    <t>9/18/2024</t>
  </si>
  <si>
    <t>081 Bellgrove Place</t>
  </si>
  <si>
    <t>39-232-5341</t>
  </si>
  <si>
    <t>Arborio Rice</t>
  </si>
  <si>
    <t>23-319-2681</t>
  </si>
  <si>
    <t>05433 Towne Terrace</t>
  </si>
  <si>
    <t>12-239-9399</t>
  </si>
  <si>
    <t>Potato</t>
  </si>
  <si>
    <t>53-584-1853</t>
  </si>
  <si>
    <t>12/14/2024</t>
  </si>
  <si>
    <t>7/29/2024</t>
  </si>
  <si>
    <t>10/27/2024</t>
  </si>
  <si>
    <t>924 La Follette Alley</t>
  </si>
  <si>
    <t>75-080-4909</t>
  </si>
  <si>
    <t>34-726-5887</t>
  </si>
  <si>
    <t>Tagopia</t>
  </si>
  <si>
    <t>7 Gateway Center</t>
  </si>
  <si>
    <t>70-815-4015</t>
  </si>
  <si>
    <t>Butter Biscuit</t>
  </si>
  <si>
    <t>89-134-9717</t>
  </si>
  <si>
    <t>Ozu</t>
  </si>
  <si>
    <t>7/15/2024</t>
  </si>
  <si>
    <t>175 Sycamore Circle</t>
  </si>
  <si>
    <t>11-032-9778</t>
  </si>
  <si>
    <t>Peas</t>
  </si>
  <si>
    <t>42-380-8881</t>
  </si>
  <si>
    <t>Edgepulse</t>
  </si>
  <si>
    <t>1/27/2025</t>
  </si>
  <si>
    <t>553 Mayfield Crossing</t>
  </si>
  <si>
    <t>54-374-9986</t>
  </si>
  <si>
    <t>Cream</t>
  </si>
  <si>
    <t>33-818-4917</t>
  </si>
  <si>
    <t>Oyondu</t>
  </si>
  <si>
    <t>10/22/2024</t>
  </si>
  <si>
    <t>3/21/2024</t>
  </si>
  <si>
    <t>74997 Katie Terrace</t>
  </si>
  <si>
    <t>77-312-6317</t>
  </si>
  <si>
    <t>12-950-4397</t>
  </si>
  <si>
    <t>Abatz</t>
  </si>
  <si>
    <t>2/26/2024</t>
  </si>
  <si>
    <t>9/13/2024</t>
  </si>
  <si>
    <t>3616 Carey Pass</t>
  </si>
  <si>
    <t>13-844-2178</t>
  </si>
  <si>
    <t>66-832-1802</t>
  </si>
  <si>
    <t>Browsetype</t>
  </si>
  <si>
    <t>3/24/2024</t>
  </si>
  <si>
    <t>86207 Tennyson Parkway</t>
  </si>
  <si>
    <t>22-141-9798</t>
  </si>
  <si>
    <t>59-849-9942</t>
  </si>
  <si>
    <t>Photobean</t>
  </si>
  <si>
    <t>5/18/2024</t>
  </si>
  <si>
    <t>9/20/2024</t>
  </si>
  <si>
    <t>6 Nobel Junction</t>
  </si>
  <si>
    <t>20-022-3173</t>
  </si>
  <si>
    <t>54-188-1006</t>
  </si>
  <si>
    <t>81878 Nobel Point</t>
  </si>
  <si>
    <t>26-177-5690</t>
  </si>
  <si>
    <t>06-708-1412</t>
  </si>
  <si>
    <t>Skinte</t>
  </si>
  <si>
    <t>61707 Mariners Cove Park</t>
  </si>
  <si>
    <t>70-871-4536</t>
  </si>
  <si>
    <t>72-514-7323</t>
  </si>
  <si>
    <t>Cogilith</t>
  </si>
  <si>
    <t>6/17/2024</t>
  </si>
  <si>
    <t>5 Waxwing Junction</t>
  </si>
  <si>
    <t>06-611-5454</t>
  </si>
  <si>
    <t>Peanut Oil</t>
  </si>
  <si>
    <t>43-786-9229</t>
  </si>
  <si>
    <t>Bluezoom</t>
  </si>
  <si>
    <t>1/30/2025</t>
  </si>
  <si>
    <t>16 Autumn Leaf Way</t>
  </si>
  <si>
    <t>89-543-3456</t>
  </si>
  <si>
    <t>Blueberries</t>
  </si>
  <si>
    <t>23-178-8962</t>
  </si>
  <si>
    <t>Jaloo</t>
  </si>
  <si>
    <t>2/28/2024</t>
  </si>
  <si>
    <t>22782 Oriole Way</t>
  </si>
  <si>
    <t>82-395-5070</t>
  </si>
  <si>
    <t>Chocolate Biscuit</t>
  </si>
  <si>
    <t>01-801-9502</t>
  </si>
  <si>
    <t>Vidoo</t>
  </si>
  <si>
    <t>2/17/2025</t>
  </si>
  <si>
    <t>2/20/2025</t>
  </si>
  <si>
    <t>43442 Homewood Street</t>
  </si>
  <si>
    <t>14-305-5348</t>
  </si>
  <si>
    <t>Cheese</t>
  </si>
  <si>
    <t>71-092-6845</t>
  </si>
  <si>
    <t>Shuffledrive</t>
  </si>
  <si>
    <t>19 Shoshone Circle</t>
  </si>
  <si>
    <t>82-243-3180</t>
  </si>
  <si>
    <t>Palm Oil</t>
  </si>
  <si>
    <t>18-631-1458</t>
  </si>
  <si>
    <t>7/31/2024</t>
  </si>
  <si>
    <t>97 Sunnyside Court</t>
  </si>
  <si>
    <t>25-010-9478</t>
  </si>
  <si>
    <t>24-576-3402</t>
  </si>
  <si>
    <t>Topicblab</t>
  </si>
  <si>
    <t>357 Maple Park</t>
  </si>
  <si>
    <t>13-202-4809</t>
  </si>
  <si>
    <t>Garlic</t>
  </si>
  <si>
    <t>24-281-7685</t>
  </si>
  <si>
    <t>5/20/2024</t>
  </si>
  <si>
    <t>6195 Monterey Center</t>
  </si>
  <si>
    <t>67-270-7464</t>
  </si>
  <si>
    <t>Jasmine Rice</t>
  </si>
  <si>
    <t>83-960-5274</t>
  </si>
  <si>
    <t>Yadel</t>
  </si>
  <si>
    <t>7242 Claremont Avenue</t>
  </si>
  <si>
    <t>11-733-1756</t>
  </si>
  <si>
    <t>Rice Flour</t>
  </si>
  <si>
    <t>27-970-8649</t>
  </si>
  <si>
    <t>8/28/2024</t>
  </si>
  <si>
    <t>11/27/2024</t>
  </si>
  <si>
    <t>127 Eliot Road</t>
  </si>
  <si>
    <t>80-988-4653</t>
  </si>
  <si>
    <t>02-272-0535</t>
  </si>
  <si>
    <t>Livetube</t>
  </si>
  <si>
    <t>4/20/2024</t>
  </si>
  <si>
    <t>9/14/2024</t>
  </si>
  <si>
    <t>4/19/2024</t>
  </si>
  <si>
    <t>8 Russell Pass</t>
  </si>
  <si>
    <t>60-343-7973</t>
  </si>
  <si>
    <t>06-303-4127</t>
  </si>
  <si>
    <t>Zoombox</t>
  </si>
  <si>
    <t>4/15/2024</t>
  </si>
  <si>
    <t>4/29/2024</t>
  </si>
  <si>
    <t>85408 Toban Crossing</t>
  </si>
  <si>
    <t>34-861-4446</t>
  </si>
  <si>
    <t>40-696-4237</t>
  </si>
  <si>
    <t>Photobug</t>
  </si>
  <si>
    <t>1/18/2025</t>
  </si>
  <si>
    <t>113 Donald Court</t>
  </si>
  <si>
    <t>67-710-5120</t>
  </si>
  <si>
    <t>00-131-9278</t>
  </si>
  <si>
    <t>Skynoodle</t>
  </si>
  <si>
    <t>10/29/2024</t>
  </si>
  <si>
    <t>12/29/2024</t>
  </si>
  <si>
    <t>2/25/2024</t>
  </si>
  <si>
    <t>978 Shasta Lane</t>
  </si>
  <si>
    <t>49-891-4927</t>
  </si>
  <si>
    <t>Cottage Cheese</t>
  </si>
  <si>
    <t>89-155-3471</t>
  </si>
  <si>
    <t>46 Hoffman Trail</t>
  </si>
  <si>
    <t>55-522-8242</t>
  </si>
  <si>
    <t>Whipped Cream</t>
  </si>
  <si>
    <t>48-884-5431</t>
  </si>
  <si>
    <t>Feedbug</t>
  </si>
  <si>
    <t>3/30/2024</t>
  </si>
  <si>
    <t>7 Spohn Avenue</t>
  </si>
  <si>
    <t>62-509-0666</t>
  </si>
  <si>
    <t>Almond Flour</t>
  </si>
  <si>
    <t>16-419-1419</t>
  </si>
  <si>
    <t>1468 Meadow Vale Court</t>
  </si>
  <si>
    <t>64-478-4745</t>
  </si>
  <si>
    <t>36-780-8625</t>
  </si>
  <si>
    <t>208 Miller Court</t>
  </si>
  <si>
    <t>35-835-5591</t>
  </si>
  <si>
    <t>Tilapia</t>
  </si>
  <si>
    <t>54-876-4296</t>
  </si>
  <si>
    <t>509 Carpenter Trail</t>
  </si>
  <si>
    <t>26-690-3784</t>
  </si>
  <si>
    <t>Lettuce</t>
  </si>
  <si>
    <t>70-463-6597</t>
  </si>
  <si>
    <t>Fadeo</t>
  </si>
  <si>
    <t>19069 Cordelia Drive</t>
  </si>
  <si>
    <t>67-546-1568</t>
  </si>
  <si>
    <t>10-038-3988</t>
  </si>
  <si>
    <t>Edgeify</t>
  </si>
  <si>
    <t>6/16/2024</t>
  </si>
  <si>
    <t>203 Mariners Cove Junction</t>
  </si>
  <si>
    <t>67-625-9704</t>
  </si>
  <si>
    <t>13-475-1009</t>
  </si>
  <si>
    <t>Eayo</t>
  </si>
  <si>
    <t>7819 Fallview Park</t>
  </si>
  <si>
    <t>31-969-4614</t>
  </si>
  <si>
    <t>83-104-8425</t>
  </si>
  <si>
    <t>993 Kensington Drive</t>
  </si>
  <si>
    <t>50-364-5828</t>
  </si>
  <si>
    <t>Coconut</t>
  </si>
  <si>
    <t>17-239-6309</t>
  </si>
  <si>
    <t>8/15/2024</t>
  </si>
  <si>
    <t>12/23/2024</t>
  </si>
  <si>
    <t>772 Golf Course Junction</t>
  </si>
  <si>
    <t>61-827-4098</t>
  </si>
  <si>
    <t>Cod</t>
  </si>
  <si>
    <t>34-850-0377</t>
  </si>
  <si>
    <t>Devbug</t>
  </si>
  <si>
    <t>29992 Warrior Center</t>
  </si>
  <si>
    <t>87-698-0944</t>
  </si>
  <si>
    <t>Banana</t>
  </si>
  <si>
    <t>73-717-0190</t>
  </si>
  <si>
    <t>9/17/2024</t>
  </si>
  <si>
    <t>8 Heffernan Point</t>
  </si>
  <si>
    <t>36-636-4873</t>
  </si>
  <si>
    <t>11-098-3982</t>
  </si>
  <si>
    <t>Wikivu</t>
  </si>
  <si>
    <t>3/25/2024</t>
  </si>
  <si>
    <t>1/17/2025</t>
  </si>
  <si>
    <t>451 Grim Hill</t>
  </si>
  <si>
    <t>98-556-5323</t>
  </si>
  <si>
    <t>Pomegranate</t>
  </si>
  <si>
    <t>21-490-8051</t>
  </si>
  <si>
    <t>Dynabox</t>
  </si>
  <si>
    <t>5/13/2024</t>
  </si>
  <si>
    <t>005 Tomscot Hill</t>
  </si>
  <si>
    <t>97-772-2336</t>
  </si>
  <si>
    <t>19-704-4404</t>
  </si>
  <si>
    <t>Rooxo</t>
  </si>
  <si>
    <t>7/14/2024</t>
  </si>
  <si>
    <t>9 Bartillon Trail</t>
  </si>
  <si>
    <t>19-047-4239</t>
  </si>
  <si>
    <t>Peach</t>
  </si>
  <si>
    <t>11-146-9880</t>
  </si>
  <si>
    <t>Quire</t>
  </si>
  <si>
    <t>5/21/2024</t>
  </si>
  <si>
    <t>7 West Street</t>
  </si>
  <si>
    <t>41-316-8427</t>
  </si>
  <si>
    <t>75-867-3635</t>
  </si>
  <si>
    <t>Realcube</t>
  </si>
  <si>
    <t>03416 Valley Edge Circle</t>
  </si>
  <si>
    <t>15-907-3681</t>
  </si>
  <si>
    <t>72-931-9828</t>
  </si>
  <si>
    <t>Brainsphere</t>
  </si>
  <si>
    <t>21633 Sycamore Center</t>
  </si>
  <si>
    <t>14-305-9690</t>
  </si>
  <si>
    <t>13-457-9946</t>
  </si>
  <si>
    <t>Dabshots</t>
  </si>
  <si>
    <t>43107 Schlimgen Circle</t>
  </si>
  <si>
    <t>40-860-4532</t>
  </si>
  <si>
    <t>73-625-5112</t>
  </si>
  <si>
    <t>11/15/2024</t>
  </si>
  <si>
    <t>988 Southridge Way</t>
  </si>
  <si>
    <t>44-552-3909</t>
  </si>
  <si>
    <t>80-863-1186</t>
  </si>
  <si>
    <t>Riffwire</t>
  </si>
  <si>
    <t>6 Charing Cross Circle</t>
  </si>
  <si>
    <t>75-029-9003</t>
  </si>
  <si>
    <t>61-917-4271</t>
  </si>
  <si>
    <t>Eadel</t>
  </si>
  <si>
    <t>19180 Hagan Parkway</t>
  </si>
  <si>
    <t>74-587-2065</t>
  </si>
  <si>
    <t>33-141-1402</t>
  </si>
  <si>
    <t>Gigaclub</t>
  </si>
  <si>
    <t>84642 Clarendon Point</t>
  </si>
  <si>
    <t>70-149-6756</t>
  </si>
  <si>
    <t>97-150-9199</t>
  </si>
  <si>
    <t>6 Messerschmidt Place</t>
  </si>
  <si>
    <t>29-896-7926</t>
  </si>
  <si>
    <t>White Rice</t>
  </si>
  <si>
    <t>86-400-4155</t>
  </si>
  <si>
    <t>Centidel</t>
  </si>
  <si>
    <t>80930 Briar Crest Point</t>
  </si>
  <si>
    <t>54-822-9009</t>
  </si>
  <si>
    <t>Cauliflower</t>
  </si>
  <si>
    <t>23-197-9965</t>
  </si>
  <si>
    <t>Shufflester</t>
  </si>
  <si>
    <t>64389 Arkansas Alley</t>
  </si>
  <si>
    <t>84-075-7647</t>
  </si>
  <si>
    <t>Canola Oil</t>
  </si>
  <si>
    <t>95-889-8592</t>
  </si>
  <si>
    <t>4/27/2024</t>
  </si>
  <si>
    <t>51 7th Court</t>
  </si>
  <si>
    <t>88-602-8210</t>
  </si>
  <si>
    <t>Avocado Oil</t>
  </si>
  <si>
    <t>26-411-9126</t>
  </si>
  <si>
    <t>Skajo</t>
  </si>
  <si>
    <t>6/19/2024</t>
  </si>
  <si>
    <t>042 Di Loreto Court</t>
  </si>
  <si>
    <t>04-542-3863</t>
  </si>
  <si>
    <t>55-952-9832</t>
  </si>
  <si>
    <t>Eidel</t>
  </si>
  <si>
    <t>403 Loomis Way</t>
  </si>
  <si>
    <t>57-613-5779</t>
  </si>
  <si>
    <t>Gouda Cheese</t>
  </si>
  <si>
    <t>29-009-9132</t>
  </si>
  <si>
    <t>Thoughtblab</t>
  </si>
  <si>
    <t>8/29/2024</t>
  </si>
  <si>
    <t>6 John Wall Plaza</t>
  </si>
  <si>
    <t>90-737-0044</t>
  </si>
  <si>
    <t>39-339-3869</t>
  </si>
  <si>
    <t>Bubblemix</t>
  </si>
  <si>
    <t>5/17/2024</t>
  </si>
  <si>
    <t>92321 Nelson Trail</t>
  </si>
  <si>
    <t>28-956-1320</t>
  </si>
  <si>
    <t>01-445-8931</t>
  </si>
  <si>
    <t>5/23/2024</t>
  </si>
  <si>
    <t>95 Onsgard Way</t>
  </si>
  <si>
    <t>87-791-5803</t>
  </si>
  <si>
    <t>Tuna</t>
  </si>
  <si>
    <t>89-843-0880</t>
  </si>
  <si>
    <t>Meemm</t>
  </si>
  <si>
    <t>8 Fremont Circle</t>
  </si>
  <si>
    <t>14-521-4167</t>
  </si>
  <si>
    <t>Buttermilk</t>
  </si>
  <si>
    <t>68-609-1972</t>
  </si>
  <si>
    <t>00847 Reindahl Place</t>
  </si>
  <si>
    <t>51-572-5497</t>
  </si>
  <si>
    <t>43-035-3382</t>
  </si>
  <si>
    <t>Kanoodle</t>
  </si>
  <si>
    <t>8/31/2024</t>
  </si>
  <si>
    <t>2/13/2025</t>
  </si>
  <si>
    <t>4/28/2024</t>
  </si>
  <si>
    <t>9516 Burrows Circle</t>
  </si>
  <si>
    <t>28-840-6096</t>
  </si>
  <si>
    <t>15-444-8224</t>
  </si>
  <si>
    <t>Flipopia</t>
  </si>
  <si>
    <t>92655 Pond Park</t>
  </si>
  <si>
    <t>44-538-3366</t>
  </si>
  <si>
    <t>33-898-6242</t>
  </si>
  <si>
    <t>Realbridge</t>
  </si>
  <si>
    <t>46 Cardinal Way</t>
  </si>
  <si>
    <t>51-459-5630</t>
  </si>
  <si>
    <t>Sour Cream</t>
  </si>
  <si>
    <t>29-567-3732</t>
  </si>
  <si>
    <t>Skyvu</t>
  </si>
  <si>
    <t>9/29/2024</t>
  </si>
  <si>
    <t>805 Center Parkway</t>
  </si>
  <si>
    <t>02-655-3240</t>
  </si>
  <si>
    <t>95-200-1972</t>
  </si>
  <si>
    <t>Jabberstorm</t>
  </si>
  <si>
    <t>6738 Tennyson Road</t>
  </si>
  <si>
    <t>42-887-6557</t>
  </si>
  <si>
    <t>49-092-2735</t>
  </si>
  <si>
    <t>Geba</t>
  </si>
  <si>
    <t>61224 Northridge Avenue</t>
  </si>
  <si>
    <t>96-316-7600</t>
  </si>
  <si>
    <t>76-671-7104</t>
  </si>
  <si>
    <t>7/27/2024</t>
  </si>
  <si>
    <t>6 Swallow Crossing</t>
  </si>
  <si>
    <t>58-063-8633</t>
  </si>
  <si>
    <t>21-932-5200</t>
  </si>
  <si>
    <t>Skimia</t>
  </si>
  <si>
    <t>33424 Express Avenue</t>
  </si>
  <si>
    <t>43-703-9939</t>
  </si>
  <si>
    <t>69-928-4929</t>
  </si>
  <si>
    <t>4 Sundown Place</t>
  </si>
  <si>
    <t>88-069-5486</t>
  </si>
  <si>
    <t>95-878-1614</t>
  </si>
  <si>
    <t>Buzzshare</t>
  </si>
  <si>
    <t>7/13/2024</t>
  </si>
  <si>
    <t>01330 Sheridan Way</t>
  </si>
  <si>
    <t>74-845-3299</t>
  </si>
  <si>
    <t>Green Tea</t>
  </si>
  <si>
    <t>21-792-1000</t>
  </si>
  <si>
    <t>Oyoyo</t>
  </si>
  <si>
    <t>2 Petterle Road</t>
  </si>
  <si>
    <t>81-605-6246</t>
  </si>
  <si>
    <t>62-086-0407</t>
  </si>
  <si>
    <t>65721 Caliangt Crossing</t>
  </si>
  <si>
    <t>73-561-2867</t>
  </si>
  <si>
    <t>60-386-5077</t>
  </si>
  <si>
    <t>7444 Saint Paul Circle</t>
  </si>
  <si>
    <t>19-967-0632</t>
  </si>
  <si>
    <t>90-445-1753</t>
  </si>
  <si>
    <t>Yombu</t>
  </si>
  <si>
    <t>8/14/2024</t>
  </si>
  <si>
    <t>6990 Kings Place</t>
  </si>
  <si>
    <t>23-070-2433</t>
  </si>
  <si>
    <t>Powdered Sugar</t>
  </si>
  <si>
    <t>82-235-9317</t>
  </si>
  <si>
    <t>Meeveo</t>
  </si>
  <si>
    <t>836 Brown Alley</t>
  </si>
  <si>
    <t>27-262-2437</t>
  </si>
  <si>
    <t>05-181-2682</t>
  </si>
  <si>
    <t>Skidoo</t>
  </si>
  <si>
    <t>8/26/2024</t>
  </si>
  <si>
    <t>739 Swallow Road</t>
  </si>
  <si>
    <t>39-479-5147</t>
  </si>
  <si>
    <t>02-156-7270</t>
  </si>
  <si>
    <t>Meedoo</t>
  </si>
  <si>
    <t>12/24/2024</t>
  </si>
  <si>
    <t>14 Talmadge Park</t>
  </si>
  <si>
    <t>71-085-4290</t>
  </si>
  <si>
    <t>26-593-3478</t>
  </si>
  <si>
    <t>2 Basil Street</t>
  </si>
  <si>
    <t>48-957-6116</t>
  </si>
  <si>
    <t>34-334-6888</t>
  </si>
  <si>
    <t>938 Hanover Point</t>
  </si>
  <si>
    <t>83-917-7384</t>
  </si>
  <si>
    <t>84-923-5086</t>
  </si>
  <si>
    <t>Tavu</t>
  </si>
  <si>
    <t>3/27/2024</t>
  </si>
  <si>
    <t>3 Ilene Terrace</t>
  </si>
  <si>
    <t>26-031-8070</t>
  </si>
  <si>
    <t>Vegetable Oil</t>
  </si>
  <si>
    <t>11-096-4003</t>
  </si>
  <si>
    <t>Trudeo</t>
  </si>
  <si>
    <t>7/25/2024</t>
  </si>
  <si>
    <t>5/25/2024</t>
  </si>
  <si>
    <t>5414 Linden Point</t>
  </si>
  <si>
    <t>03-149-9760</t>
  </si>
  <si>
    <t>08-141-2402</t>
  </si>
  <si>
    <t>Yotz</t>
  </si>
  <si>
    <t>554 Eliot Point</t>
  </si>
  <si>
    <t>53-680-5293</t>
  </si>
  <si>
    <t>Cheddar Cheese</t>
  </si>
  <si>
    <t>47-732-4446</t>
  </si>
  <si>
    <t>Demizz</t>
  </si>
  <si>
    <t>97687 Mendota Terrace</t>
  </si>
  <si>
    <t>49-861-7823</t>
  </si>
  <si>
    <t>22-152-0111</t>
  </si>
  <si>
    <t>Skippad</t>
  </si>
  <si>
    <t>26 Graceland Circle</t>
  </si>
  <si>
    <t>24-364-3341</t>
  </si>
  <si>
    <t>Egg (Turkey)</t>
  </si>
  <si>
    <t>13-290-8513</t>
  </si>
  <si>
    <t>Topiclounge</t>
  </si>
  <si>
    <t>9/25/2024</t>
  </si>
  <si>
    <t>120 Gale Circle</t>
  </si>
  <si>
    <t>80-374-5711</t>
  </si>
  <si>
    <t>77-566-9826</t>
  </si>
  <si>
    <t>Browsecat</t>
  </si>
  <si>
    <t>13 Bluejay Way</t>
  </si>
  <si>
    <t>76-325-9093</t>
  </si>
  <si>
    <t>Sesame Oil</t>
  </si>
  <si>
    <t>67-922-3399</t>
  </si>
  <si>
    <t>4/18/2024</t>
  </si>
  <si>
    <t>01471 Burrows Lane</t>
  </si>
  <si>
    <t>30-429-2162</t>
  </si>
  <si>
    <t>05-100-7102</t>
  </si>
  <si>
    <t>Npath</t>
  </si>
  <si>
    <t>6382 Anniversary Pass</t>
  </si>
  <si>
    <t>53-446-8243</t>
  </si>
  <si>
    <t>51-666-7174</t>
  </si>
  <si>
    <t>7/26/2024</t>
  </si>
  <si>
    <t>4/23/2024</t>
  </si>
  <si>
    <t>757 Grasskamp Drive</t>
  </si>
  <si>
    <t>67-473-7093</t>
  </si>
  <si>
    <t>92-830-6986</t>
  </si>
  <si>
    <t>87417 Forest Pass</t>
  </si>
  <si>
    <t>98-235-2711</t>
  </si>
  <si>
    <t>Asparagus</t>
  </si>
  <si>
    <t>23-052-4744</t>
  </si>
  <si>
    <t>Devpoint</t>
  </si>
  <si>
    <t>5 Transport Pass</t>
  </si>
  <si>
    <t>07-219-8017</t>
  </si>
  <si>
    <t>95-148-9287</t>
  </si>
  <si>
    <t>Skibox</t>
  </si>
  <si>
    <t>10/31/2024</t>
  </si>
  <si>
    <t>357 High Crossing Parkway</t>
  </si>
  <si>
    <t>97-040-3822</t>
  </si>
  <si>
    <t>78-459-1417</t>
  </si>
  <si>
    <t>Gevee</t>
  </si>
  <si>
    <t>42 Clemons Terrace</t>
  </si>
  <si>
    <t>10-002-6494</t>
  </si>
  <si>
    <t>47-509-7282</t>
  </si>
  <si>
    <t>Meevee</t>
  </si>
  <si>
    <t>48 Vahlen Place</t>
  </si>
  <si>
    <t>12-998-3882</t>
  </si>
  <si>
    <t>06-151-9076</t>
  </si>
  <si>
    <t>94862 Beilfuss Terrace</t>
  </si>
  <si>
    <t>31-746-4951</t>
  </si>
  <si>
    <t>Whole Wheat Flour</t>
  </si>
  <si>
    <t>70-212-0990</t>
  </si>
  <si>
    <t>759 Waywood Court</t>
  </si>
  <si>
    <t>87-097-5691</t>
  </si>
  <si>
    <t>Robusta Coffee</t>
  </si>
  <si>
    <t>26-213-7885</t>
  </si>
  <si>
    <t>Photofeed</t>
  </si>
  <si>
    <t>236 Gateway Lane</t>
  </si>
  <si>
    <t>34-075-0371</t>
  </si>
  <si>
    <t>Watermelon</t>
  </si>
  <si>
    <t>32-771-2617</t>
  </si>
  <si>
    <t>Latz</t>
  </si>
  <si>
    <t>0039 Shelley Place</t>
  </si>
  <si>
    <t>40-810-9261</t>
  </si>
  <si>
    <t>56-554-1762</t>
  </si>
  <si>
    <t>Cogibox</t>
  </si>
  <si>
    <t>3 Raven Court</t>
  </si>
  <si>
    <t>46-931-6897</t>
  </si>
  <si>
    <t>22-946-8052</t>
  </si>
  <si>
    <t>6/15/2024</t>
  </si>
  <si>
    <t>44 Kensington Road</t>
  </si>
  <si>
    <t>58-182-6781</t>
  </si>
  <si>
    <t>75-328-1709</t>
  </si>
  <si>
    <t>Pixope</t>
  </si>
  <si>
    <t>86 Maryland Junction</t>
  </si>
  <si>
    <t>06-706-6490</t>
  </si>
  <si>
    <t>85-670-6379</t>
  </si>
  <si>
    <t>Tanoodle</t>
  </si>
  <si>
    <t>3/15/2024</t>
  </si>
  <si>
    <t>443 Browning Terrace</t>
  </si>
  <si>
    <t>47-578-4161</t>
  </si>
  <si>
    <t>Anchovies</t>
  </si>
  <si>
    <t>96-001-5429</t>
  </si>
  <si>
    <t>Jaxspan</t>
  </si>
  <si>
    <t>5 Forest Run Way</t>
  </si>
  <si>
    <t>18-199-5799</t>
  </si>
  <si>
    <t>76-870-2139</t>
  </si>
  <si>
    <t>Jayo</t>
  </si>
  <si>
    <t>87784 Blaine Way</t>
  </si>
  <si>
    <t>00-357-2313</t>
  </si>
  <si>
    <t>93-619-6639</t>
  </si>
  <si>
    <t>Quamba</t>
  </si>
  <si>
    <t>0 Oxford Crossing</t>
  </si>
  <si>
    <t>83-704-6367</t>
  </si>
  <si>
    <t>41-628-8713</t>
  </si>
  <si>
    <t>298 Corry Plaza</t>
  </si>
  <si>
    <t>01-144-5960</t>
  </si>
  <si>
    <t>80-848-7493</t>
  </si>
  <si>
    <t>Zazio</t>
  </si>
  <si>
    <t>10/20/2024</t>
  </si>
  <si>
    <t>52105 Mandrake Place</t>
  </si>
  <si>
    <t>96-774-0457</t>
  </si>
  <si>
    <t>71-991-5737</t>
  </si>
  <si>
    <t>Izio</t>
  </si>
  <si>
    <t>7369 Thackeray Drive</t>
  </si>
  <si>
    <t>24-310-9184</t>
  </si>
  <si>
    <t>69-378-2045</t>
  </si>
  <si>
    <t>Brainlounge</t>
  </si>
  <si>
    <t>6 Haas Circle</t>
  </si>
  <si>
    <t>10-255-8579</t>
  </si>
  <si>
    <t>Basmati Rice</t>
  </si>
  <si>
    <t>29-112-1577</t>
  </si>
  <si>
    <t>Trilia</t>
  </si>
  <si>
    <t>7/24/2024</t>
  </si>
  <si>
    <t>1959 Marcy Center</t>
  </si>
  <si>
    <t>38-417-4656</t>
  </si>
  <si>
    <t>57-202-5756</t>
  </si>
  <si>
    <t>4/13/2024</t>
  </si>
  <si>
    <t>1309 Elka Junction</t>
  </si>
  <si>
    <t>53-080-8252</t>
  </si>
  <si>
    <t>73-744-7022</t>
  </si>
  <si>
    <t>12/19/2024</t>
  </si>
  <si>
    <t>2 Grayhawk Junction</t>
  </si>
  <si>
    <t>14-681-7035</t>
  </si>
  <si>
    <t>01-308-0960</t>
  </si>
  <si>
    <t>Voolith</t>
  </si>
  <si>
    <t>95261 Morningstar Way</t>
  </si>
  <si>
    <t>96-503-7712</t>
  </si>
  <si>
    <t>97-325-5889</t>
  </si>
  <si>
    <t>Twitterbridge</t>
  </si>
  <si>
    <t>84148 Prairie Rose Center</t>
  </si>
  <si>
    <t>98-064-4465</t>
  </si>
  <si>
    <t>93-719-9817</t>
  </si>
  <si>
    <t>Feedfire</t>
  </si>
  <si>
    <t>109 Twin Pines Avenue</t>
  </si>
  <si>
    <t>84-198-7276</t>
  </si>
  <si>
    <t>34-158-6684</t>
  </si>
  <si>
    <t>6 Harbort Hill</t>
  </si>
  <si>
    <t>18-278-2383</t>
  </si>
  <si>
    <t>73-210-4267</t>
  </si>
  <si>
    <t>96 American Center</t>
  </si>
  <si>
    <t>20-054-3716</t>
  </si>
  <si>
    <t>49-591-1019</t>
  </si>
  <si>
    <t>JumpXS</t>
  </si>
  <si>
    <t>9/16/2024</t>
  </si>
  <si>
    <t>39 Lakewood Gardens Center</t>
  </si>
  <si>
    <t>63-822-5278</t>
  </si>
  <si>
    <t>27-636-1606</t>
  </si>
  <si>
    <t>5900 Vahlen Avenue</t>
  </si>
  <si>
    <t>01-439-6231</t>
  </si>
  <si>
    <t>Sunflower Oil</t>
  </si>
  <si>
    <t>08-490-1714</t>
  </si>
  <si>
    <t>8 Spaight Circle</t>
  </si>
  <si>
    <t>06-690-2335</t>
  </si>
  <si>
    <t>66-317-4895</t>
  </si>
  <si>
    <t>5 Linden Terrace</t>
  </si>
  <si>
    <t>47-554-5780</t>
  </si>
  <si>
    <t>62-979-5038</t>
  </si>
  <si>
    <t>Babbleopia</t>
  </si>
  <si>
    <t>1 Westport Crossing</t>
  </si>
  <si>
    <t>70-587-1204</t>
  </si>
  <si>
    <t>41-399-9203</t>
  </si>
  <si>
    <t>2446 Anhalt Way</t>
  </si>
  <si>
    <t>97-710-2449</t>
  </si>
  <si>
    <t>39-676-9308</t>
  </si>
  <si>
    <t>0 Miller Pass</t>
  </si>
  <si>
    <t>51-462-0747</t>
  </si>
  <si>
    <t>Lime</t>
  </si>
  <si>
    <t>40-417-9838</t>
  </si>
  <si>
    <t>1/22/2025</t>
  </si>
  <si>
    <t>453 Dryden Park</t>
  </si>
  <si>
    <t>90-492-0564</t>
  </si>
  <si>
    <t>18-085-1667</t>
  </si>
  <si>
    <t>6/25/2024</t>
  </si>
  <si>
    <t>7/20/2024</t>
  </si>
  <si>
    <t>54 Pawling Crossing</t>
  </si>
  <si>
    <t>63-956-0739</t>
  </si>
  <si>
    <t>17-123-1252</t>
  </si>
  <si>
    <t>Jetwire</t>
  </si>
  <si>
    <t>2/21/2025</t>
  </si>
  <si>
    <t>6808 Chinook Parkway</t>
  </si>
  <si>
    <t>30-832-5429</t>
  </si>
  <si>
    <t>41-800-2842</t>
  </si>
  <si>
    <t>Topicshots</t>
  </si>
  <si>
    <t>894 Kingsford Road</t>
  </si>
  <si>
    <t>38-822-8005</t>
  </si>
  <si>
    <t>45-886-1540</t>
  </si>
  <si>
    <t>Innojam</t>
  </si>
  <si>
    <t>3/31/2024</t>
  </si>
  <si>
    <t>6 Stang Hill</t>
  </si>
  <si>
    <t>73-118-1117</t>
  </si>
  <si>
    <t>55-557-8544</t>
  </si>
  <si>
    <t>5/27/2024</t>
  </si>
  <si>
    <t>482 Green Center</t>
  </si>
  <si>
    <t>60-285-3783</t>
  </si>
  <si>
    <t>58-827-9061</t>
  </si>
  <si>
    <t>37973 Parkside Junction</t>
  </si>
  <si>
    <t>00-215-7434</t>
  </si>
  <si>
    <t>85-272-3969</t>
  </si>
  <si>
    <t>Quatz</t>
  </si>
  <si>
    <t>389 Ridgeway Park</t>
  </si>
  <si>
    <t>68-734-1585</t>
  </si>
  <si>
    <t>54-537-5633</t>
  </si>
  <si>
    <t>4/16/2024</t>
  </si>
  <si>
    <t>3 Hagan Drive</t>
  </si>
  <si>
    <t>08-703-1382</t>
  </si>
  <si>
    <t>29-975-3449</t>
  </si>
  <si>
    <t>Wikizz</t>
  </si>
  <si>
    <t>6/21/2024</t>
  </si>
  <si>
    <t>082 Clove Plaza</t>
  </si>
  <si>
    <t>65-282-0419</t>
  </si>
  <si>
    <t>85-932-1011</t>
  </si>
  <si>
    <t>7/17/2024</t>
  </si>
  <si>
    <t>509 Waywood Center</t>
  </si>
  <si>
    <t>62-777-6010</t>
  </si>
  <si>
    <t>40-914-7156</t>
  </si>
  <si>
    <t>5743 Superior Place</t>
  </si>
  <si>
    <t>87-675-1506</t>
  </si>
  <si>
    <t>21-697-8128</t>
  </si>
  <si>
    <t>Skalith</t>
  </si>
  <si>
    <t>60241 Portage Point</t>
  </si>
  <si>
    <t>67-027-7269</t>
  </si>
  <si>
    <t>50-050-5707</t>
  </si>
  <si>
    <t>Twitterbeat</t>
  </si>
  <si>
    <t>11/30/2024</t>
  </si>
  <si>
    <t>615 Mayer Drive</t>
  </si>
  <si>
    <t>72-066-4597</t>
  </si>
  <si>
    <t>97-994-0773</t>
  </si>
  <si>
    <t>Zoovu</t>
  </si>
  <si>
    <t>03 Fisk Alley</t>
  </si>
  <si>
    <t>31-627-6025</t>
  </si>
  <si>
    <t>17-084-8551</t>
  </si>
  <si>
    <t>8/22/2024</t>
  </si>
  <si>
    <t>1/20/2025</t>
  </si>
  <si>
    <t>44638 Corscot Lane</t>
  </si>
  <si>
    <t>09-286-8107</t>
  </si>
  <si>
    <t>90-727-4816</t>
  </si>
  <si>
    <t>Skyndu</t>
  </si>
  <si>
    <t>12/15/2024</t>
  </si>
  <si>
    <t>75 Bunting Junction</t>
  </si>
  <si>
    <t>77-013-1553</t>
  </si>
  <si>
    <t>42-252-5861</t>
  </si>
  <si>
    <t>Yodo</t>
  </si>
  <si>
    <t>48788 Chinook Place</t>
  </si>
  <si>
    <t>15-762-1058</t>
  </si>
  <si>
    <t>32-914-1424</t>
  </si>
  <si>
    <t>Tazz</t>
  </si>
  <si>
    <t>11/29/2024</t>
  </si>
  <si>
    <t>083 Mccormick Park</t>
  </si>
  <si>
    <t>48-193-1199</t>
  </si>
  <si>
    <t>63-924-5144</t>
  </si>
  <si>
    <t>Omba</t>
  </si>
  <si>
    <t>339 Paget Place</t>
  </si>
  <si>
    <t>01-173-0029</t>
  </si>
  <si>
    <t>18-880-7910</t>
  </si>
  <si>
    <t>DabZ</t>
  </si>
  <si>
    <t>8 Dakota Avenue</t>
  </si>
  <si>
    <t>79-400-6216</t>
  </si>
  <si>
    <t>83-361-7509</t>
  </si>
  <si>
    <t>4 Warbler Center</t>
  </si>
  <si>
    <t>80-072-8774</t>
  </si>
  <si>
    <t>61-222-8413</t>
  </si>
  <si>
    <t>Viva</t>
  </si>
  <si>
    <t>10/15/2024</t>
  </si>
  <si>
    <t>239 Anderson Court</t>
  </si>
  <si>
    <t>78-689-8958</t>
  </si>
  <si>
    <t>52-744-6162</t>
  </si>
  <si>
    <t>3/29/2024</t>
  </si>
  <si>
    <t>04 Mesta Parkway</t>
  </si>
  <si>
    <t>57-562-2358</t>
  </si>
  <si>
    <t>22-644-6447</t>
  </si>
  <si>
    <t>00 6th Parkway</t>
  </si>
  <si>
    <t>56-191-6497</t>
  </si>
  <si>
    <t>65-395-5947</t>
  </si>
  <si>
    <t>Bubblebox</t>
  </si>
  <si>
    <t>1/14/2025</t>
  </si>
  <si>
    <t>844 Schurz Point</t>
  </si>
  <si>
    <t>46-753-8430</t>
  </si>
  <si>
    <t>35-042-9391</t>
  </si>
  <si>
    <t>Rhynyx</t>
  </si>
  <si>
    <t>60356 Derek Lane</t>
  </si>
  <si>
    <t>48-461-3742</t>
  </si>
  <si>
    <t>78-381-5054</t>
  </si>
  <si>
    <t>Zooveo</t>
  </si>
  <si>
    <t>42719 Milwaukee Avenue</t>
  </si>
  <si>
    <t>16-354-8122</t>
  </si>
  <si>
    <t>Digestive Biscuit</t>
  </si>
  <si>
    <t>61-604-8116</t>
  </si>
  <si>
    <t>BlogXS</t>
  </si>
  <si>
    <t>66 Raven Pass</t>
  </si>
  <si>
    <t>76-954-1442</t>
  </si>
  <si>
    <t>68-200-8955</t>
  </si>
  <si>
    <t>4/24/2024</t>
  </si>
  <si>
    <t>43024 Elka Avenue</t>
  </si>
  <si>
    <t>44-476-0390</t>
  </si>
  <si>
    <t>48-562-3582</t>
  </si>
  <si>
    <t>3/14/2024</t>
  </si>
  <si>
    <t>022 Pierstorff Point</t>
  </si>
  <si>
    <t>35-617-3857</t>
  </si>
  <si>
    <t>90-718-2724</t>
  </si>
  <si>
    <t>Youspan</t>
  </si>
  <si>
    <t>292 Charing Cross Terrace</t>
  </si>
  <si>
    <t>94-029-2717</t>
  </si>
  <si>
    <t>37-878-9392</t>
  </si>
  <si>
    <t>Jetpulse</t>
  </si>
  <si>
    <t>071 Nobel Circle</t>
  </si>
  <si>
    <t>49-526-7806</t>
  </si>
  <si>
    <t>Kale</t>
  </si>
  <si>
    <t>66-973-4855</t>
  </si>
  <si>
    <t>Yodoo</t>
  </si>
  <si>
    <t>6744 Helena Pass</t>
  </si>
  <si>
    <t>99-137-1730</t>
  </si>
  <si>
    <t>65-797-3468</t>
  </si>
  <si>
    <t>4105 Fair Oaks Parkway</t>
  </si>
  <si>
    <t>27-442-3654</t>
  </si>
  <si>
    <t>57-544-2465</t>
  </si>
  <si>
    <t>Yoveo</t>
  </si>
  <si>
    <t>67677 Lakewood Gardens Way</t>
  </si>
  <si>
    <t>32-933-0329</t>
  </si>
  <si>
    <t>86-760-5412</t>
  </si>
  <si>
    <t>57150 Del Sol Alley</t>
  </si>
  <si>
    <t>93-813-2419</t>
  </si>
  <si>
    <t>12-264-4503</t>
  </si>
  <si>
    <t>7407 Farragut Pass</t>
  </si>
  <si>
    <t>85-440-3667</t>
  </si>
  <si>
    <t>00-680-5333</t>
  </si>
  <si>
    <t>6151 Forster Drive</t>
  </si>
  <si>
    <t>77-224-2227</t>
  </si>
  <si>
    <t>89-226-5813</t>
  </si>
  <si>
    <t>Eimbee</t>
  </si>
  <si>
    <t>10/26/2024</t>
  </si>
  <si>
    <t>5426 Fordem Pass</t>
  </si>
  <si>
    <t>60-632-8752</t>
  </si>
  <si>
    <t>07-948-8632</t>
  </si>
  <si>
    <t>Trunyx</t>
  </si>
  <si>
    <t>48 Golf View Pass</t>
  </si>
  <si>
    <t>99-561-4871</t>
  </si>
  <si>
    <t>04-786-5408</t>
  </si>
  <si>
    <t>Buzzdog</t>
  </si>
  <si>
    <t>952 Rowland Junction</t>
  </si>
  <si>
    <t>61-607-7622</t>
  </si>
  <si>
    <t>77-175-2969</t>
  </si>
  <si>
    <t>Zoonoodle</t>
  </si>
  <si>
    <t>329 Helena Park</t>
  </si>
  <si>
    <t>11-745-3025</t>
  </si>
  <si>
    <t>54-711-1582</t>
  </si>
  <si>
    <t>3104 Ridge Oak Hill</t>
  </si>
  <si>
    <t>56-810-0550</t>
  </si>
  <si>
    <t>Mackerel</t>
  </si>
  <si>
    <t>94-145-9423</t>
  </si>
  <si>
    <t>Janyx</t>
  </si>
  <si>
    <t>376 Reinke Court</t>
  </si>
  <si>
    <t>59-075-2457</t>
  </si>
  <si>
    <t>18-733-2453</t>
  </si>
  <si>
    <t>Dynava</t>
  </si>
  <si>
    <t>2 Barby Lane</t>
  </si>
  <si>
    <t>40-021-2400</t>
  </si>
  <si>
    <t>62-648-2577</t>
  </si>
  <si>
    <t>265 Columbus Way</t>
  </si>
  <si>
    <t>29-017-6255</t>
  </si>
  <si>
    <t>43-348-2450</t>
  </si>
  <si>
    <t>20 Pennsylvania Parkway</t>
  </si>
  <si>
    <t>92-291-7089</t>
  </si>
  <si>
    <t>08-523-5066</t>
  </si>
  <si>
    <t>9307 Kingsford Road</t>
  </si>
  <si>
    <t>69-287-9113</t>
  </si>
  <si>
    <t>20-952-0731</t>
  </si>
  <si>
    <t>12/16/2024</t>
  </si>
  <si>
    <t>11 Golden Leaf Alley</t>
  </si>
  <si>
    <t>76-540-6407</t>
  </si>
  <si>
    <t>78-644-5877</t>
  </si>
  <si>
    <t>Demimbu</t>
  </si>
  <si>
    <t>77 Prairie Rose Park</t>
  </si>
  <si>
    <t>85-561-4694</t>
  </si>
  <si>
    <t>57-486-8971</t>
  </si>
  <si>
    <t>1 Lake View Trail</t>
  </si>
  <si>
    <t>34-928-2775</t>
  </si>
  <si>
    <t>07-959-3210</t>
  </si>
  <si>
    <t>Browseblab</t>
  </si>
  <si>
    <t>7945 Mayer Center</t>
  </si>
  <si>
    <t>90-773-9557</t>
  </si>
  <si>
    <t>02-165-5779</t>
  </si>
  <si>
    <t>904 Del Mar Crossing</t>
  </si>
  <si>
    <t>57-394-1587</t>
  </si>
  <si>
    <t>59-595-7531</t>
  </si>
  <si>
    <t>Roomm</t>
  </si>
  <si>
    <t>8/25/2024</t>
  </si>
  <si>
    <t>561 Blue Bill Park Road</t>
  </si>
  <si>
    <t>28-008-2951</t>
  </si>
  <si>
    <t>64-118-1480</t>
  </si>
  <si>
    <t>Buzzster</t>
  </si>
  <si>
    <t>26 Barnett Junction</t>
  </si>
  <si>
    <t>74-711-7160</t>
  </si>
  <si>
    <t>40-662-8853</t>
  </si>
  <si>
    <t>Meembee</t>
  </si>
  <si>
    <t>44296 Kropf Avenue</t>
  </si>
  <si>
    <t>22-895-6595</t>
  </si>
  <si>
    <t>18-445-5057</t>
  </si>
  <si>
    <t>11/21/2024</t>
  </si>
  <si>
    <t>34642 Carpenter Place</t>
  </si>
  <si>
    <t>19-214-5762</t>
  </si>
  <si>
    <t>88-108-3774</t>
  </si>
  <si>
    <t>Gigashots</t>
  </si>
  <si>
    <t>7 Bonner Terrace</t>
  </si>
  <si>
    <t>95-349-0828</t>
  </si>
  <si>
    <t>43-977-2343</t>
  </si>
  <si>
    <t>9/27/2024</t>
  </si>
  <si>
    <t>60 Towne Hill</t>
  </si>
  <si>
    <t>00-963-2193</t>
  </si>
  <si>
    <t>Milk</t>
  </si>
  <si>
    <t>39-521-8484</t>
  </si>
  <si>
    <t>Thoughtsphere</t>
  </si>
  <si>
    <t>7/19/2024</t>
  </si>
  <si>
    <t>5030 Moose Junction</t>
  </si>
  <si>
    <t>76-459-2392</t>
  </si>
  <si>
    <t>91-030-6609</t>
  </si>
  <si>
    <t>2005 Mccormick Road</t>
  </si>
  <si>
    <t>10-034-7654</t>
  </si>
  <si>
    <t>27-292-4656</t>
  </si>
  <si>
    <t>Zava</t>
  </si>
  <si>
    <t>21 Esker Way</t>
  </si>
  <si>
    <t>24-972-6969</t>
  </si>
  <si>
    <t>27-532-7847</t>
  </si>
  <si>
    <t>6/13/2024</t>
  </si>
  <si>
    <t>5862 Hooker Pass</t>
  </si>
  <si>
    <t>94-190-5193</t>
  </si>
  <si>
    <t>95-778-2888</t>
  </si>
  <si>
    <t>Quinu</t>
  </si>
  <si>
    <t>24385 Prentice Plaza</t>
  </si>
  <si>
    <t>92-791-0606</t>
  </si>
  <si>
    <t>56-050-1773</t>
  </si>
  <si>
    <t>739 Grayhawk Trail</t>
  </si>
  <si>
    <t>84-629-1532</t>
  </si>
  <si>
    <t>50-378-4320</t>
  </si>
  <si>
    <t>Chatterpoint</t>
  </si>
  <si>
    <t>7 Sloan Park</t>
  </si>
  <si>
    <t>68-977-2498</t>
  </si>
  <si>
    <t>Grapes</t>
  </si>
  <si>
    <t>26-222-1156</t>
  </si>
  <si>
    <t>Skinix</t>
  </si>
  <si>
    <t>7/30/2024</t>
  </si>
  <si>
    <t>6482 Ramsey Alley</t>
  </si>
  <si>
    <t>91-257-3672</t>
  </si>
  <si>
    <t>30-438-6295</t>
  </si>
  <si>
    <t>InnoZ</t>
  </si>
  <si>
    <t>10997 Dexter Parkway</t>
  </si>
  <si>
    <t>09-536-2626</t>
  </si>
  <si>
    <t>14-483-5712</t>
  </si>
  <si>
    <t>Fliptune</t>
  </si>
  <si>
    <t>205 Straubel Court</t>
  </si>
  <si>
    <t>61-801-8665</t>
  </si>
  <si>
    <t>78-283-9751</t>
  </si>
  <si>
    <t>Demivee</t>
  </si>
  <si>
    <t>58 La Follette Park</t>
  </si>
  <si>
    <t>38-296-6634</t>
  </si>
  <si>
    <t>41-083-3955</t>
  </si>
  <si>
    <t>160 Kings Street</t>
  </si>
  <si>
    <t>30-591-7275</t>
  </si>
  <si>
    <t>Brown Rice</t>
  </si>
  <si>
    <t>12-431-9207</t>
  </si>
  <si>
    <t>7020 Porter Trail</t>
  </si>
  <si>
    <t>83-763-5038</t>
  </si>
  <si>
    <t>26-438-8349</t>
  </si>
  <si>
    <t>Jatri</t>
  </si>
  <si>
    <t>5 Armistice Parkway</t>
  </si>
  <si>
    <t>37-709-3532</t>
  </si>
  <si>
    <t>08-439-3820</t>
  </si>
  <si>
    <t>524 Saint Paul Park</t>
  </si>
  <si>
    <t>62-795-7801</t>
  </si>
  <si>
    <t>08-312-0872</t>
  </si>
  <si>
    <t>11/23/2024</t>
  </si>
  <si>
    <t>94451 Arkansas Park</t>
  </si>
  <si>
    <t>98-575-4736</t>
  </si>
  <si>
    <t>44-429-6199</t>
  </si>
  <si>
    <t>Flashset</t>
  </si>
  <si>
    <t>83 Pleasure Street</t>
  </si>
  <si>
    <t>57-861-4379</t>
  </si>
  <si>
    <t>73-383-4390</t>
  </si>
  <si>
    <t>64407 Marcy Plaza</t>
  </si>
  <si>
    <t>00-119-8780</t>
  </si>
  <si>
    <t>Halibut</t>
  </si>
  <si>
    <t>14-703-2550</t>
  </si>
  <si>
    <t>21 Sunbrook Court</t>
  </si>
  <si>
    <t>28-824-9017</t>
  </si>
  <si>
    <t>93-712-3934</t>
  </si>
  <si>
    <t>4 Jay Terrace</t>
  </si>
  <si>
    <t>56-668-5370</t>
  </si>
  <si>
    <t>13-526-1392</t>
  </si>
  <si>
    <t>Vimbo</t>
  </si>
  <si>
    <t>05686 Golden Leaf Point</t>
  </si>
  <si>
    <t>29-756-7042</t>
  </si>
  <si>
    <t>20-426-2191</t>
  </si>
  <si>
    <t>Dabvine</t>
  </si>
  <si>
    <t>99 Fair Oaks Circle</t>
  </si>
  <si>
    <t>41-538-3129</t>
  </si>
  <si>
    <t>91-589-9007</t>
  </si>
  <si>
    <t>2 Carioca Crossing</t>
  </si>
  <si>
    <t>16-380-0753</t>
  </si>
  <si>
    <t>Apricot</t>
  </si>
  <si>
    <t>24-603-5521</t>
  </si>
  <si>
    <t>701 Logan Court</t>
  </si>
  <si>
    <t>26-535-4727</t>
  </si>
  <si>
    <t>17-939-1338</t>
  </si>
  <si>
    <t>Jamia</t>
  </si>
  <si>
    <t>4 Darwin Circle</t>
  </si>
  <si>
    <t>59-857-6577</t>
  </si>
  <si>
    <t>Evaporated Milk</t>
  </si>
  <si>
    <t>57-569-7172</t>
  </si>
  <si>
    <t>Blognation</t>
  </si>
  <si>
    <t>230 Tony Court</t>
  </si>
  <si>
    <t>14-550-2152</t>
  </si>
  <si>
    <t>60-003-2919</t>
  </si>
  <si>
    <t>Livepath</t>
  </si>
  <si>
    <t>6/18/2024</t>
  </si>
  <si>
    <t>3 Forster Point</t>
  </si>
  <si>
    <t>39-315-3936</t>
  </si>
  <si>
    <t>99-034-7010</t>
  </si>
  <si>
    <t>Yata</t>
  </si>
  <si>
    <t>850 Glacier Hill Drive</t>
  </si>
  <si>
    <t>87-199-2743</t>
  </si>
  <si>
    <t>Papaya</t>
  </si>
  <si>
    <t>54-907-6531</t>
  </si>
  <si>
    <t>38695 Kenwood Circle</t>
  </si>
  <si>
    <t>60-771-0879</t>
  </si>
  <si>
    <t>90-554-0576</t>
  </si>
  <si>
    <t>9 Karstens Center</t>
  </si>
  <si>
    <t>00-440-9568</t>
  </si>
  <si>
    <t>43-605-2448</t>
  </si>
  <si>
    <t>052 Northland Trail</t>
  </si>
  <si>
    <t>07-074-1196</t>
  </si>
  <si>
    <t>69-112-6969</t>
  </si>
  <si>
    <t>4/14/2024</t>
  </si>
  <si>
    <t>27 New Castle Avenue</t>
  </si>
  <si>
    <t>69-674-5387</t>
  </si>
  <si>
    <t>Yogurt</t>
  </si>
  <si>
    <t>04-313-0298</t>
  </si>
  <si>
    <t>Miboo</t>
  </si>
  <si>
    <t>6/27/2024</t>
  </si>
  <si>
    <t>6211 Hanson Terrace</t>
  </si>
  <si>
    <t>08-940-8578</t>
  </si>
  <si>
    <t>37-686-1726</t>
  </si>
  <si>
    <t>Oba</t>
  </si>
  <si>
    <t>74 Menomonie Point</t>
  </si>
  <si>
    <t>94-020-6982</t>
  </si>
  <si>
    <t>72-649-3163</t>
  </si>
  <si>
    <t>381 Rutledge Place</t>
  </si>
  <si>
    <t>42-879-9478</t>
  </si>
  <si>
    <t>00-900-0119</t>
  </si>
  <si>
    <t>Zoonder</t>
  </si>
  <si>
    <t>2/23/2025</t>
  </si>
  <si>
    <t>86 Porter Junction</t>
  </si>
  <si>
    <t>00-405-7428</t>
  </si>
  <si>
    <t>Apple</t>
  </si>
  <si>
    <t>42-746-2717</t>
  </si>
  <si>
    <t>42 Mallory Court</t>
  </si>
  <si>
    <t>87-997-0228</t>
  </si>
  <si>
    <t>55-156-6528</t>
  </si>
  <si>
    <t>12/27/2024</t>
  </si>
  <si>
    <t>26240 Maple Wood Place</t>
  </si>
  <si>
    <t>05-498-7751</t>
  </si>
  <si>
    <t>17-963-6051</t>
  </si>
  <si>
    <t>Abata</t>
  </si>
  <si>
    <t>30408 5th Way</t>
  </si>
  <si>
    <t>55-631-7937</t>
  </si>
  <si>
    <t>79-508-5241</t>
  </si>
  <si>
    <t>Avamba</t>
  </si>
  <si>
    <t>82 Drewry Junction</t>
  </si>
  <si>
    <t>27-389-3529</t>
  </si>
  <si>
    <t>73-201-2803</t>
  </si>
  <si>
    <t>Feedfish</t>
  </si>
  <si>
    <t>234 Eagle Crest Avenue</t>
  </si>
  <si>
    <t>84-272-0790</t>
  </si>
  <si>
    <t>00-635-4638</t>
  </si>
  <si>
    <t>53 Caliangt Junction</t>
  </si>
  <si>
    <t>01-903-5373</t>
  </si>
  <si>
    <t>37-902-0286</t>
  </si>
  <si>
    <t>Lazz</t>
  </si>
  <si>
    <t>32525 Marquette Park</t>
  </si>
  <si>
    <t>49-311-3063</t>
  </si>
  <si>
    <t>15-947-9718</t>
  </si>
  <si>
    <t>Talane</t>
  </si>
  <si>
    <t>71 Bultman Drive</t>
  </si>
  <si>
    <t>04-277-5245</t>
  </si>
  <si>
    <t>Coconut Sugar</t>
  </si>
  <si>
    <t>90-175-7764</t>
  </si>
  <si>
    <t>911 Ridgeway Way</t>
  </si>
  <si>
    <t>04-453-5485</t>
  </si>
  <si>
    <t>Tomato</t>
  </si>
  <si>
    <t>43-880-2879</t>
  </si>
  <si>
    <t>2 Sunbrook Lane</t>
  </si>
  <si>
    <t>42-141-5718</t>
  </si>
  <si>
    <t>67-662-3444</t>
  </si>
  <si>
    <t>1700 Briar Crest Parkway</t>
  </si>
  <si>
    <t>89-602-6755</t>
  </si>
  <si>
    <t>51-054-3811</t>
  </si>
  <si>
    <t>4 Bashford Court</t>
  </si>
  <si>
    <t>15-045-8444</t>
  </si>
  <si>
    <t>29-143-2001</t>
  </si>
  <si>
    <t>Aibox</t>
  </si>
  <si>
    <t>97 Thierer Terrace</t>
  </si>
  <si>
    <t>15-240-6267</t>
  </si>
  <si>
    <t>12-983-3026</t>
  </si>
  <si>
    <t>Mybuzz</t>
  </si>
  <si>
    <t>25784 Old Gate Crossing</t>
  </si>
  <si>
    <t>05-193-8096</t>
  </si>
  <si>
    <t>86-709-5618</t>
  </si>
  <si>
    <t>Rhynoodle</t>
  </si>
  <si>
    <t>38 Rutledge Plaza</t>
  </si>
  <si>
    <t>93-342-8794</t>
  </si>
  <si>
    <t>93-688-1260</t>
  </si>
  <si>
    <t>39102 Division Trail</t>
  </si>
  <si>
    <t>83-716-2177</t>
  </si>
  <si>
    <t>79-518-8344</t>
  </si>
  <si>
    <t>Linktype</t>
  </si>
  <si>
    <t>26266 Esker Point</t>
  </si>
  <si>
    <t>56-635-6764</t>
  </si>
  <si>
    <t>20-257-6927</t>
  </si>
  <si>
    <t>744 Green Center</t>
  </si>
  <si>
    <t>10-249-7928</t>
  </si>
  <si>
    <t>69-861-0313</t>
  </si>
  <si>
    <t>57598 Russell Center</t>
  </si>
  <si>
    <t>65-759-3721</t>
  </si>
  <si>
    <t>21-634-5781</t>
  </si>
  <si>
    <t>Vipe</t>
  </si>
  <si>
    <t>315 Acker Alley</t>
  </si>
  <si>
    <t>08-725-8156</t>
  </si>
  <si>
    <t>32-196-4714</t>
  </si>
  <si>
    <t>73397 Steensland Circle</t>
  </si>
  <si>
    <t>15-679-3935</t>
  </si>
  <si>
    <t>35-906-1010</t>
  </si>
  <si>
    <t>Jabbersphere</t>
  </si>
  <si>
    <t>95 Garrison Plaza</t>
  </si>
  <si>
    <t>81-578-7404</t>
  </si>
  <si>
    <t>90-177-6733</t>
  </si>
  <si>
    <t>Rhyloo</t>
  </si>
  <si>
    <t>5989 Longview Drive</t>
  </si>
  <si>
    <t>82-380-5378</t>
  </si>
  <si>
    <t>96-353-3049</t>
  </si>
  <si>
    <t>Oozz</t>
  </si>
  <si>
    <t>05518 Saint Paul Street</t>
  </si>
  <si>
    <t>78-362-8578</t>
  </si>
  <si>
    <t>57-633-6273</t>
  </si>
  <si>
    <t>86 Corben Crossing</t>
  </si>
  <si>
    <t>32-261-0008</t>
  </si>
  <si>
    <t>26-073-5798</t>
  </si>
  <si>
    <t>2/18/2025</t>
  </si>
  <si>
    <t>2 Kingsford Center</t>
  </si>
  <si>
    <t>74-943-9034</t>
  </si>
  <si>
    <t>15-739-5480</t>
  </si>
  <si>
    <t>0 Saint Paul Center</t>
  </si>
  <si>
    <t>86-330-0214</t>
  </si>
  <si>
    <t>87-840-7803</t>
  </si>
  <si>
    <t>5818 Twin Pines Place</t>
  </si>
  <si>
    <t>80-334-0215</t>
  </si>
  <si>
    <t>19-156-3869</t>
  </si>
  <si>
    <t>Camimbo</t>
  </si>
  <si>
    <t>611 Waubesa Circle</t>
  </si>
  <si>
    <t>48-957-8596</t>
  </si>
  <si>
    <t>40-817-2222</t>
  </si>
  <si>
    <t>3825 Raven Avenue</t>
  </si>
  <si>
    <t>37-246-0018</t>
  </si>
  <si>
    <t>61-907-0994</t>
  </si>
  <si>
    <t>Skilith</t>
  </si>
  <si>
    <t>52 Alpine Crossing</t>
  </si>
  <si>
    <t>17-002-4721</t>
  </si>
  <si>
    <t>38-310-4533</t>
  </si>
  <si>
    <t>379 Duke Court</t>
  </si>
  <si>
    <t>47-802-5023</t>
  </si>
  <si>
    <t>51-010-8144</t>
  </si>
  <si>
    <t>7096 Mcguire Park</t>
  </si>
  <si>
    <t>22-319-1377</t>
  </si>
  <si>
    <t>82-266-1796</t>
  </si>
  <si>
    <t>Skyba</t>
  </si>
  <si>
    <t>083 Gulseth Pass</t>
  </si>
  <si>
    <t>57-903-6434</t>
  </si>
  <si>
    <t>30-460-3122</t>
  </si>
  <si>
    <t>3/13/2024</t>
  </si>
  <si>
    <t>3/23/2024</t>
  </si>
  <si>
    <t>34 Linden Court</t>
  </si>
  <si>
    <t>22-083-3347</t>
  </si>
  <si>
    <t>01-431-7544</t>
  </si>
  <si>
    <t>38 Superior Road</t>
  </si>
  <si>
    <t>65-145-9672</t>
  </si>
  <si>
    <t>65-068-1200</t>
  </si>
  <si>
    <t>8 Dovetail Junction</t>
  </si>
  <si>
    <t>95-252-9619</t>
  </si>
  <si>
    <t>38-819-2922</t>
  </si>
  <si>
    <t>57453 Northwestern Alley</t>
  </si>
  <si>
    <t>74-294-3760</t>
  </si>
  <si>
    <t>81-233-6894</t>
  </si>
  <si>
    <t>0109 Stang Terrace</t>
  </si>
  <si>
    <t>06-797-4963</t>
  </si>
  <si>
    <t>41-821-0197</t>
  </si>
  <si>
    <t>1008 Welch Street</t>
  </si>
  <si>
    <t>39-768-8205</t>
  </si>
  <si>
    <t>07-987-4536</t>
  </si>
  <si>
    <t>Gigabox</t>
  </si>
  <si>
    <t>32 Rigney Terrace</t>
  </si>
  <si>
    <t>03-043-9933</t>
  </si>
  <si>
    <t>48-450-4126</t>
  </si>
  <si>
    <t>884 Fieldstone Plaza</t>
  </si>
  <si>
    <t>29-823-6004</t>
  </si>
  <si>
    <t>10-295-7996</t>
  </si>
  <si>
    <t>3 Lawn Park</t>
  </si>
  <si>
    <t>40-462-2952</t>
  </si>
  <si>
    <t>57-323-8059</t>
  </si>
  <si>
    <t>0258 Shoshone Center</t>
  </si>
  <si>
    <t>71-999-2404</t>
  </si>
  <si>
    <t>01-285-0018</t>
  </si>
  <si>
    <t>Meezzy</t>
  </si>
  <si>
    <t>1/29/2025</t>
  </si>
  <si>
    <t>18 Warrior Circle</t>
  </si>
  <si>
    <t>03-919-9890</t>
  </si>
  <si>
    <t>69-289-8783</t>
  </si>
  <si>
    <t>Wikibox</t>
  </si>
  <si>
    <t>7 Riverside Road</t>
  </si>
  <si>
    <t>94-525-6925</t>
  </si>
  <si>
    <t>31-892-6816</t>
  </si>
  <si>
    <t>Kwilith</t>
  </si>
  <si>
    <t>667 Arkansas Circle</t>
  </si>
  <si>
    <t>08-213-2058</t>
  </si>
  <si>
    <t>13-179-9553</t>
  </si>
  <si>
    <t>33 Clarendon Hill</t>
  </si>
  <si>
    <t>51-312-8608</t>
  </si>
  <si>
    <t>06-315-0552</t>
  </si>
  <si>
    <t>406 Westridge Alley</t>
  </si>
  <si>
    <t>67-512-9754</t>
  </si>
  <si>
    <t>35-941-2585</t>
  </si>
  <si>
    <t>3/22/2024</t>
  </si>
  <si>
    <t>69 Orin Plaza</t>
  </si>
  <si>
    <t>45-402-0421</t>
  </si>
  <si>
    <t>87-201-6047</t>
  </si>
  <si>
    <t>36 Longview Street</t>
  </si>
  <si>
    <t>85-207-4164</t>
  </si>
  <si>
    <t>07-067-3439</t>
  </si>
  <si>
    <t>41 Comanche Park</t>
  </si>
  <si>
    <t>72-780-6006</t>
  </si>
  <si>
    <t>81-292-4650</t>
  </si>
  <si>
    <t>88721 Dawn Crossing</t>
  </si>
  <si>
    <t>93-166-3169</t>
  </si>
  <si>
    <t>21-156-0102</t>
  </si>
  <si>
    <t>339 Crescent Oaks Plaza</t>
  </si>
  <si>
    <t>21-718-6746</t>
  </si>
  <si>
    <t>96-012-3393</t>
  </si>
  <si>
    <t>Eamia</t>
  </si>
  <si>
    <t>277 Pawling Terrace</t>
  </si>
  <si>
    <t>93-966-7754</t>
  </si>
  <si>
    <t>78-787-7171</t>
  </si>
  <si>
    <t>4 4th Place</t>
  </si>
  <si>
    <t>47-663-5703</t>
  </si>
  <si>
    <t>52-062-2916</t>
  </si>
  <si>
    <t>6500 Raven Drive</t>
  </si>
  <si>
    <t>34-110-1040</t>
  </si>
  <si>
    <t>14-427-6604</t>
  </si>
  <si>
    <t>Leenti</t>
  </si>
  <si>
    <t>42397 Knutson Place</t>
  </si>
  <si>
    <t>82-342-7339</t>
  </si>
  <si>
    <t>Vanilla Biscuit</t>
  </si>
  <si>
    <t>14-325-9173</t>
  </si>
  <si>
    <t>Yozio</t>
  </si>
  <si>
    <t>317 Anniversary Pass</t>
  </si>
  <si>
    <t>43-670-8544</t>
  </si>
  <si>
    <t>16-656-4821</t>
  </si>
  <si>
    <t>Camido</t>
  </si>
  <si>
    <t>5/14/2024</t>
  </si>
  <si>
    <t>3 Logan Trail</t>
  </si>
  <si>
    <t>12-439-8428</t>
  </si>
  <si>
    <t>43-542-6868</t>
  </si>
  <si>
    <t>Ainyx</t>
  </si>
  <si>
    <t>6 Rusk Pass</t>
  </si>
  <si>
    <t>49-919-8798</t>
  </si>
  <si>
    <t>82-482-3670</t>
  </si>
  <si>
    <t>3 Dottie Junction</t>
  </si>
  <si>
    <t>73-567-6194</t>
  </si>
  <si>
    <t>81-927-7236</t>
  </si>
  <si>
    <t>Yakitri</t>
  </si>
  <si>
    <t>069 Basil Center</t>
  </si>
  <si>
    <t>83-573-4586</t>
  </si>
  <si>
    <t>91-191-2324</t>
  </si>
  <si>
    <t>Thoughtbeat</t>
  </si>
  <si>
    <t>84575 Randy Point</t>
  </si>
  <si>
    <t>12-798-9401</t>
  </si>
  <si>
    <t>96-609-6152</t>
  </si>
  <si>
    <t>5 Forster Point</t>
  </si>
  <si>
    <t>02-895-7781</t>
  </si>
  <si>
    <t>23-109-2205</t>
  </si>
  <si>
    <t>Tagchat</t>
  </si>
  <si>
    <t>2582 Autumn Leaf Park</t>
  </si>
  <si>
    <t>83-625-3618</t>
  </si>
  <si>
    <t>64-528-9996</t>
  </si>
  <si>
    <t>Realmix</t>
  </si>
  <si>
    <t>2696 Katie Road</t>
  </si>
  <si>
    <t>89-181-4523</t>
  </si>
  <si>
    <t>Wild Rice</t>
  </si>
  <si>
    <t>54-749-3622</t>
  </si>
  <si>
    <t>022 Prairie Rose Drive</t>
  </si>
  <si>
    <t>95-354-8583</t>
  </si>
  <si>
    <t>02-057-9401</t>
  </si>
  <si>
    <t>848 Mariners Cove Junction</t>
  </si>
  <si>
    <t>90-303-1821</t>
  </si>
  <si>
    <t>96-786-0667</t>
  </si>
  <si>
    <t>Edgewire</t>
  </si>
  <si>
    <t>6435 Burning Wood Drive</t>
  </si>
  <si>
    <t>71-631-5875</t>
  </si>
  <si>
    <t>Salmon</t>
  </si>
  <si>
    <t>91-859-1733</t>
  </si>
  <si>
    <t>13 Loomis Alley</t>
  </si>
  <si>
    <t>02-275-6061</t>
  </si>
  <si>
    <t>21-829-0398</t>
  </si>
  <si>
    <t>6891 Mandrake Park</t>
  </si>
  <si>
    <t>04-001-1793</t>
  </si>
  <si>
    <t>29-359-0109</t>
  </si>
  <si>
    <t>0 Stoughton Terrace</t>
  </si>
  <si>
    <t>47-749-3277</t>
  </si>
  <si>
    <t>96-551-3929</t>
  </si>
  <si>
    <t>502 Sachs Circle</t>
  </si>
  <si>
    <t>37-666-3902</t>
  </si>
  <si>
    <t>58-536-6583</t>
  </si>
  <si>
    <t>85276 Lakewood Gardens Alley</t>
  </si>
  <si>
    <t>73-942-0508</t>
  </si>
  <si>
    <t>37-057-3553</t>
  </si>
  <si>
    <t>1034 2nd Point</t>
  </si>
  <si>
    <t>57-359-3397</t>
  </si>
  <si>
    <t>54-659-1177</t>
  </si>
  <si>
    <t>Twiyo</t>
  </si>
  <si>
    <t>81071 West Alley</t>
  </si>
  <si>
    <t>46-436-5351</t>
  </si>
  <si>
    <t>07-471-0050</t>
  </si>
  <si>
    <t>226 Calypso Road</t>
  </si>
  <si>
    <t>27-881-1177</t>
  </si>
  <si>
    <t>64-807-5250</t>
  </si>
  <si>
    <t>1223 Monument Drive</t>
  </si>
  <si>
    <t>85-237-3505</t>
  </si>
  <si>
    <t>92-296-1266</t>
  </si>
  <si>
    <t>20073 Northfield Way</t>
  </si>
  <si>
    <t>80-371-3695</t>
  </si>
  <si>
    <t>42-254-7371</t>
  </si>
  <si>
    <t>Divape</t>
  </si>
  <si>
    <t>163 Esch Pass</t>
  </si>
  <si>
    <t>04-758-0410</t>
  </si>
  <si>
    <t>56-231-2524</t>
  </si>
  <si>
    <t>Wordpedia</t>
  </si>
  <si>
    <t>5 Toban Circle</t>
  </si>
  <si>
    <t>65-644-1394</t>
  </si>
  <si>
    <t>23-280-1300</t>
  </si>
  <si>
    <t>582 Dahle Center</t>
  </si>
  <si>
    <t>04-293-6969</t>
  </si>
  <si>
    <t>69-087-6645</t>
  </si>
  <si>
    <t>0 Oak Valley Lane</t>
  </si>
  <si>
    <t>40-997-2786</t>
  </si>
  <si>
    <t>18-743-4684</t>
  </si>
  <si>
    <t>5551 Mallory Lane</t>
  </si>
  <si>
    <t>91-553-1774</t>
  </si>
  <si>
    <t>74-943-4552</t>
  </si>
  <si>
    <t>84 Washington Crossing</t>
  </si>
  <si>
    <t>13-980-8804</t>
  </si>
  <si>
    <t>Sweet Potato</t>
  </si>
  <si>
    <t>20-608-1290</t>
  </si>
  <si>
    <t>41 Nelson Center</t>
  </si>
  <si>
    <t>19-672-8982</t>
  </si>
  <si>
    <t>50-214-3802</t>
  </si>
  <si>
    <t>285 East Plaza</t>
  </si>
  <si>
    <t>35-299-0889</t>
  </si>
  <si>
    <t>Coconut Oil</t>
  </si>
  <si>
    <t>16-776-9987</t>
  </si>
  <si>
    <t>95 Packers Lane</t>
  </si>
  <si>
    <t>17-022-9721</t>
  </si>
  <si>
    <t>59-629-0798</t>
  </si>
  <si>
    <t>39 Dahle Alley</t>
  </si>
  <si>
    <t>22-849-2551</t>
  </si>
  <si>
    <t>14-231-9135</t>
  </si>
  <si>
    <t>81533 John Wall Court</t>
  </si>
  <si>
    <t>53-050-8242</t>
  </si>
  <si>
    <t>31-163-5871</t>
  </si>
  <si>
    <t>9 Cordelia Trail</t>
  </si>
  <si>
    <t>88-183-5781</t>
  </si>
  <si>
    <t>Whole Wheat Bread</t>
  </si>
  <si>
    <t>49-247-1217</t>
  </si>
  <si>
    <t>46 Delaware Place</t>
  </si>
  <si>
    <t>09-101-1740</t>
  </si>
  <si>
    <t>63-836-1262</t>
  </si>
  <si>
    <t>96629 Nova Plaza</t>
  </si>
  <si>
    <t>98-445-7372</t>
  </si>
  <si>
    <t>71-676-6562</t>
  </si>
  <si>
    <t>8531 Manley Court</t>
  </si>
  <si>
    <t>29-875-6900</t>
  </si>
  <si>
    <t>78-098-4468</t>
  </si>
  <si>
    <t>2 Sachtjen Park</t>
  </si>
  <si>
    <t>27-757-4489</t>
  </si>
  <si>
    <t>04-456-0715</t>
  </si>
  <si>
    <t>27535 Morrow Avenue</t>
  </si>
  <si>
    <t>51-069-0489</t>
  </si>
  <si>
    <t>19-978-0708</t>
  </si>
  <si>
    <t>Oloo</t>
  </si>
  <si>
    <t>3 Anthes Place</t>
  </si>
  <si>
    <t>20-325-1965</t>
  </si>
  <si>
    <t>97-155-1262</t>
  </si>
  <si>
    <t>78884 Union Street</t>
  </si>
  <si>
    <t>76-090-4411</t>
  </si>
  <si>
    <t>82-552-6786</t>
  </si>
  <si>
    <t>15 Loomis Avenue</t>
  </si>
  <si>
    <t>01-703-8441</t>
  </si>
  <si>
    <t>91-216-7668</t>
  </si>
  <si>
    <t>4029 Lotheville Pass</t>
  </si>
  <si>
    <t>09-622-7119</t>
  </si>
  <si>
    <t>59-781-3399</t>
  </si>
  <si>
    <t>Youtags</t>
  </si>
  <si>
    <t>665 Sommers Circle</t>
  </si>
  <si>
    <t>45-172-7012</t>
  </si>
  <si>
    <t>95-721-9228</t>
  </si>
  <si>
    <t>11 Kedzie Avenue</t>
  </si>
  <si>
    <t>06-849-4869</t>
  </si>
  <si>
    <t>39-464-7300</t>
  </si>
  <si>
    <t>Rhycero</t>
  </si>
  <si>
    <t>041 Paget Alley</t>
  </si>
  <si>
    <t>30-996-2526</t>
  </si>
  <si>
    <t>30-942-0054</t>
  </si>
  <si>
    <t>77 Monterey Avenue</t>
  </si>
  <si>
    <t>71-074-6292</t>
  </si>
  <si>
    <t>42-201-4495</t>
  </si>
  <si>
    <t>Plajo</t>
  </si>
  <si>
    <t>338 Annamark Court</t>
  </si>
  <si>
    <t>98-909-9395</t>
  </si>
  <si>
    <t>74-119-5491</t>
  </si>
  <si>
    <t>4/22/2024</t>
  </si>
  <si>
    <t>43 Heath Street</t>
  </si>
  <si>
    <t>61-796-6540</t>
  </si>
  <si>
    <t>40-002-8400</t>
  </si>
  <si>
    <t>126 Spohn Plaza</t>
  </si>
  <si>
    <t>41-735-9837</t>
  </si>
  <si>
    <t>35-462-7569</t>
  </si>
  <si>
    <t>Devpulse</t>
  </si>
  <si>
    <t>2374 Chive Court</t>
  </si>
  <si>
    <t>60-343-3288</t>
  </si>
  <si>
    <t>22-940-6543</t>
  </si>
  <si>
    <t>6 Hanover Terrace</t>
  </si>
  <si>
    <t>27-783-5470</t>
  </si>
  <si>
    <t>45-997-6429</t>
  </si>
  <si>
    <t>6 Tony Junction</t>
  </si>
  <si>
    <t>60-456-8169</t>
  </si>
  <si>
    <t>54-529-4459</t>
  </si>
  <si>
    <t>Oyoba</t>
  </si>
  <si>
    <t>710 Service Park</t>
  </si>
  <si>
    <t>99-420-3592</t>
  </si>
  <si>
    <t>88-647-5082</t>
  </si>
  <si>
    <t>206 Pine View Junction</t>
  </si>
  <si>
    <t>35-836-6718</t>
  </si>
  <si>
    <t>27-838-4345</t>
  </si>
  <si>
    <t>05 Canary Circle</t>
  </si>
  <si>
    <t>51-273-4240</t>
  </si>
  <si>
    <t>32-506-0556</t>
  </si>
  <si>
    <t>7 Prairieview Place</t>
  </si>
  <si>
    <t>38-924-3007</t>
  </si>
  <si>
    <t>83-936-5065</t>
  </si>
  <si>
    <t>Photolist</t>
  </si>
  <si>
    <t>6 Anthes Court</t>
  </si>
  <si>
    <t>52-123-8039</t>
  </si>
  <si>
    <t>24-087-5935</t>
  </si>
  <si>
    <t>Browsebug</t>
  </si>
  <si>
    <t>7 Schiller Court</t>
  </si>
  <si>
    <t>34-131-8805</t>
  </si>
  <si>
    <t>84-472-8001</t>
  </si>
  <si>
    <t>44249 Sutteridge Crossing</t>
  </si>
  <si>
    <t>28-505-8317</t>
  </si>
  <si>
    <t>61-755-4469</t>
  </si>
  <si>
    <t>Digitube</t>
  </si>
  <si>
    <t>848 Old Gate Parkway</t>
  </si>
  <si>
    <t>41-594-5069</t>
  </si>
  <si>
    <t>45-471-5053</t>
  </si>
  <si>
    <t>Blogtags</t>
  </si>
  <si>
    <t>9 Clemons Hill</t>
  </si>
  <si>
    <t>94-658-4945</t>
  </si>
  <si>
    <t>09-153-0763</t>
  </si>
  <si>
    <t>15 Veith Circle</t>
  </si>
  <si>
    <t>69-561-2496</t>
  </si>
  <si>
    <t>38-790-7081</t>
  </si>
  <si>
    <t>154 Delladonna Hill</t>
  </si>
  <si>
    <t>98-858-6323</t>
  </si>
  <si>
    <t>79-086-1717</t>
  </si>
  <si>
    <t>80729 Homewood Plaza</t>
  </si>
  <si>
    <t>92-995-8689</t>
  </si>
  <si>
    <t>18-682-7828</t>
  </si>
  <si>
    <t>1 Merchant Circle</t>
  </si>
  <si>
    <t>43-164-5984</t>
  </si>
  <si>
    <t>10-008-6747</t>
  </si>
  <si>
    <t>Shuffletag</t>
  </si>
  <si>
    <t>70862 Lighthouse Bay Junction</t>
  </si>
  <si>
    <t>58-122-2282</t>
  </si>
  <si>
    <t>55-773-9118</t>
  </si>
  <si>
    <t>96 American Ash Center</t>
  </si>
  <si>
    <t>84-269-9130</t>
  </si>
  <si>
    <t>88-615-2915</t>
  </si>
  <si>
    <t>49263 Graceland Pass</t>
  </si>
  <si>
    <t>11-922-3342</t>
  </si>
  <si>
    <t>33-523-9077</t>
  </si>
  <si>
    <t>Gabspot</t>
  </si>
  <si>
    <t>094 Carberry Lane</t>
  </si>
  <si>
    <t>60-550-4771</t>
  </si>
  <si>
    <t>24-568-9517</t>
  </si>
  <si>
    <t>Kwimbee</t>
  </si>
  <si>
    <t>1 Monica Lane</t>
  </si>
  <si>
    <t>88-951-9038</t>
  </si>
  <si>
    <t>14-713-5795</t>
  </si>
  <si>
    <t>5 Anderson Trail</t>
  </si>
  <si>
    <t>08-114-3922</t>
  </si>
  <si>
    <t>19-418-7213</t>
  </si>
  <si>
    <t>709 Vidon Avenue</t>
  </si>
  <si>
    <t>70-145-2550</t>
  </si>
  <si>
    <t>75-849-4524</t>
  </si>
  <si>
    <t>5141 Anniversary Crossing</t>
  </si>
  <si>
    <t>51-761-6320</t>
  </si>
  <si>
    <t>28-461-1136</t>
  </si>
  <si>
    <t>Youopia</t>
  </si>
  <si>
    <t>587 Vermont Terrace</t>
  </si>
  <si>
    <t>55-803-3964</t>
  </si>
  <si>
    <t>75-906-1086</t>
  </si>
  <si>
    <t>149 Valley Edge Point</t>
  </si>
  <si>
    <t>11-815-7923</t>
  </si>
  <si>
    <t>98-304-8407</t>
  </si>
  <si>
    <t>89 Springs Alley</t>
  </si>
  <si>
    <t>83-966-3280</t>
  </si>
  <si>
    <t>50-305-3936</t>
  </si>
  <si>
    <t>Twitterworks</t>
  </si>
  <si>
    <t>0743 4th Place</t>
  </si>
  <si>
    <t>29-592-7315</t>
  </si>
  <si>
    <t>61-867-3019</t>
  </si>
  <si>
    <t>Dabtype</t>
  </si>
  <si>
    <t>21625 Schlimgen Park</t>
  </si>
  <si>
    <t>65-235-7676</t>
  </si>
  <si>
    <t>22-083-3504</t>
  </si>
  <si>
    <t>31208 Westerfield Way</t>
  </si>
  <si>
    <t>40-683-0283</t>
  </si>
  <si>
    <t>27-060-9944</t>
  </si>
  <si>
    <t>322 Birchwood Center</t>
  </si>
  <si>
    <t>83-553-9523</t>
  </si>
  <si>
    <t>89-976-4338</t>
  </si>
  <si>
    <t>84336 Haas Place</t>
  </si>
  <si>
    <t>40-793-7235</t>
  </si>
  <si>
    <t>89-048-3542</t>
  </si>
  <si>
    <t>68086 Crowley Circle</t>
  </si>
  <si>
    <t>74-666-5671</t>
  </si>
  <si>
    <t>58-657-7257</t>
  </si>
  <si>
    <t>11263 Kipling Hill</t>
  </si>
  <si>
    <t>90-865-9150</t>
  </si>
  <si>
    <t>58-053-4926</t>
  </si>
  <si>
    <t>Kazu</t>
  </si>
  <si>
    <t>00029 Fisk Point</t>
  </si>
  <si>
    <t>46-255-3073</t>
  </si>
  <si>
    <t>68-230-9130</t>
  </si>
  <si>
    <t>57 Eastwood Junction</t>
  </si>
  <si>
    <t>11-155-7826</t>
  </si>
  <si>
    <t>91-788-3177</t>
  </si>
  <si>
    <t>321 Barby Parkway</t>
  </si>
  <si>
    <t>99-543-5039</t>
  </si>
  <si>
    <t>63-683-7396</t>
  </si>
  <si>
    <t>71796 Waubesa Terrace</t>
  </si>
  <si>
    <t>99-033-5661</t>
  </si>
  <si>
    <t>32-458-6452</t>
  </si>
  <si>
    <t>289 Longview Point</t>
  </si>
  <si>
    <t>28-608-0039</t>
  </si>
  <si>
    <t>26-796-0872</t>
  </si>
  <si>
    <t>Avavee</t>
  </si>
  <si>
    <t>31057 Roth Place</t>
  </si>
  <si>
    <t>35-529-2933</t>
  </si>
  <si>
    <t>57-591-6452</t>
  </si>
  <si>
    <t>2 School Drive</t>
  </si>
  <si>
    <t>83-321-7887</t>
  </si>
  <si>
    <t>70-444-9176</t>
  </si>
  <si>
    <t>35598 Fuller Terrace</t>
  </si>
  <si>
    <t>43-910-2342</t>
  </si>
  <si>
    <t>06-569-4690</t>
  </si>
  <si>
    <t>46758 Hallows Center</t>
  </si>
  <si>
    <t>21-633-8696</t>
  </si>
  <si>
    <t>89-468-2696</t>
  </si>
  <si>
    <t>08492 Gateway Terrace</t>
  </si>
  <si>
    <t>76-401-7083</t>
  </si>
  <si>
    <t>29-156-0691</t>
  </si>
  <si>
    <t>31892 Pennsylvania Street</t>
  </si>
  <si>
    <t>92-551-8504</t>
  </si>
  <si>
    <t>22-836-5101</t>
  </si>
  <si>
    <t>461 Bluejay Circle</t>
  </si>
  <si>
    <t>76-264-0748</t>
  </si>
  <si>
    <t>27-557-2375</t>
  </si>
  <si>
    <t>55 Morning Terrace</t>
  </si>
  <si>
    <t>88-586-8797</t>
  </si>
  <si>
    <t>02-530-5932</t>
  </si>
  <si>
    <t>9469 Bayside Plaza</t>
  </si>
  <si>
    <t>21-993-5632</t>
  </si>
  <si>
    <t>26-860-4618</t>
  </si>
  <si>
    <t>Innotype</t>
  </si>
  <si>
    <t>16730 Luster Alley</t>
  </si>
  <si>
    <t>27-681-5588</t>
  </si>
  <si>
    <t>89-959-2254</t>
  </si>
  <si>
    <t>498 Delladonna Drive</t>
  </si>
  <si>
    <t>23-265-8144</t>
  </si>
  <si>
    <t>31-524-1628</t>
  </si>
  <si>
    <t>14042 Dottie Avenue</t>
  </si>
  <si>
    <t>26-134-9069</t>
  </si>
  <si>
    <t>80-068-0825</t>
  </si>
  <si>
    <t>Devcast</t>
  </si>
  <si>
    <t>4929 Westend Point</t>
  </si>
  <si>
    <t>76-623-7844</t>
  </si>
  <si>
    <t>84-498-3849</t>
  </si>
  <si>
    <t>868 Swallow Point</t>
  </si>
  <si>
    <t>88-977-0175</t>
  </si>
  <si>
    <t>58-087-3463</t>
  </si>
  <si>
    <t>7561 5th Terrace</t>
  </si>
  <si>
    <t>12-714-5135</t>
  </si>
  <si>
    <t>97-055-2756</t>
  </si>
  <si>
    <t>2003 Delladonna Pass</t>
  </si>
  <si>
    <t>43-153-8268</t>
  </si>
  <si>
    <t>19-809-5654</t>
  </si>
  <si>
    <t>29815 Bonner Trail</t>
  </si>
  <si>
    <t>95-130-9020</t>
  </si>
  <si>
    <t>75-985-6744</t>
  </si>
  <si>
    <t>Youbridge</t>
  </si>
  <si>
    <t>2 Canary Street</t>
  </si>
  <si>
    <t>82-678-8097</t>
  </si>
  <si>
    <t>65-403-0311</t>
  </si>
  <si>
    <t>6172 Hovde Circle</t>
  </si>
  <si>
    <t>21-693-8216</t>
  </si>
  <si>
    <t>62-599-8388</t>
  </si>
  <si>
    <t>Twinte</t>
  </si>
  <si>
    <t>32468 Utah Pass</t>
  </si>
  <si>
    <t>56-831-6199</t>
  </si>
  <si>
    <t>99-680-2351</t>
  </si>
  <si>
    <t>1247 Hoard Hill</t>
  </si>
  <si>
    <t>81-268-5905</t>
  </si>
  <si>
    <t>36-138-9045</t>
  </si>
  <si>
    <t>Kazio</t>
  </si>
  <si>
    <t>85953 Clyde Gallagher Drive</t>
  </si>
  <si>
    <t>41-237-5498</t>
  </si>
  <si>
    <t>38-643-1626</t>
  </si>
  <si>
    <t>29817 Coleman Drive</t>
  </si>
  <si>
    <t>32-987-5559</t>
  </si>
  <si>
    <t>01-665-0053</t>
  </si>
  <si>
    <t>7 Hallows Alley</t>
  </si>
  <si>
    <t>71-436-5841</t>
  </si>
  <si>
    <t>87-546-9674</t>
  </si>
  <si>
    <t>52 Victoria Plaza</t>
  </si>
  <si>
    <t>63-890-1246</t>
  </si>
  <si>
    <t>29-273-1595</t>
  </si>
  <si>
    <t>3 Melrose Trail</t>
  </si>
  <si>
    <t>65-368-2479</t>
  </si>
  <si>
    <t>99-570-8162</t>
  </si>
  <si>
    <t>Browsedrive</t>
  </si>
  <si>
    <t>231 Merry Pass</t>
  </si>
  <si>
    <t>74-562-7431</t>
  </si>
  <si>
    <t>66-174-9633</t>
  </si>
  <si>
    <t>Linkbridge</t>
  </si>
  <si>
    <t>79 Ronald Regan Avenue</t>
  </si>
  <si>
    <t>51-583-6029</t>
  </si>
  <si>
    <t>78-024-3286</t>
  </si>
  <si>
    <t>83894 Delaware Plaza</t>
  </si>
  <si>
    <t>06-996-3221</t>
  </si>
  <si>
    <t>97-821-7402</t>
  </si>
  <si>
    <t>579 Schlimgen Alley</t>
  </si>
  <si>
    <t>96-334-2593</t>
  </si>
  <si>
    <t>64-831-3071</t>
  </si>
  <si>
    <t>9559 Muir Trail</t>
  </si>
  <si>
    <t>58-219-0241</t>
  </si>
  <si>
    <t>42-523-1857</t>
  </si>
  <si>
    <t>938 Garrison Court</t>
  </si>
  <si>
    <t>87-272-6544</t>
  </si>
  <si>
    <t>93-699-8001</t>
  </si>
  <si>
    <t>4 Nelson Alley</t>
  </si>
  <si>
    <t>95-357-2870</t>
  </si>
  <si>
    <t>75-365-7696</t>
  </si>
  <si>
    <t>87 Corben Street</t>
  </si>
  <si>
    <t>88-401-3700</t>
  </si>
  <si>
    <t>39-299-6093</t>
  </si>
  <si>
    <t>39014 Randy Court</t>
  </si>
  <si>
    <t>72-404-5581</t>
  </si>
  <si>
    <t>18-065-8014</t>
  </si>
  <si>
    <t>879 Amoth Terrace</t>
  </si>
  <si>
    <t>11-766-8738</t>
  </si>
  <si>
    <t>96-393-1428</t>
  </si>
  <si>
    <t>20 Nelson Way</t>
  </si>
  <si>
    <t>15-796-3130</t>
  </si>
  <si>
    <t>45-912-2948</t>
  </si>
  <si>
    <t>85 Lunder Court</t>
  </si>
  <si>
    <t>73-751-4393</t>
  </si>
  <si>
    <t>14-486-5626</t>
  </si>
  <si>
    <t>03 Roth Court</t>
  </si>
  <si>
    <t>62-100-2245</t>
  </si>
  <si>
    <t>18-110-8314</t>
  </si>
  <si>
    <t>56830 Fremont Road</t>
  </si>
  <si>
    <t>08-961-3009</t>
  </si>
  <si>
    <t>41-825-5869</t>
  </si>
  <si>
    <t>01 Gateway Plaza</t>
  </si>
  <si>
    <t>33-440-2588</t>
  </si>
  <si>
    <t>68-596-5506</t>
  </si>
  <si>
    <t>Tagpad</t>
  </si>
  <si>
    <t>4 6th Plaza</t>
  </si>
  <si>
    <t>24-009-1208</t>
  </si>
  <si>
    <t>96-405-4286</t>
  </si>
  <si>
    <t>Aivee</t>
  </si>
  <si>
    <t>99 Duke Lane</t>
  </si>
  <si>
    <t>71-300-2191</t>
  </si>
  <si>
    <t>98-677-4279</t>
  </si>
  <si>
    <t>7 Heffernan Drive</t>
  </si>
  <si>
    <t>74-430-8245</t>
  </si>
  <si>
    <t>51-213-5660</t>
  </si>
  <si>
    <t>7 Roxbury Circle</t>
  </si>
  <si>
    <t>68-636-4774</t>
  </si>
  <si>
    <t>40-436-0171</t>
  </si>
  <si>
    <t>7744 Oxford Pass</t>
  </si>
  <si>
    <t>38-655-2312</t>
  </si>
  <si>
    <t>91-127-7174</t>
  </si>
  <si>
    <t>17 Reinke Circle</t>
  </si>
  <si>
    <t>16-632-1308</t>
  </si>
  <si>
    <t>45-903-0036</t>
  </si>
  <si>
    <t>60094 Goodland Junction</t>
  </si>
  <si>
    <t>37-606-0510</t>
  </si>
  <si>
    <t>09-489-6314</t>
  </si>
  <si>
    <t>Jabbercube</t>
  </si>
  <si>
    <t>53 Homewood Alley</t>
  </si>
  <si>
    <t>36-296-9609</t>
  </si>
  <si>
    <t>46-041-1131</t>
  </si>
  <si>
    <t>7 Rutledge Pass</t>
  </si>
  <si>
    <t>22-329-7791</t>
  </si>
  <si>
    <t>72-013-2438</t>
  </si>
  <si>
    <t>50687 Porter Park</t>
  </si>
  <si>
    <t>56-894-3733</t>
  </si>
  <si>
    <t>57-133-8386</t>
  </si>
  <si>
    <t>897 Independence Circle</t>
  </si>
  <si>
    <t>06-858-5680</t>
  </si>
  <si>
    <t>63-231-2829</t>
  </si>
  <si>
    <t>49476 Tony Hill</t>
  </si>
  <si>
    <t>71-954-4501</t>
  </si>
  <si>
    <t>26-135-6134</t>
  </si>
  <si>
    <t>290 Rusk Avenue</t>
  </si>
  <si>
    <t>12-046-2988</t>
  </si>
  <si>
    <t>37-630-2250</t>
  </si>
  <si>
    <t>931 Browning Center</t>
  </si>
  <si>
    <t>95-356-1566</t>
  </si>
  <si>
    <t>57-204-2098</t>
  </si>
  <si>
    <t>622 Buena Vista Trail</t>
  </si>
  <si>
    <t>34-291-4939</t>
  </si>
  <si>
    <t>39-284-1614</t>
  </si>
  <si>
    <t>983 Sommers Circle</t>
  </si>
  <si>
    <t>35-621-2546</t>
  </si>
  <si>
    <t>14-190-2260</t>
  </si>
  <si>
    <t>Skiptube</t>
  </si>
  <si>
    <t>3 Fairfield Center</t>
  </si>
  <si>
    <t>21-013-3508</t>
  </si>
  <si>
    <t>64-489-8494</t>
  </si>
  <si>
    <t>84305 Fair Oaks Plaza</t>
  </si>
  <si>
    <t>38-049-9319</t>
  </si>
  <si>
    <t>90-447-5123</t>
  </si>
  <si>
    <t>6 Lillian Junction</t>
  </si>
  <si>
    <t>94-697-2396</t>
  </si>
  <si>
    <t>34-161-7429</t>
  </si>
  <si>
    <t>Zoomlounge</t>
  </si>
  <si>
    <t>44 Thompson Terrace</t>
  </si>
  <si>
    <t>33-807-7247</t>
  </si>
  <si>
    <t>94-453-3755</t>
  </si>
  <si>
    <t>63464 Jana Court</t>
  </si>
  <si>
    <t>62-816-8794</t>
  </si>
  <si>
    <t>56-110-5754</t>
  </si>
  <si>
    <t>04 Blaine Lane</t>
  </si>
  <si>
    <t>33-507-9886</t>
  </si>
  <si>
    <t>11-445-3951</t>
  </si>
  <si>
    <t>0584 Lindbergh Alley</t>
  </si>
  <si>
    <t>40-003-7322</t>
  </si>
  <si>
    <t>41-644-3129</t>
  </si>
  <si>
    <t>Wordtune</t>
  </si>
  <si>
    <t>2693 6th Court</t>
  </si>
  <si>
    <t>95-090-2788</t>
  </si>
  <si>
    <t>95-715-6047</t>
  </si>
  <si>
    <t>0313 Rockefeller Street</t>
  </si>
  <si>
    <t>06-503-5891</t>
  </si>
  <si>
    <t>19-098-2529</t>
  </si>
  <si>
    <t>49646 Derek Lane</t>
  </si>
  <si>
    <t>38-555-9147</t>
  </si>
  <si>
    <t>35-370-7603</t>
  </si>
  <si>
    <t>Aimbu</t>
  </si>
  <si>
    <t>0 Oneill Hill</t>
  </si>
  <si>
    <t>64-854-8664</t>
  </si>
  <si>
    <t>19-893-7698</t>
  </si>
  <si>
    <t>Pixoboo</t>
  </si>
  <si>
    <t>76 Independence Drive</t>
  </si>
  <si>
    <t>50-942-2409</t>
  </si>
  <si>
    <t>69-472-4067</t>
  </si>
  <si>
    <t>7182 Summit Court</t>
  </si>
  <si>
    <t>17-493-4579</t>
  </si>
  <si>
    <t>67-541-7091</t>
  </si>
  <si>
    <t>Trudoo</t>
  </si>
  <si>
    <t>4627 Amoth Circle</t>
  </si>
  <si>
    <t>10-854-5467</t>
  </si>
  <si>
    <t>40-443-3362</t>
  </si>
  <si>
    <t>3 Oakridge Parkway</t>
  </si>
  <si>
    <t>11-604-6002</t>
  </si>
  <si>
    <t>50-862-4552</t>
  </si>
  <si>
    <t>Kimia</t>
  </si>
  <si>
    <t>17640 Cottonwood Place</t>
  </si>
  <si>
    <t>44-305-1866</t>
  </si>
  <si>
    <t>25-190-3172</t>
  </si>
  <si>
    <t>51205 Rieder Junction</t>
  </si>
  <si>
    <t>49-730-0159</t>
  </si>
  <si>
    <t>62-766-8232</t>
  </si>
  <si>
    <t>Riffpedia</t>
  </si>
  <si>
    <t>09189 2nd Drive</t>
  </si>
  <si>
    <t>70-534-7796</t>
  </si>
  <si>
    <t>62-044-8874</t>
  </si>
  <si>
    <t>76106 Anthes Junction</t>
  </si>
  <si>
    <t>95-738-4658</t>
  </si>
  <si>
    <t>67-404-3362</t>
  </si>
  <si>
    <t>35 Golf Course Alley</t>
  </si>
  <si>
    <t>20-405-4865</t>
  </si>
  <si>
    <t>16-019-7101</t>
  </si>
  <si>
    <t>Centimia</t>
  </si>
  <si>
    <t>36483 Burning Wood Pass</t>
  </si>
  <si>
    <t>79-428-8753</t>
  </si>
  <si>
    <t>29-521-7910</t>
  </si>
  <si>
    <t>12/30/2024</t>
  </si>
  <si>
    <t>9 Holmberg Circle</t>
  </si>
  <si>
    <t>10-626-8536</t>
  </si>
  <si>
    <t>23-274-3305</t>
  </si>
  <si>
    <t>38583 2nd Pass</t>
  </si>
  <si>
    <t>27-216-9671</t>
  </si>
  <si>
    <t>40-773-7065</t>
  </si>
  <si>
    <t>4 Browning Terrace</t>
  </si>
  <si>
    <t>14-489-8669</t>
  </si>
  <si>
    <t>28-436-5158</t>
  </si>
  <si>
    <t>21629 Burrows Pass</t>
  </si>
  <si>
    <t>46-632-8420</t>
  </si>
  <si>
    <t>27-996-8883</t>
  </si>
  <si>
    <t>9 Meadow Ridge Center</t>
  </si>
  <si>
    <t>39-192-3521</t>
  </si>
  <si>
    <t>74-062-7176</t>
  </si>
  <si>
    <t>Dynazzy</t>
  </si>
  <si>
    <t>428 Oriole Avenue</t>
  </si>
  <si>
    <t>94-528-8088</t>
  </si>
  <si>
    <t>68-885-5553</t>
  </si>
  <si>
    <t>21379 Stoughton Junction</t>
  </si>
  <si>
    <t>74-305-1263</t>
  </si>
  <si>
    <t>83-076-5024</t>
  </si>
  <si>
    <t>744 Lakewood Gardens Crossing</t>
  </si>
  <si>
    <t>53-151-5726</t>
  </si>
  <si>
    <t>93-180-4005</t>
  </si>
  <si>
    <t>84239 Meadow Vale Trail</t>
  </si>
  <si>
    <t>02-085-7218</t>
  </si>
  <si>
    <t>41-978-3326</t>
  </si>
  <si>
    <t>Oyonder</t>
  </si>
  <si>
    <t>2835 Schlimgen Parkway</t>
  </si>
  <si>
    <t>77-777-4536</t>
  </si>
  <si>
    <t>64-396-5538</t>
  </si>
  <si>
    <t>4784 Farmco Alley</t>
  </si>
  <si>
    <t>86-482-6451</t>
  </si>
  <si>
    <t>56-965-0404</t>
  </si>
  <si>
    <t>5501 Fuller Way</t>
  </si>
  <si>
    <t>36-127-4273</t>
  </si>
  <si>
    <t>05-719-6858</t>
  </si>
  <si>
    <t>10342 Division Place</t>
  </si>
  <si>
    <t>03-061-1344</t>
  </si>
  <si>
    <t>85-211-5357</t>
  </si>
  <si>
    <t>96420 Briar Crest Lane</t>
  </si>
  <si>
    <t>97-300-7511</t>
  </si>
  <si>
    <t>47-687-2255</t>
  </si>
  <si>
    <t>45190 Fordem Court</t>
  </si>
  <si>
    <t>83-108-1174</t>
  </si>
  <si>
    <t>56-439-3559</t>
  </si>
  <si>
    <t>3 Monument Street</t>
  </si>
  <si>
    <t>38-664-2155</t>
  </si>
  <si>
    <t>10-540-5841</t>
  </si>
  <si>
    <t>843 Pepper Wood Hill</t>
  </si>
  <si>
    <t>80-459-5950</t>
  </si>
  <si>
    <t>04-866-2231</t>
  </si>
  <si>
    <t>Rhyzio</t>
  </si>
  <si>
    <t>5 Killdeer Trail</t>
  </si>
  <si>
    <t>93-015-0811</t>
  </si>
  <si>
    <t>07-055-5188</t>
  </si>
  <si>
    <t>1 Pleasure Hill</t>
  </si>
  <si>
    <t>02-888-9412</t>
  </si>
  <si>
    <t>22-307-4653</t>
  </si>
  <si>
    <t>880 Calypso Road</t>
  </si>
  <si>
    <t>10-218-2680</t>
  </si>
  <si>
    <t>72-024-1595</t>
  </si>
  <si>
    <t>6810 Aberg Junction</t>
  </si>
  <si>
    <t>30-964-2694</t>
  </si>
  <si>
    <t>42-976-2737</t>
  </si>
  <si>
    <t>Edgeclub</t>
  </si>
  <si>
    <t>39 Dovetail Terrace</t>
  </si>
  <si>
    <t>15-144-9413</t>
  </si>
  <si>
    <t>08-912-0895</t>
  </si>
  <si>
    <t>3 Buhler Place</t>
  </si>
  <si>
    <t>17-253-5688</t>
  </si>
  <si>
    <t>42-638-2086</t>
  </si>
  <si>
    <t>7 Hooker Way</t>
  </si>
  <si>
    <t>31-608-1445</t>
  </si>
  <si>
    <t>75-286-4153</t>
  </si>
  <si>
    <t>227 Tennyson Plaza</t>
  </si>
  <si>
    <t>51-934-9117</t>
  </si>
  <si>
    <t>34-389-9922</t>
  </si>
  <si>
    <t>05944 Scott Parkway</t>
  </si>
  <si>
    <t>72-810-9753</t>
  </si>
  <si>
    <t>17-359-2527</t>
  </si>
  <si>
    <t>545 Farwell Lane</t>
  </si>
  <si>
    <t>53-146-9979</t>
  </si>
  <si>
    <t>44-388-2451</t>
  </si>
  <si>
    <t>42 Mandrake Alley</t>
  </si>
  <si>
    <t>46-622-3434</t>
  </si>
  <si>
    <t>85-473-1534</t>
  </si>
  <si>
    <t>Topdrive</t>
  </si>
  <si>
    <t>2 Miller Lane</t>
  </si>
  <si>
    <t>47-843-8207</t>
  </si>
  <si>
    <t>55-838-9088</t>
  </si>
  <si>
    <t>01 Northfield Road</t>
  </si>
  <si>
    <t>29-135-0791</t>
  </si>
  <si>
    <t>05-050-4384</t>
  </si>
  <si>
    <t>97 Utah Lane</t>
  </si>
  <si>
    <t>45-194-4094</t>
  </si>
  <si>
    <t>65-611-4749</t>
  </si>
  <si>
    <t>2 Scofield Street</t>
  </si>
  <si>
    <t>09-712-3630</t>
  </si>
  <si>
    <t>17-807-6972</t>
  </si>
  <si>
    <t>10 Golf Course Hill</t>
  </si>
  <si>
    <t>56-213-0577</t>
  </si>
  <si>
    <t>72-306-8602</t>
  </si>
  <si>
    <t>851 Hollow Ridge Center</t>
  </si>
  <si>
    <t>78-956-4737</t>
  </si>
  <si>
    <t>76-712-0418</t>
  </si>
  <si>
    <t>9 Burrows Junction</t>
  </si>
  <si>
    <t>29-436-6570</t>
  </si>
  <si>
    <t>12-140-7809</t>
  </si>
  <si>
    <t>30590 Bowman Alley</t>
  </si>
  <si>
    <t>04-038-1547</t>
  </si>
  <si>
    <t>61-912-9541</t>
  </si>
  <si>
    <t>76 Shelley Pass</t>
  </si>
  <si>
    <t>76-476-9996</t>
  </si>
  <si>
    <t>88-428-6227</t>
  </si>
  <si>
    <t>0 Larry Terrace</t>
  </si>
  <si>
    <t>43-469-7551</t>
  </si>
  <si>
    <t>64-361-4238</t>
  </si>
  <si>
    <t>760 Butternut Plaza</t>
  </si>
  <si>
    <t>15-169-8058</t>
  </si>
  <si>
    <t>14-009-8505</t>
  </si>
  <si>
    <t>26160 Independence Alley</t>
  </si>
  <si>
    <t>37-567-3218</t>
  </si>
  <si>
    <t>03-257-4437</t>
  </si>
  <si>
    <t>153 Caliangt Plaza</t>
  </si>
  <si>
    <t>92-455-2959</t>
  </si>
  <si>
    <t>13-109-8639</t>
  </si>
  <si>
    <t>0 Ohio Hill</t>
  </si>
  <si>
    <t>75-672-4378</t>
  </si>
  <si>
    <t>20-103-9525</t>
  </si>
  <si>
    <t>Eare</t>
  </si>
  <si>
    <t>4 Esch Point</t>
  </si>
  <si>
    <t>66-806-6051</t>
  </si>
  <si>
    <t>19-875-5642</t>
  </si>
  <si>
    <t>8 Kensington Place</t>
  </si>
  <si>
    <t>65-527-9488</t>
  </si>
  <si>
    <t>23-482-0516</t>
  </si>
  <si>
    <t>23704 Algoma Park</t>
  </si>
  <si>
    <t>36-840-2728</t>
  </si>
  <si>
    <t>26-454-7297</t>
  </si>
  <si>
    <t>Dabfeed</t>
  </si>
  <si>
    <t>08545 Lillian Street</t>
  </si>
  <si>
    <t>07-389-5740</t>
  </si>
  <si>
    <t>72-784-3292</t>
  </si>
  <si>
    <t>59 Veith Center</t>
  </si>
  <si>
    <t>13-144-2169</t>
  </si>
  <si>
    <t>11-742-5033</t>
  </si>
  <si>
    <t>Blogpad</t>
  </si>
  <si>
    <t>52 Namekagon Junction</t>
  </si>
  <si>
    <t>13-798-3397</t>
  </si>
  <si>
    <t>89-992-6472</t>
  </si>
  <si>
    <t>Twimm</t>
  </si>
  <si>
    <t>93321 Kennedy Point</t>
  </si>
  <si>
    <t>85-806-0613</t>
  </si>
  <si>
    <t>06-286-2758</t>
  </si>
  <si>
    <t>9269 Main Trail</t>
  </si>
  <si>
    <t>67-248-6306</t>
  </si>
  <si>
    <t>86-173-6891</t>
  </si>
  <si>
    <t>Avamm</t>
  </si>
  <si>
    <t>05 Bartelt Street</t>
  </si>
  <si>
    <t>47-866-6589</t>
  </si>
  <si>
    <t>78-203-1075</t>
  </si>
  <si>
    <t>30880 Barnett Junction</t>
  </si>
  <si>
    <t>91-127-7489</t>
  </si>
  <si>
    <t>86-079-1525</t>
  </si>
  <si>
    <t>43211 Anzinger Drive</t>
  </si>
  <si>
    <t>90-343-9640</t>
  </si>
  <si>
    <t>54-919-9424</t>
  </si>
  <si>
    <t>3622 Anhalt Lane</t>
  </si>
  <si>
    <t>01-018-6418</t>
  </si>
  <si>
    <t>78-888-6073</t>
  </si>
  <si>
    <t>481 Mifflin Hill</t>
  </si>
  <si>
    <t>80-375-9075</t>
  </si>
  <si>
    <t>86-487-3354</t>
  </si>
  <si>
    <t>3831 Goodland Road</t>
  </si>
  <si>
    <t>80-227-6886</t>
  </si>
  <si>
    <t>91-632-7343</t>
  </si>
  <si>
    <t>4374 Corry Terrace</t>
  </si>
  <si>
    <t>15-562-3712</t>
  </si>
  <si>
    <t>53-243-7800</t>
  </si>
  <si>
    <t>1 Hudson Hill</t>
  </si>
  <si>
    <t>10-137-9759</t>
  </si>
  <si>
    <t>23-688-6256</t>
  </si>
  <si>
    <t>Trupe</t>
  </si>
  <si>
    <t>402 Kings Road</t>
  </si>
  <si>
    <t>69-171-1305</t>
  </si>
  <si>
    <t>33-733-7313</t>
  </si>
  <si>
    <t>9951 Petterle Alley</t>
  </si>
  <si>
    <t>83-117-7658</t>
  </si>
  <si>
    <t>61-424-7670</t>
  </si>
  <si>
    <t>Yabox</t>
  </si>
  <si>
    <t>0282 Emmet Hill</t>
  </si>
  <si>
    <t>74-642-2435</t>
  </si>
  <si>
    <t>52-012-3409</t>
  </si>
  <si>
    <t>6292 Chive Street</t>
  </si>
  <si>
    <t>10-445-0741</t>
  </si>
  <si>
    <t>82-470-7146</t>
  </si>
  <si>
    <t>31 Loomis Park</t>
  </si>
  <si>
    <t>80-658-6456</t>
  </si>
  <si>
    <t>42-080-6579</t>
  </si>
  <si>
    <t>44051 Old Shore Junction</t>
  </si>
  <si>
    <t>81-354-4203</t>
  </si>
  <si>
    <t>15-466-5131</t>
  </si>
  <si>
    <t>12 Luster Terrace</t>
  </si>
  <si>
    <t>08-573-9997</t>
  </si>
  <si>
    <t>95-734-4024</t>
  </si>
  <si>
    <t>03 Little Fleur Pass</t>
  </si>
  <si>
    <t>74-610-2295</t>
  </si>
  <si>
    <t>22-959-6357</t>
  </si>
  <si>
    <t>Lajo</t>
  </si>
  <si>
    <t>87 Bluestem Parkway</t>
  </si>
  <si>
    <t>76-070-1411</t>
  </si>
  <si>
    <t>63-528-0643</t>
  </si>
  <si>
    <t>87578 Stoughton Parkway</t>
  </si>
  <si>
    <t>61-582-7399</t>
  </si>
  <si>
    <t>15-062-6342</t>
  </si>
  <si>
    <t>Topiczoom</t>
  </si>
  <si>
    <t>8 Hanover Center</t>
  </si>
  <si>
    <t>42-674-3917</t>
  </si>
  <si>
    <t>26-080-4944</t>
  </si>
  <si>
    <t>78 Forest Dale Road</t>
  </si>
  <si>
    <t>05-899-1428</t>
  </si>
  <si>
    <t>17-494-5505</t>
  </si>
  <si>
    <t>591 Maple Junction</t>
  </si>
  <si>
    <t>74-548-9313</t>
  </si>
  <si>
    <t>69-832-7009</t>
  </si>
  <si>
    <t>1 Judy Street</t>
  </si>
  <si>
    <t>20-448-2972</t>
  </si>
  <si>
    <t>26-920-6626</t>
  </si>
  <si>
    <t>Buzzbean</t>
  </si>
  <si>
    <t>49770 Hoffman Court</t>
  </si>
  <si>
    <t>63-162-9244</t>
  </si>
  <si>
    <t>58-945-2944</t>
  </si>
  <si>
    <t>04 Rockefeller Terrace</t>
  </si>
  <si>
    <t>91-417-0366</t>
  </si>
  <si>
    <t>28-442-2578</t>
  </si>
  <si>
    <t>1 Elmside Parkway</t>
  </si>
  <si>
    <t>60-311-5701</t>
  </si>
  <si>
    <t>07-578-7055</t>
  </si>
  <si>
    <t>9 Meadow Vale Drive</t>
  </si>
  <si>
    <t>36-899-5324</t>
  </si>
  <si>
    <t>02-656-3112</t>
  </si>
  <si>
    <t>Flashdog</t>
  </si>
  <si>
    <t>3 Bashford Court</t>
  </si>
  <si>
    <t>22-266-9291</t>
  </si>
  <si>
    <t>15-550-0171</t>
  </si>
  <si>
    <t>111 David Hill</t>
  </si>
  <si>
    <t>76-584-4790</t>
  </si>
  <si>
    <t>58-213-1146</t>
  </si>
  <si>
    <t>1170 Shasta Circle</t>
  </si>
  <si>
    <t>82-948-2298</t>
  </si>
  <si>
    <t>53-749-6148</t>
  </si>
  <si>
    <t>555 Butternut Hill</t>
  </si>
  <si>
    <t>97-283-4840</t>
  </si>
  <si>
    <t>64-604-1679</t>
  </si>
  <si>
    <t>7232 Ridgeway Center</t>
  </si>
  <si>
    <t>17-395-1121</t>
  </si>
  <si>
    <t>67-252-3923</t>
  </si>
  <si>
    <t>8 Oriole Terrace</t>
  </si>
  <si>
    <t>74-132-5528</t>
  </si>
  <si>
    <t>41-713-1053</t>
  </si>
  <si>
    <t>611 Fieldstone Drive</t>
  </si>
  <si>
    <t>52-029-2382</t>
  </si>
  <si>
    <t>16-474-4516</t>
  </si>
  <si>
    <t>Brightdog</t>
  </si>
  <si>
    <t>08896 Evergreen Avenue</t>
  </si>
  <si>
    <t>11-053-0107</t>
  </si>
  <si>
    <t>Cherry</t>
  </si>
  <si>
    <t>07-410-2867</t>
  </si>
  <si>
    <t>734 Thackeray Avenue</t>
  </si>
  <si>
    <t>99-194-5600</t>
  </si>
  <si>
    <t>70-064-6828</t>
  </si>
  <si>
    <t>973 Spaight Place</t>
  </si>
  <si>
    <t>48-289-0604</t>
  </si>
  <si>
    <t>94-261-1193</t>
  </si>
  <si>
    <t>5 Colorado Park</t>
  </si>
  <si>
    <t>73-010-8323</t>
  </si>
  <si>
    <t>80-622-6587</t>
  </si>
  <si>
    <t>Tagcat</t>
  </si>
  <si>
    <t>811 Dapin Center</t>
  </si>
  <si>
    <t>06-068-6793</t>
  </si>
  <si>
    <t>94-958-6101</t>
  </si>
  <si>
    <t>25 Nancy Place</t>
  </si>
  <si>
    <t>56-054-8664</t>
  </si>
  <si>
    <t>53-247-1844</t>
  </si>
  <si>
    <t>01 Straubel Hill</t>
  </si>
  <si>
    <t>36-330-5036</t>
  </si>
  <si>
    <t>52-359-1255</t>
  </si>
  <si>
    <t>Mycat</t>
  </si>
  <si>
    <t>21 Golden Leaf Hill</t>
  </si>
  <si>
    <t>65-674-6076</t>
  </si>
  <si>
    <t>16-933-3355</t>
  </si>
  <si>
    <t>9738 Old Shore Trail</t>
  </si>
  <si>
    <t>87-013-6488</t>
  </si>
  <si>
    <t>77-471-0792</t>
  </si>
  <si>
    <t>Tekfly</t>
  </si>
  <si>
    <t>07855 Goodland Lane</t>
  </si>
  <si>
    <t>95-449-1286</t>
  </si>
  <si>
    <t>Egg (Chicken)</t>
  </si>
  <si>
    <t>18-260-7354</t>
  </si>
  <si>
    <t>Realfire</t>
  </si>
  <si>
    <t>1 Jackson Pass</t>
  </si>
  <si>
    <t>95-640-0293</t>
  </si>
  <si>
    <t>43-575-2151</t>
  </si>
  <si>
    <t>31 Sullivan Hill</t>
  </si>
  <si>
    <t>08-495-6853</t>
  </si>
  <si>
    <t>07-432-0137</t>
  </si>
  <si>
    <t>7943 Amoth Parkway</t>
  </si>
  <si>
    <t>42-495-7698</t>
  </si>
  <si>
    <t>93-625-4768</t>
  </si>
  <si>
    <t>91 Gateway Pass</t>
  </si>
  <si>
    <t>83-727-0814</t>
  </si>
  <si>
    <t>79-656-1990</t>
  </si>
  <si>
    <t>28 Boyd Pass</t>
  </si>
  <si>
    <t>01-050-2246</t>
  </si>
  <si>
    <t>80-462-5807</t>
  </si>
  <si>
    <t>38 Esch Pass</t>
  </si>
  <si>
    <t>07-858-5487</t>
  </si>
  <si>
    <t>92-991-6167</t>
  </si>
  <si>
    <t>6 Susan Alley</t>
  </si>
  <si>
    <t>20-283-0111</t>
  </si>
  <si>
    <t>60-394-8955</t>
  </si>
  <si>
    <t>Cogidoo</t>
  </si>
  <si>
    <t>0 Ruskin Way</t>
  </si>
  <si>
    <t>87-391-9658</t>
  </si>
  <si>
    <t>51-054-1226</t>
  </si>
  <si>
    <t>92486 Laurel Alley</t>
  </si>
  <si>
    <t>44-782-1395</t>
  </si>
  <si>
    <t>54-132-9762</t>
  </si>
  <si>
    <t>365 Vera Terrace</t>
  </si>
  <si>
    <t>12-828-1063</t>
  </si>
  <si>
    <t>48-707-5857</t>
  </si>
  <si>
    <t>018 Oxford Crossing</t>
  </si>
  <si>
    <t>72-989-2512</t>
  </si>
  <si>
    <t>03-117-6217</t>
  </si>
  <si>
    <t>Yakijo</t>
  </si>
  <si>
    <t>61 Waubesa Court</t>
  </si>
  <si>
    <t>53-667-4109</t>
  </si>
  <si>
    <t>40-800-4739</t>
  </si>
  <si>
    <t>992 East Point</t>
  </si>
  <si>
    <t>93-772-3085</t>
  </si>
  <si>
    <t>61-807-0746</t>
  </si>
  <si>
    <t>Edgetag</t>
  </si>
  <si>
    <t>07359 Porter Park</t>
  </si>
  <si>
    <t>92-652-3737</t>
  </si>
  <si>
    <t>42-361-6981</t>
  </si>
  <si>
    <t>Quimm</t>
  </si>
  <si>
    <t>66330 Northridge Street</t>
  </si>
  <si>
    <t>74-404-0582</t>
  </si>
  <si>
    <t>31-628-6696</t>
  </si>
  <si>
    <t>07 Maple Wood Drive</t>
  </si>
  <si>
    <t>19-244-9890</t>
  </si>
  <si>
    <t>98-107-0604</t>
  </si>
  <si>
    <t>Wikido</t>
  </si>
  <si>
    <t>620 Mockingbird Pass</t>
  </si>
  <si>
    <t>01-839-6534</t>
  </si>
  <si>
    <t>51-519-4588</t>
  </si>
  <si>
    <t>8 Hazelcrest Street</t>
  </si>
  <si>
    <t>58-229-1358</t>
  </si>
  <si>
    <t>66-883-2383</t>
  </si>
  <si>
    <t>1 Lillian Plaza</t>
  </si>
  <si>
    <t>80-025-6757</t>
  </si>
  <si>
    <t>49-608-3851</t>
  </si>
  <si>
    <t>Thoughtmix</t>
  </si>
  <si>
    <t>183 Algoma Trail</t>
  </si>
  <si>
    <t>35-031-1497</t>
  </si>
  <si>
    <t>84-835-1656</t>
  </si>
  <si>
    <t>581 Oneill Crossing</t>
  </si>
  <si>
    <t>26-629-5920</t>
  </si>
  <si>
    <t>19-264-7608</t>
  </si>
  <si>
    <t>77563 Russell Lane</t>
  </si>
  <si>
    <t>51-000-8113</t>
  </si>
  <si>
    <t>56-825-0880</t>
  </si>
  <si>
    <t>51369 Dawn Hill</t>
  </si>
  <si>
    <t>93-571-7294</t>
  </si>
  <si>
    <t>77-842-0920</t>
  </si>
  <si>
    <t>76 Fisk Park</t>
  </si>
  <si>
    <t>48-770-6319</t>
  </si>
  <si>
    <t>64-452-2395</t>
  </si>
  <si>
    <t>34 Fremont Point</t>
  </si>
  <si>
    <t>74-818-3306</t>
  </si>
  <si>
    <t>75-536-2986</t>
  </si>
  <si>
    <t>Eabox</t>
  </si>
  <si>
    <t>62 Thackeray Center</t>
  </si>
  <si>
    <t>15-082-9124</t>
  </si>
  <si>
    <t>02-997-1489</t>
  </si>
  <si>
    <t>LiveZ</t>
  </si>
  <si>
    <t>38 Dawn Street</t>
  </si>
  <si>
    <t>66-854-5736</t>
  </si>
  <si>
    <t>98-591-1051</t>
  </si>
  <si>
    <t>50880 Nobel Road</t>
  </si>
  <si>
    <t>90-128-7973</t>
  </si>
  <si>
    <t>91-417-6283</t>
  </si>
  <si>
    <t>46989 Crescent Oaks Junction</t>
  </si>
  <si>
    <t>60-198-7050</t>
  </si>
  <si>
    <t>27-493-6787</t>
  </si>
  <si>
    <t>5306 Arkansas Avenue</t>
  </si>
  <si>
    <t>70-206-4860</t>
  </si>
  <si>
    <t>82-527-9395</t>
  </si>
  <si>
    <t>Meejo</t>
  </si>
  <si>
    <t>75 High Crossing Junction</t>
  </si>
  <si>
    <t>25-353-2067</t>
  </si>
  <si>
    <t>01-210-3485</t>
  </si>
  <si>
    <t>59449 Sherman Parkway</t>
  </si>
  <si>
    <t>93-218-8108</t>
  </si>
  <si>
    <t>05-966-6460</t>
  </si>
  <si>
    <t>9848 Little Fleur Point</t>
  </si>
  <si>
    <t>95-262-6208</t>
  </si>
  <si>
    <t>66-227-1125</t>
  </si>
  <si>
    <t>44662 American Plaza</t>
  </si>
  <si>
    <t>02-484-0206</t>
  </si>
  <si>
    <t>62-011-9357</t>
  </si>
  <si>
    <t>60 Main Pass</t>
  </si>
  <si>
    <t>08-226-5155</t>
  </si>
  <si>
    <t>64-584-7898</t>
  </si>
  <si>
    <t>81503 Graedel Plaza</t>
  </si>
  <si>
    <t>47-581-0363</t>
  </si>
  <si>
    <t>08-359-2568</t>
  </si>
  <si>
    <t>8 Dawn Court</t>
  </si>
  <si>
    <t>04-104-6993</t>
  </si>
  <si>
    <t>06-776-1072</t>
  </si>
  <si>
    <t>55095 Northview Drive</t>
  </si>
  <si>
    <t>45-380-4627</t>
  </si>
  <si>
    <t>20-201-5639</t>
  </si>
  <si>
    <t>0 Thackeray Point</t>
  </si>
  <si>
    <t>41-240-8856</t>
  </si>
  <si>
    <t>28-162-7486</t>
  </si>
  <si>
    <t>8 Autumn Leaf Drive</t>
  </si>
  <si>
    <t>81-573-0943</t>
  </si>
  <si>
    <t>07-754-2313</t>
  </si>
  <si>
    <t>20 Marcy Circle</t>
  </si>
  <si>
    <t>67-725-6830</t>
  </si>
  <si>
    <t>05-727-0033</t>
  </si>
  <si>
    <t>9 Victoria Point</t>
  </si>
  <si>
    <t>55-154-4728</t>
  </si>
  <si>
    <t>33-466-7894</t>
  </si>
  <si>
    <t>96 Westridge Junction</t>
  </si>
  <si>
    <t>41-526-4036</t>
  </si>
  <si>
    <t>45-923-7206</t>
  </si>
  <si>
    <t>38726 Gina Pass</t>
  </si>
  <si>
    <t>86-273-9377</t>
  </si>
  <si>
    <t>38-330-5543</t>
  </si>
  <si>
    <t>1 Hollow Ridge Park</t>
  </si>
  <si>
    <t>98-499-2220</t>
  </si>
  <si>
    <t>69-666-2257</t>
  </si>
  <si>
    <t>27 School Court</t>
  </si>
  <si>
    <t>50-930-4751</t>
  </si>
  <si>
    <t>40-260-8547</t>
  </si>
  <si>
    <t>80380 Valley Edge Road</t>
  </si>
  <si>
    <t>88-304-2855</t>
  </si>
  <si>
    <t>59-570-2020</t>
  </si>
  <si>
    <t>0 Delladonna Place</t>
  </si>
  <si>
    <t>69-743-0161</t>
  </si>
  <si>
    <t>29-774-6779</t>
  </si>
  <si>
    <t>583 Loftsgordon Road</t>
  </si>
  <si>
    <t>40-902-1995</t>
  </si>
  <si>
    <t>86-879-7811</t>
  </si>
  <si>
    <t>Zoomzone</t>
  </si>
  <si>
    <t>1519 Delaware Court</t>
  </si>
  <si>
    <t>50-329-3360</t>
  </si>
  <si>
    <t>85-594-2570</t>
  </si>
  <si>
    <t>72 Crownhardt Circle</t>
  </si>
  <si>
    <t>03-441-4252</t>
  </si>
  <si>
    <t>11-430-6041</t>
  </si>
  <si>
    <t>6 Bobwhite Alley</t>
  </si>
  <si>
    <t>97-093-4278</t>
  </si>
  <si>
    <t>38-200-4863</t>
  </si>
  <si>
    <t>Twitterlist</t>
  </si>
  <si>
    <t>467 Dexter Pass</t>
  </si>
  <si>
    <t>01-820-5784</t>
  </si>
  <si>
    <t>80-567-5598</t>
  </si>
  <si>
    <t>6982 Crownhardt Circle</t>
  </si>
  <si>
    <t>31-803-5001</t>
  </si>
  <si>
    <t>14-414-1945</t>
  </si>
  <si>
    <t>Voonder</t>
  </si>
  <si>
    <t>64 1st Plaza</t>
  </si>
  <si>
    <t>61-317-9944</t>
  </si>
  <si>
    <t>03-220-5535</t>
  </si>
  <si>
    <t>21844 Artisan Trail</t>
  </si>
  <si>
    <t>56-303-5256</t>
  </si>
  <si>
    <t>29-821-5359</t>
  </si>
  <si>
    <t>3 Hermina Circle</t>
  </si>
  <si>
    <t>86-672-4191</t>
  </si>
  <si>
    <t>79-219-8469</t>
  </si>
  <si>
    <t>Einti</t>
  </si>
  <si>
    <t>18 Troy Avenue</t>
  </si>
  <si>
    <t>34-547-0827</t>
  </si>
  <si>
    <t>30-853-8580</t>
  </si>
  <si>
    <t>18 Comanche Junction</t>
  </si>
  <si>
    <t>20-387-7746</t>
  </si>
  <si>
    <t>08-218-9429</t>
  </si>
  <si>
    <t>9050 Dorton Pass</t>
  </si>
  <si>
    <t>50-329-3145</t>
  </si>
  <si>
    <t>88-418-3855</t>
  </si>
  <si>
    <t>591 Maple Wood Drive</t>
  </si>
  <si>
    <t>02-559-8196</t>
  </si>
  <si>
    <t>44-495-6660</t>
  </si>
  <si>
    <t>545 Linden Alley</t>
  </si>
  <si>
    <t>69-834-2874</t>
  </si>
  <si>
    <t>51-600-6076</t>
  </si>
  <si>
    <t>39 Oxford Drive</t>
  </si>
  <si>
    <t>27-474-0056</t>
  </si>
  <si>
    <t>56-969-3705</t>
  </si>
  <si>
    <t>538 Bayside Parkway</t>
  </si>
  <si>
    <t>66-378-7532</t>
  </si>
  <si>
    <t>15-365-5585</t>
  </si>
  <si>
    <t>88678 Bayside Park</t>
  </si>
  <si>
    <t>28-185-7303</t>
  </si>
  <si>
    <t>97-143-0641</t>
  </si>
  <si>
    <t>25696 Westerfield Alley</t>
  </si>
  <si>
    <t>19-854-3663</t>
  </si>
  <si>
    <t>72-509-7548</t>
  </si>
  <si>
    <t>4 Dakota Avenue</t>
  </si>
  <si>
    <t>42-175-1648</t>
  </si>
  <si>
    <t>67-272-8844</t>
  </si>
  <si>
    <t>72778 Loftsgordon Center</t>
  </si>
  <si>
    <t>56-657-4387</t>
  </si>
  <si>
    <t>78-629-7560</t>
  </si>
  <si>
    <t>5 Lyons Street</t>
  </si>
  <si>
    <t>05-720-8792</t>
  </si>
  <si>
    <t>33-265-4588</t>
  </si>
  <si>
    <t>2 Northview Avenue</t>
  </si>
  <si>
    <t>84-151-2114</t>
  </si>
  <si>
    <t>79-704-1471</t>
  </si>
  <si>
    <t>12 Rigney Street</t>
  </si>
  <si>
    <t>10-378-9729</t>
  </si>
  <si>
    <t>83-941-9620</t>
  </si>
  <si>
    <t>2 Butterfield Pass</t>
  </si>
  <si>
    <t>53-930-2215</t>
  </si>
  <si>
    <t>42-210-6541</t>
  </si>
  <si>
    <t>Gabvine</t>
  </si>
  <si>
    <t>292 Utah Street</t>
  </si>
  <si>
    <t>02-034-6209</t>
  </si>
  <si>
    <t>34-724-1913</t>
  </si>
  <si>
    <t>Yodel</t>
  </si>
  <si>
    <t>96 Brown Drive</t>
  </si>
  <si>
    <t>28-003-8065</t>
  </si>
  <si>
    <t>42-579-7177</t>
  </si>
  <si>
    <t>Voonte</t>
  </si>
  <si>
    <t>65 Merry Circle</t>
  </si>
  <si>
    <t>19-021-5024</t>
  </si>
  <si>
    <t>75-369-5047</t>
  </si>
  <si>
    <t>4 Heffernan Lane</t>
  </si>
  <si>
    <t>07-846-4804</t>
  </si>
  <si>
    <t>30-605-2164</t>
  </si>
  <si>
    <t>2 Fair Oaks Pass</t>
  </si>
  <si>
    <t>70-542-4269</t>
  </si>
  <si>
    <t>27-772-7906</t>
  </si>
  <si>
    <t>7 Victoria Hill</t>
  </si>
  <si>
    <t>52-797-6961</t>
  </si>
  <si>
    <t>75-793-8978</t>
  </si>
  <si>
    <t>13799 Quincy Park</t>
  </si>
  <si>
    <t>66-327-2821</t>
  </si>
  <si>
    <t>82-525-7224</t>
  </si>
  <si>
    <t>703 Hermina Center</t>
  </si>
  <si>
    <t>12-093-9863</t>
  </si>
  <si>
    <t>21-416-3796</t>
  </si>
  <si>
    <t>Feednation</t>
  </si>
  <si>
    <t>6748 Mitchell Road</t>
  </si>
  <si>
    <t>08-396-2704</t>
  </si>
  <si>
    <t>94-186-9620</t>
  </si>
  <si>
    <t>160 Crowley Center</t>
  </si>
  <si>
    <t>72-970-0239</t>
  </si>
  <si>
    <t>64-752-3122</t>
  </si>
  <si>
    <t>Divanoodle</t>
  </si>
  <si>
    <t>73966 Pond Trail</t>
  </si>
  <si>
    <t>03-940-0630</t>
  </si>
  <si>
    <t>49-762-8263</t>
  </si>
  <si>
    <t>27408 Burning Wood Street</t>
  </si>
  <si>
    <t>67-130-4114</t>
  </si>
  <si>
    <t>53-718-1768</t>
  </si>
  <si>
    <t>9327 Hanover Way</t>
  </si>
  <si>
    <t>32-270-1385</t>
  </si>
  <si>
    <t>81-072-8266</t>
  </si>
  <si>
    <t>Quaxo</t>
  </si>
  <si>
    <t>0500 Calypso Pass</t>
  </si>
  <si>
    <t>85-510-2915</t>
  </si>
  <si>
    <t>55-134-2668</t>
  </si>
  <si>
    <t>8 Merrick Lane</t>
  </si>
  <si>
    <t>00-842-9790</t>
  </si>
  <si>
    <t>37-079-2530</t>
  </si>
  <si>
    <t>53894 Myrtle Place</t>
  </si>
  <si>
    <t>49-377-9731</t>
  </si>
  <si>
    <t>56-823-5908</t>
  </si>
  <si>
    <t>Livefish</t>
  </si>
  <si>
    <t>3 Meadow Valley Court</t>
  </si>
  <si>
    <t>96-682-8546</t>
  </si>
  <si>
    <t>03-882-3517</t>
  </si>
  <si>
    <t>Kaymbo</t>
  </si>
  <si>
    <t>97 Walton Avenue</t>
  </si>
  <si>
    <t>92-837-8839</t>
  </si>
  <si>
    <t>95-484-3134</t>
  </si>
  <si>
    <t>95 Lerdahl Park</t>
  </si>
  <si>
    <t>68-732-5919</t>
  </si>
  <si>
    <t>07-500-2023</t>
  </si>
  <si>
    <t>56 Bonner Point</t>
  </si>
  <si>
    <t>37-064-7275</t>
  </si>
  <si>
    <t>63-522-2633</t>
  </si>
  <si>
    <t>149 Lawn Way</t>
  </si>
  <si>
    <t>43-193-9915</t>
  </si>
  <si>
    <t>23-931-2988</t>
  </si>
  <si>
    <t>Roodel</t>
  </si>
  <si>
    <t>61 Transport Parkway</t>
  </si>
  <si>
    <t>45-992-5653</t>
  </si>
  <si>
    <t>22-050-5775</t>
  </si>
  <si>
    <t>Jaxworks</t>
  </si>
  <si>
    <t>5 Fisk Point</t>
  </si>
  <si>
    <t>45-852-2446</t>
  </si>
  <si>
    <t>37-567-5710</t>
  </si>
  <si>
    <t>Fanoodle</t>
  </si>
  <si>
    <t>56 Petterle Circle</t>
  </si>
  <si>
    <t>57-394-4703</t>
  </si>
  <si>
    <t>52-130-3457</t>
  </si>
  <si>
    <t>Agivu</t>
  </si>
  <si>
    <t>10/16/2024</t>
  </si>
  <si>
    <t>38 Banding Lane</t>
  </si>
  <si>
    <t>07-679-1199</t>
  </si>
  <si>
    <t>75-406-6250</t>
  </si>
  <si>
    <t>1991 Kropf Way</t>
  </si>
  <si>
    <t>47-221-3391</t>
  </si>
  <si>
    <t>21-450-5520</t>
  </si>
  <si>
    <t>0023 Upham Road</t>
  </si>
  <si>
    <t>80-698-0324</t>
  </si>
  <si>
    <t>98-587-7923</t>
  </si>
  <si>
    <t>Bluejam</t>
  </si>
  <si>
    <t>7 Duke Parkway</t>
  </si>
  <si>
    <t>36-383-3677</t>
  </si>
  <si>
    <t>88-020-6814</t>
  </si>
  <si>
    <t>7 Anzinger Lane</t>
  </si>
  <si>
    <t>42-907-6946</t>
  </si>
  <si>
    <t>32-386-9832</t>
  </si>
  <si>
    <t>093 Anhalt Crossing</t>
  </si>
  <si>
    <t>96-209-1739</t>
  </si>
  <si>
    <t>82-930-7733</t>
  </si>
  <si>
    <t>779 Ridgeway Street</t>
  </si>
  <si>
    <t>36-679-4670</t>
  </si>
  <si>
    <t>60-508-7567</t>
  </si>
  <si>
    <t>Fatz</t>
  </si>
  <si>
    <t>5 Warner Court</t>
  </si>
  <si>
    <t>08-637-9335</t>
  </si>
  <si>
    <t>99-178-0951</t>
  </si>
  <si>
    <t>9 Cardinal Alley</t>
  </si>
  <si>
    <t>56-875-3717</t>
  </si>
  <si>
    <t>39-257-6162</t>
  </si>
  <si>
    <t>32 Cottonwood Pass</t>
  </si>
  <si>
    <t>86-978-6666</t>
  </si>
  <si>
    <t>43-979-2253</t>
  </si>
  <si>
    <t>21343 Brentwood Circle</t>
  </si>
  <si>
    <t>41-475-5305</t>
  </si>
  <si>
    <t>93-900-1170</t>
  </si>
  <si>
    <t>Kwideo</t>
  </si>
  <si>
    <t>88 Hooker Parkway</t>
  </si>
  <si>
    <t>25-911-7736</t>
  </si>
  <si>
    <t>40-180-0752</t>
  </si>
  <si>
    <t>72090 Northfield Place</t>
  </si>
  <si>
    <t>28-433-8533</t>
  </si>
  <si>
    <t>81-694-0300</t>
  </si>
  <si>
    <t>Topicware</t>
  </si>
  <si>
    <t>8 Mayer Trail</t>
  </si>
  <si>
    <t>84-624-0201</t>
  </si>
  <si>
    <t>25-769-3792</t>
  </si>
  <si>
    <t>Skaboo</t>
  </si>
  <si>
    <t>9 Eastlawn Crossing</t>
  </si>
  <si>
    <t>45-634-0679</t>
  </si>
  <si>
    <t>29-542-9338</t>
  </si>
  <si>
    <t>Rhybox</t>
  </si>
  <si>
    <t>9 Anhalt Trail</t>
  </si>
  <si>
    <t>93-014-4256</t>
  </si>
  <si>
    <t>37-599-8579</t>
  </si>
  <si>
    <t>6 Bay Road</t>
  </si>
  <si>
    <t>24-989-3302</t>
  </si>
  <si>
    <t>89-159-0852</t>
  </si>
  <si>
    <t>Eazzy</t>
  </si>
  <si>
    <t>736 Redwing Parkway</t>
  </si>
  <si>
    <t>46-415-8633</t>
  </si>
  <si>
    <t>32-497-0478</t>
  </si>
  <si>
    <t>5 Eggendart Parkway</t>
  </si>
  <si>
    <t>73-117-6105</t>
  </si>
  <si>
    <t>74-729-7466</t>
  </si>
  <si>
    <t>955 4th Road</t>
  </si>
  <si>
    <t>53-710-7630</t>
  </si>
  <si>
    <t>46-171-9624</t>
  </si>
  <si>
    <t>996 Thierer Center</t>
  </si>
  <si>
    <t>10-617-7581</t>
  </si>
  <si>
    <t>86-995-7254</t>
  </si>
  <si>
    <t>0 Lawn Parkway</t>
  </si>
  <si>
    <t>66-312-5511</t>
  </si>
  <si>
    <t>99-553-6838</t>
  </si>
  <si>
    <t>959 Dorton Pass</t>
  </si>
  <si>
    <t>87-423-8486</t>
  </si>
  <si>
    <t>12-947-4739</t>
  </si>
  <si>
    <t>5 Homewood Street</t>
  </si>
  <si>
    <t>64-493-5270</t>
  </si>
  <si>
    <t>36-964-9838</t>
  </si>
  <si>
    <t>4571 Fremont Way</t>
  </si>
  <si>
    <t>31-255-9616</t>
  </si>
  <si>
    <t>11-031-9939</t>
  </si>
  <si>
    <t>9440 Coleman Drive</t>
  </si>
  <si>
    <t>26-799-3714</t>
  </si>
  <si>
    <t>50-877-0990</t>
  </si>
  <si>
    <t>Mymm</t>
  </si>
  <si>
    <t>49225 Homewood Place</t>
  </si>
  <si>
    <t>64-119-7804</t>
  </si>
  <si>
    <t>53-497-9614</t>
  </si>
  <si>
    <t>Jaxbean</t>
  </si>
  <si>
    <t>06584 Mendota Avenue</t>
  </si>
  <si>
    <t>74-181-4135</t>
  </si>
  <si>
    <t>00-487-2428</t>
  </si>
  <si>
    <t>79878 Katie Trail</t>
  </si>
  <si>
    <t>34-369-7712</t>
  </si>
  <si>
    <t>95-241-9348</t>
  </si>
  <si>
    <t>0 Lerdahl Parkway</t>
  </si>
  <si>
    <t>31-157-1822</t>
  </si>
  <si>
    <t>53-998-1422</t>
  </si>
  <si>
    <t>803 Cottonwood Crossing</t>
  </si>
  <si>
    <t>27-459-0724</t>
  </si>
  <si>
    <t>45-331-8563</t>
  </si>
  <si>
    <t>4 Duke Way</t>
  </si>
  <si>
    <t>47-441-7682</t>
  </si>
  <si>
    <t>90-998-1236</t>
  </si>
  <si>
    <t>4247 David Crossing</t>
  </si>
  <si>
    <t>32-676-1026</t>
  </si>
  <si>
    <t>98-155-9583</t>
  </si>
  <si>
    <t>9433 Jenna Lane</t>
  </si>
  <si>
    <t>77-959-1018</t>
  </si>
  <si>
    <t>00-912-3545</t>
  </si>
  <si>
    <t>03 Ryan Circle</t>
  </si>
  <si>
    <t>60-911-3745</t>
  </si>
  <si>
    <t>87-570-0273</t>
  </si>
  <si>
    <t>75054 Ramsey Parkway</t>
  </si>
  <si>
    <t>57-101-0060</t>
  </si>
  <si>
    <t>40-070-5881</t>
  </si>
  <si>
    <t>78919 East Crossing</t>
  </si>
  <si>
    <t>54-758-4622</t>
  </si>
  <si>
    <t>94-903-2643</t>
  </si>
  <si>
    <t>865 Eagle Crest Park</t>
  </si>
  <si>
    <t>92-152-5820</t>
  </si>
  <si>
    <t>50-747-2259</t>
  </si>
  <si>
    <t>0920 Monica Pass</t>
  </si>
  <si>
    <t>44-637-5512</t>
  </si>
  <si>
    <t>27-541-2645</t>
  </si>
  <si>
    <t>00064 Mosinee Circle</t>
  </si>
  <si>
    <t>65-854-9364</t>
  </si>
  <si>
    <t>64-800-4141</t>
  </si>
  <si>
    <t>752 Mccormick Way</t>
  </si>
  <si>
    <t>60-747-8704</t>
  </si>
  <si>
    <t>93-793-4398</t>
  </si>
  <si>
    <t>561 Pennsylvania Way</t>
  </si>
  <si>
    <t>85-835-3445</t>
  </si>
  <si>
    <t>13-433-4930</t>
  </si>
  <si>
    <t>288 Fair Oaks Place</t>
  </si>
  <si>
    <t>66-716-8221</t>
  </si>
  <si>
    <t>67-024-9832</t>
  </si>
  <si>
    <t>54 Weeping Birch Lane</t>
  </si>
  <si>
    <t>01-026-2772</t>
  </si>
  <si>
    <t>20-532-0144</t>
  </si>
  <si>
    <t>3 Bunting Point</t>
  </si>
  <si>
    <t>21-252-1360</t>
  </si>
  <si>
    <t>28-314-1189</t>
  </si>
  <si>
    <t>32 Charing Cross Pass</t>
  </si>
  <si>
    <t>80-039-1261</t>
  </si>
  <si>
    <t>37-994-7932</t>
  </si>
  <si>
    <t>1 Havey Park</t>
  </si>
  <si>
    <t>48-427-0551</t>
  </si>
  <si>
    <t>01-900-4509</t>
  </si>
  <si>
    <t>2 7th Center</t>
  </si>
  <si>
    <t>02-575-1980</t>
  </si>
  <si>
    <t>61-100-8296</t>
  </si>
  <si>
    <t>Yambee</t>
  </si>
  <si>
    <t>34832 Autumn Leaf Terrace</t>
  </si>
  <si>
    <t>61-293-6327</t>
  </si>
  <si>
    <t>00-023-7719</t>
  </si>
  <si>
    <t>4353 Dixon Circle</t>
  </si>
  <si>
    <t>08-519-5579</t>
  </si>
  <si>
    <t>32-178-2765</t>
  </si>
  <si>
    <t>89 Karstens Alley</t>
  </si>
  <si>
    <t>33-670-6797</t>
  </si>
  <si>
    <t>74-032-7560</t>
  </si>
  <si>
    <t>2869 Hudson Drive</t>
  </si>
  <si>
    <t>29-741-8132</t>
  </si>
  <si>
    <t>49-384-4540</t>
  </si>
  <si>
    <t>85 Farwell Parkway</t>
  </si>
  <si>
    <t>89-713-6071</t>
  </si>
  <si>
    <t>84-123-7159</t>
  </si>
  <si>
    <t>60 Dottie Hill</t>
  </si>
  <si>
    <t>00-641-8691</t>
  </si>
  <si>
    <t>34-824-0575</t>
  </si>
  <si>
    <t>797 Mcbride Lane</t>
  </si>
  <si>
    <t>68-977-6854</t>
  </si>
  <si>
    <t>73-830-9633</t>
  </si>
  <si>
    <t>2633 Shasta Alley</t>
  </si>
  <si>
    <t>86-257-4613</t>
  </si>
  <si>
    <t>70-402-4816</t>
  </si>
  <si>
    <t>5 Prentice Pass</t>
  </si>
  <si>
    <t>06-340-6856</t>
  </si>
  <si>
    <t>11-005-7835</t>
  </si>
  <si>
    <t>Podcat</t>
  </si>
  <si>
    <t>84 Rusk Terrace</t>
  </si>
  <si>
    <t>11-338-4598</t>
  </si>
  <si>
    <t>72-360-6358</t>
  </si>
  <si>
    <t>9067 Valley Edge Park</t>
  </si>
  <si>
    <t>82-711-0772</t>
  </si>
  <si>
    <t>78-877-1866</t>
  </si>
  <si>
    <t>463 Oxford Crossing</t>
  </si>
  <si>
    <t>05-184-4175</t>
  </si>
  <si>
    <t>31-676-5646</t>
  </si>
  <si>
    <t>57 Di Loreto Circle</t>
  </si>
  <si>
    <t>17-274-6898</t>
  </si>
  <si>
    <t>34-738-1209</t>
  </si>
  <si>
    <t>657 Texas Street</t>
  </si>
  <si>
    <t>79-569-8856</t>
  </si>
  <si>
    <t>04-854-7165</t>
  </si>
  <si>
    <t>03643 Oakridge Lane</t>
  </si>
  <si>
    <t>00-534-9775</t>
  </si>
  <si>
    <t>79-955-6260</t>
  </si>
  <si>
    <t>68 Dakota Center</t>
  </si>
  <si>
    <t>94-071-2261</t>
  </si>
  <si>
    <t>25-706-2146</t>
  </si>
  <si>
    <t>2004 Cody Plaza</t>
  </si>
  <si>
    <t>94-355-3070</t>
  </si>
  <si>
    <t>73-393-9432</t>
  </si>
  <si>
    <t>116 Spaight Park</t>
  </si>
  <si>
    <t>17-265-1899</t>
  </si>
  <si>
    <t>61-793-0279</t>
  </si>
  <si>
    <t>4826 Drewry Center</t>
  </si>
  <si>
    <t>13-888-0149</t>
  </si>
  <si>
    <t>09-902-6272</t>
  </si>
  <si>
    <t>1 Logan Road</t>
  </si>
  <si>
    <t>21-890-2826</t>
  </si>
  <si>
    <t>32-371-1686</t>
  </si>
  <si>
    <t>84 Hoffman Way</t>
  </si>
  <si>
    <t>05-425-0746</t>
  </si>
  <si>
    <t>23-450-0301</t>
  </si>
  <si>
    <t>49884 Brickson Park Plaza</t>
  </si>
  <si>
    <t>88-807-8431</t>
  </si>
  <si>
    <t>66-563-9462</t>
  </si>
  <si>
    <t>2 Russell Alley</t>
  </si>
  <si>
    <t>77-377-1659</t>
  </si>
  <si>
    <t>64-674-3902</t>
  </si>
  <si>
    <t>6 Acker Street</t>
  </si>
  <si>
    <t>92-362-3567</t>
  </si>
  <si>
    <t>40-056-7748</t>
  </si>
  <si>
    <t>826 Melvin Pass</t>
  </si>
  <si>
    <t>99-961-0767</t>
  </si>
  <si>
    <t>78-954-5649</t>
  </si>
  <si>
    <t>Tambee</t>
  </si>
  <si>
    <t>40113 Blaine Place</t>
  </si>
  <si>
    <t>94-092-3355</t>
  </si>
  <si>
    <t>76-641-2070</t>
  </si>
  <si>
    <t>929 Thierer Lane</t>
  </si>
  <si>
    <t>29-344-3658</t>
  </si>
  <si>
    <t>33-546-5056</t>
  </si>
  <si>
    <t>7 Talmadge Street</t>
  </si>
  <si>
    <t>60-327-4114</t>
  </si>
  <si>
    <t>59-968-8346</t>
  </si>
  <si>
    <t>3 Bellgrove Way</t>
  </si>
  <si>
    <t>13-409-9040</t>
  </si>
  <si>
    <t>34-303-5097</t>
  </si>
  <si>
    <t>Jazzy</t>
  </si>
  <si>
    <t>9623 Cottonwood Park</t>
  </si>
  <si>
    <t>75-927-9108</t>
  </si>
  <si>
    <t>27-406-7972</t>
  </si>
  <si>
    <t>43 Washington Street</t>
  </si>
  <si>
    <t>30-806-3823</t>
  </si>
  <si>
    <t>36-451-3173</t>
  </si>
  <si>
    <t>07 Pankratz Point</t>
  </si>
  <si>
    <t>65-780-5622</t>
  </si>
  <si>
    <t>69-460-9770</t>
  </si>
  <si>
    <t>65 Forster Way</t>
  </si>
  <si>
    <t>94-598-3383</t>
  </si>
  <si>
    <t>39-488-0039</t>
  </si>
  <si>
    <t>7403 Fuller Hill</t>
  </si>
  <si>
    <t>45-250-4679</t>
  </si>
  <si>
    <t>80-328-4990</t>
  </si>
  <si>
    <t>49148 Meadow Ridge Way</t>
  </si>
  <si>
    <t>45-317-9731</t>
  </si>
  <si>
    <t>05-779-0378</t>
  </si>
  <si>
    <t>Wordware</t>
  </si>
  <si>
    <t>70156 7th Junction</t>
  </si>
  <si>
    <t>41-131-3841</t>
  </si>
  <si>
    <t>55-269-1746</t>
  </si>
  <si>
    <t>16 Fair Oaks Pass</t>
  </si>
  <si>
    <t>15-905-7750</t>
  </si>
  <si>
    <t>48-176-1622</t>
  </si>
  <si>
    <t>36687 Maple Avenue</t>
  </si>
  <si>
    <t>68-973-8812</t>
  </si>
  <si>
    <t>31-955-7362</t>
  </si>
  <si>
    <t>55 Cherokee Circle</t>
  </si>
  <si>
    <t>49-570-8214</t>
  </si>
  <si>
    <t>17-345-5800</t>
  </si>
  <si>
    <t>1823 Elgar Park</t>
  </si>
  <si>
    <t>57-779-4955</t>
  </si>
  <si>
    <t>84-869-9980</t>
  </si>
  <si>
    <t>38436 Anthes Way</t>
  </si>
  <si>
    <t>85-781-5386</t>
  </si>
  <si>
    <t>89-439-6947</t>
  </si>
  <si>
    <t>10577 Thierer Plaza</t>
  </si>
  <si>
    <t>72-341-1154</t>
  </si>
  <si>
    <t>84-090-6472</t>
  </si>
  <si>
    <t>8682 Golf Course Junction</t>
  </si>
  <si>
    <t>28-986-8001</t>
  </si>
  <si>
    <t>37-281-2537</t>
  </si>
  <si>
    <t>4 Old Shore Avenue</t>
  </si>
  <si>
    <t>82-811-7988</t>
  </si>
  <si>
    <t>41-772-9238</t>
  </si>
  <si>
    <t>65 Chinook Circle</t>
  </si>
  <si>
    <t>27-495-1912</t>
  </si>
  <si>
    <t>34-667-8907</t>
  </si>
  <si>
    <t>Thoughtbridge</t>
  </si>
  <si>
    <t>12710 Gulseth Circle</t>
  </si>
  <si>
    <t>44-480-9446</t>
  </si>
  <si>
    <t>35-000-6015</t>
  </si>
  <si>
    <t>43591 East Road</t>
  </si>
  <si>
    <t>77-937-1108</t>
  </si>
  <si>
    <t>41-007-0132</t>
  </si>
  <si>
    <t>01 Hansons Crossing</t>
  </si>
  <si>
    <t>82-538-4809</t>
  </si>
  <si>
    <t>74-357-2990</t>
  </si>
  <si>
    <t>700 Northland Crossing</t>
  </si>
  <si>
    <t>69-895-3397</t>
  </si>
  <si>
    <t>02-575-2074</t>
  </si>
  <si>
    <t>98 Melody Street</t>
  </si>
  <si>
    <t>44-112-3331</t>
  </si>
  <si>
    <t>90-453-4096</t>
  </si>
  <si>
    <t>63787 Arkansas Street</t>
  </si>
  <si>
    <t>93-682-2069</t>
  </si>
  <si>
    <t>60-038-7810</t>
  </si>
  <si>
    <t>2718 Londonderry Plaza</t>
  </si>
  <si>
    <t>49-199-6836</t>
  </si>
  <si>
    <t>81-999-7392</t>
  </si>
  <si>
    <t>77 Brown Circle</t>
  </si>
  <si>
    <t>47-221-2470</t>
  </si>
  <si>
    <t>30-780-7583</t>
  </si>
  <si>
    <t>Teklist</t>
  </si>
  <si>
    <t>60 Messerschmidt Pass</t>
  </si>
  <si>
    <t>71-067-3278</t>
  </si>
  <si>
    <t>76-797-9430</t>
  </si>
  <si>
    <t>5521 Wayridge Center</t>
  </si>
  <si>
    <t>89-388-3239</t>
  </si>
  <si>
    <t>28-521-7083</t>
  </si>
  <si>
    <t>4346 Columbus Way</t>
  </si>
  <si>
    <t>10-555-5971</t>
  </si>
  <si>
    <t>30-410-3509</t>
  </si>
  <si>
    <t>8425 New Castle Parkway</t>
  </si>
  <si>
    <t>82-931-7126</t>
  </si>
  <si>
    <t>67-596-1997</t>
  </si>
  <si>
    <t>856 School Plaza</t>
  </si>
  <si>
    <t>24-228-6840</t>
  </si>
  <si>
    <t>26-280-5472</t>
  </si>
  <si>
    <t>Myworks</t>
  </si>
  <si>
    <t>68241 Hanson Circle</t>
  </si>
  <si>
    <t>52-392-5312</t>
  </si>
  <si>
    <t>78-092-4768</t>
  </si>
  <si>
    <t>336 Old Shore Lane</t>
  </si>
  <si>
    <t>36-531-4087</t>
  </si>
  <si>
    <t>83-172-5527</t>
  </si>
  <si>
    <t>2 Columbus Drive</t>
  </si>
  <si>
    <t>39-810-2042</t>
  </si>
  <si>
    <t>65-620-9866</t>
  </si>
  <si>
    <t>47817 Oneill Park</t>
  </si>
  <si>
    <t>55-164-7723</t>
  </si>
  <si>
    <t>85-454-9252</t>
  </si>
  <si>
    <t>6410 Northwestern Pass</t>
  </si>
  <si>
    <t>61-680-9496</t>
  </si>
  <si>
    <t>75-448-1356</t>
  </si>
  <si>
    <t>2 Northridge Street</t>
  </si>
  <si>
    <t>24-143-4957</t>
  </si>
  <si>
    <t>29-968-4976</t>
  </si>
  <si>
    <t>685 Independence Junction</t>
  </si>
  <si>
    <t>26-456-1992</t>
  </si>
  <si>
    <t>60-159-3514</t>
  </si>
  <si>
    <t>1792 Crownhardt Street</t>
  </si>
  <si>
    <t>62-998-7250</t>
  </si>
  <si>
    <t>72-002-3904</t>
  </si>
  <si>
    <t>9171 Redwing Street</t>
  </si>
  <si>
    <t>38-617-7226</t>
  </si>
  <si>
    <t>91-215-9838</t>
  </si>
  <si>
    <t>33145 Butterfield Avenue</t>
  </si>
  <si>
    <t>00-366-9496</t>
  </si>
  <si>
    <t>40-515-1141</t>
  </si>
  <si>
    <t>898 Rowland Trail</t>
  </si>
  <si>
    <t>76-027-4850</t>
  </si>
  <si>
    <t>75-256-5638</t>
  </si>
  <si>
    <t>425 Shasta Terrace</t>
  </si>
  <si>
    <t>27-269-5260</t>
  </si>
  <si>
    <t>54-724-8610</t>
  </si>
  <si>
    <t>1661 Springview Terrace</t>
  </si>
  <si>
    <t>40-126-0515</t>
  </si>
  <si>
    <t>78-379-0369</t>
  </si>
  <si>
    <t>28351 Cascade Plaza</t>
  </si>
  <si>
    <t>31-387-5020</t>
  </si>
  <si>
    <t>02-811-7933</t>
  </si>
  <si>
    <t>12/17/2024</t>
  </si>
  <si>
    <t>854 Kipling Point</t>
  </si>
  <si>
    <t>13-673-7016</t>
  </si>
  <si>
    <t>78-726-6352</t>
  </si>
  <si>
    <t>04 Hagan Crossing</t>
  </si>
  <si>
    <t>85-212-2729</t>
  </si>
  <si>
    <t>58-226-6435</t>
  </si>
  <si>
    <t>93 Longview Junction</t>
  </si>
  <si>
    <t>99-048-8310</t>
  </si>
  <si>
    <t>70-453-8646</t>
  </si>
  <si>
    <t>43 Lakewood Junction</t>
  </si>
  <si>
    <t>19-112-1616</t>
  </si>
  <si>
    <t>55-251-3001</t>
  </si>
  <si>
    <t>7698 Logan Drive</t>
  </si>
  <si>
    <t>98-546-7398</t>
  </si>
  <si>
    <t>37-921-2953</t>
  </si>
  <si>
    <t>Thoughtworks</t>
  </si>
  <si>
    <t>15658 Talisman Lane</t>
  </si>
  <si>
    <t>63-874-9747</t>
  </si>
  <si>
    <t>22-506-4911</t>
  </si>
  <si>
    <t>183 Buell Park</t>
  </si>
  <si>
    <t>58-946-5152</t>
  </si>
  <si>
    <t>42-201-4328</t>
  </si>
  <si>
    <t>06 Lake View Trail</t>
  </si>
  <si>
    <t>65-867-4029</t>
  </si>
  <si>
    <t>70-591-9841</t>
  </si>
  <si>
    <t>36124 Carberry Junction</t>
  </si>
  <si>
    <t>89-328-9019</t>
  </si>
  <si>
    <t>63-057-0462</t>
  </si>
  <si>
    <t>33774 Carberry Circle</t>
  </si>
  <si>
    <t>02-170-5225</t>
  </si>
  <si>
    <t>90-940-9550</t>
  </si>
  <si>
    <t>36 Bobwhite Parkway</t>
  </si>
  <si>
    <t>24-478-8277</t>
  </si>
  <si>
    <t>64-070-7611</t>
  </si>
  <si>
    <t>55276 Golf Hill</t>
  </si>
  <si>
    <t>91-290-9062</t>
  </si>
  <si>
    <t>95-609-1485</t>
  </si>
  <si>
    <t>9821 Novick Hill</t>
  </si>
  <si>
    <t>44-546-5713</t>
  </si>
  <si>
    <t>61-382-5182</t>
  </si>
  <si>
    <t>832 Goodland Alley</t>
  </si>
  <si>
    <t>20-031-0532</t>
  </si>
  <si>
    <t>35-835-8848</t>
  </si>
  <si>
    <t>8239 Laurel Way</t>
  </si>
  <si>
    <t>48-242-8445</t>
  </si>
  <si>
    <t>84-941-3034</t>
  </si>
  <si>
    <t>29 Vera Drive</t>
  </si>
  <si>
    <t>33-378-1365</t>
  </si>
  <si>
    <t>31-483-9201</t>
  </si>
  <si>
    <t>23560 Talmadge Center</t>
  </si>
  <si>
    <t>57-763-5501</t>
  </si>
  <si>
    <t>25-790-1641</t>
  </si>
  <si>
    <t>46 Colorado Place</t>
  </si>
  <si>
    <t>71-015-9181</t>
  </si>
  <si>
    <t>56-196-9896</t>
  </si>
  <si>
    <t>62238 Mallory Place</t>
  </si>
  <si>
    <t>14-115-8371</t>
  </si>
  <si>
    <t>80-833-3051</t>
  </si>
  <si>
    <t>40 Cody Pass</t>
  </si>
  <si>
    <t>83-568-3475</t>
  </si>
  <si>
    <t>10-950-0546</t>
  </si>
  <si>
    <t>29150 Farmco Crossing</t>
  </si>
  <si>
    <t>79-884-8810</t>
  </si>
  <si>
    <t>14-108-0409</t>
  </si>
  <si>
    <t>546 Declaration Place</t>
  </si>
  <si>
    <t>50-772-2613</t>
  </si>
  <si>
    <t>74-619-4608</t>
  </si>
  <si>
    <t>7 Lunder Hill</t>
  </si>
  <si>
    <t>19-377-5021</t>
  </si>
  <si>
    <t>34-014-5873</t>
  </si>
  <si>
    <t>884 Sloan Drive</t>
  </si>
  <si>
    <t>39-913-2999</t>
  </si>
  <si>
    <t>74-119-8973</t>
  </si>
  <si>
    <t>15 Oriole Park</t>
  </si>
  <si>
    <t>46-911-1159</t>
  </si>
  <si>
    <t>30-820-2883</t>
  </si>
  <si>
    <t>9171 Norway Maple Trail</t>
  </si>
  <si>
    <t>40-630-1431</t>
  </si>
  <si>
    <t>61-040-9004</t>
  </si>
  <si>
    <t>8119 Homewood Drive</t>
  </si>
  <si>
    <t>15-797-4824</t>
  </si>
  <si>
    <t>46-830-4835</t>
  </si>
  <si>
    <t>Mudo</t>
  </si>
  <si>
    <t>25923 Loeprich Junction</t>
  </si>
  <si>
    <t>37-248-6266</t>
  </si>
  <si>
    <t>75-553-7424</t>
  </si>
  <si>
    <t>7051 Calypso Place</t>
  </si>
  <si>
    <t>22-760-4605</t>
  </si>
  <si>
    <t>01-495-9336</t>
  </si>
  <si>
    <t>09264 Forest Dale Drive</t>
  </si>
  <si>
    <t>80-020-8041</t>
  </si>
  <si>
    <t>66-684-1941</t>
  </si>
  <si>
    <t>662 Vernon Point</t>
  </si>
  <si>
    <t>44-634-8292</t>
  </si>
  <si>
    <t>48-557-5036</t>
  </si>
  <si>
    <t>46 Orin Drive</t>
  </si>
  <si>
    <t>19-610-2236</t>
  </si>
  <si>
    <t>53-799-3174</t>
  </si>
  <si>
    <t>8524 Shelley Way</t>
  </si>
  <si>
    <t>49-579-4325</t>
  </si>
  <si>
    <t>98-558-5813</t>
  </si>
  <si>
    <t>6 Anniversary Circle</t>
  </si>
  <si>
    <t>42-134-9798</t>
  </si>
  <si>
    <t>16-869-7328</t>
  </si>
  <si>
    <t>0087 Bluejay Plaza</t>
  </si>
  <si>
    <t>84-546-7624</t>
  </si>
  <si>
    <t>34-730-9079</t>
  </si>
  <si>
    <t>61057 Hallows Junction</t>
  </si>
  <si>
    <t>11-891-8213</t>
  </si>
  <si>
    <t>25-741-5987</t>
  </si>
  <si>
    <t>13 Westport Hill</t>
  </si>
  <si>
    <t>03-597-9488</t>
  </si>
  <si>
    <t>03-983-0515</t>
  </si>
  <si>
    <t>53 Lawn Circle</t>
  </si>
  <si>
    <t>89-624-7462</t>
  </si>
  <si>
    <t>39-506-2186</t>
  </si>
  <si>
    <t>25 Drewry Alley</t>
  </si>
  <si>
    <t>89-335-0155</t>
  </si>
  <si>
    <t>83-780-4531</t>
  </si>
  <si>
    <t>9 Kipling Road</t>
  </si>
  <si>
    <t>59-725-4038</t>
  </si>
  <si>
    <t>39-055-1703</t>
  </si>
  <si>
    <t>Zoozzy</t>
  </si>
  <si>
    <t>697 Hoepker Center</t>
  </si>
  <si>
    <t>78-953-2073</t>
  </si>
  <si>
    <t>28-465-9141</t>
  </si>
  <si>
    <t>085 Reinke Pass</t>
  </si>
  <si>
    <t>91-426-3204</t>
  </si>
  <si>
    <t>86-184-4829</t>
  </si>
  <si>
    <t>269 Dakota Trail</t>
  </si>
  <si>
    <t>40-913-9772</t>
  </si>
  <si>
    <t>51-215-2283</t>
  </si>
  <si>
    <t>553 Hooker Trail</t>
  </si>
  <si>
    <t>89-922-4773</t>
  </si>
  <si>
    <t>99-455-0707</t>
  </si>
  <si>
    <t>11 Thackeray Hill</t>
  </si>
  <si>
    <t>17-236-0566</t>
  </si>
  <si>
    <t>32-402-9679</t>
  </si>
  <si>
    <t>803 5th Alley</t>
  </si>
  <si>
    <t>74-234-0628</t>
  </si>
  <si>
    <t>49-559-7092</t>
  </si>
  <si>
    <t>2 Veith Crossing</t>
  </si>
  <si>
    <t>80-441-7249</t>
  </si>
  <si>
    <t>35-979-6839</t>
  </si>
  <si>
    <t>652 High Crossing Lane</t>
  </si>
  <si>
    <t>54-708-7327</t>
  </si>
  <si>
    <t>46-316-6919</t>
  </si>
  <si>
    <t>8182 Hazelcrest Place</t>
  </si>
  <si>
    <t>15-846-7959</t>
  </si>
  <si>
    <t>47-026-0505</t>
  </si>
  <si>
    <t>6251 Eliot Hill</t>
  </si>
  <si>
    <t>44-368-7112</t>
  </si>
  <si>
    <t>85-978-7855</t>
  </si>
  <si>
    <t>82 Hintze Court</t>
  </si>
  <si>
    <t>03-833-3577</t>
  </si>
  <si>
    <t>87-032-6971</t>
  </si>
  <si>
    <t>38 Killdeer Point</t>
  </si>
  <si>
    <t>47-548-6500</t>
  </si>
  <si>
    <t>27-061-4764</t>
  </si>
  <si>
    <t>06 Shopko Pass</t>
  </si>
  <si>
    <t>12-342-4482</t>
  </si>
  <si>
    <t>71-300-8176</t>
  </si>
  <si>
    <t>374 Blue Bill Park Point</t>
  </si>
  <si>
    <t>07-834-3320</t>
  </si>
  <si>
    <t>47-831-9154</t>
  </si>
  <si>
    <t>79 Monterey Avenue</t>
  </si>
  <si>
    <t>16-187-5729</t>
  </si>
  <si>
    <t>79-366-7207</t>
  </si>
  <si>
    <t>Zoombeat</t>
  </si>
  <si>
    <t>22555 Macpherson Plaza</t>
  </si>
  <si>
    <t>64-109-7362</t>
  </si>
  <si>
    <t>38-603-6412</t>
  </si>
  <si>
    <t>7 Harper Drive</t>
  </si>
  <si>
    <t>06-655-5498</t>
  </si>
  <si>
    <t>89-574-3430</t>
  </si>
  <si>
    <t>8569 Bashford Court</t>
  </si>
  <si>
    <t>24-975-4231</t>
  </si>
  <si>
    <t>99-145-4924</t>
  </si>
  <si>
    <t>62494 Longview Drive</t>
  </si>
  <si>
    <t>98-652-9569</t>
  </si>
  <si>
    <t>65-160-1426</t>
  </si>
  <si>
    <t>Ooba</t>
  </si>
  <si>
    <t>32 6th Lane</t>
  </si>
  <si>
    <t>25-522-6043</t>
  </si>
  <si>
    <t>29-122-7037</t>
  </si>
  <si>
    <t>890 Eggendart Pass</t>
  </si>
  <si>
    <t>28-275-5901</t>
  </si>
  <si>
    <t>44-760-4337</t>
  </si>
  <si>
    <t>4 Doe Crossing Avenue</t>
  </si>
  <si>
    <t>96-164-0607</t>
  </si>
  <si>
    <t>15-655-3923</t>
  </si>
  <si>
    <t>1275 Lawn Center</t>
  </si>
  <si>
    <t>93-815-0565</t>
  </si>
  <si>
    <t>56-422-1480</t>
  </si>
  <si>
    <t>8868 Armistice Place</t>
  </si>
  <si>
    <t>63-918-8253</t>
  </si>
  <si>
    <t>94-157-1762</t>
  </si>
  <si>
    <t>917 Westerfield Terrace</t>
  </si>
  <si>
    <t>57-167-0669</t>
  </si>
  <si>
    <t>30-934-3251</t>
  </si>
  <si>
    <t>1005 Lyons Junction</t>
  </si>
  <si>
    <t>52-402-9245</t>
  </si>
  <si>
    <t>37-519-7762</t>
  </si>
  <si>
    <t>185 Stone Corner Parkway</t>
  </si>
  <si>
    <t>17-647-0503</t>
  </si>
  <si>
    <t>69-416-9493</t>
  </si>
  <si>
    <t>0 Village Green Street</t>
  </si>
  <si>
    <t>67-984-5368</t>
  </si>
  <si>
    <t>39-714-7313</t>
  </si>
  <si>
    <t>Yakidoo</t>
  </si>
  <si>
    <t>0 Fordem Place</t>
  </si>
  <si>
    <t>77-827-0820</t>
  </si>
  <si>
    <t>46-590-7639</t>
  </si>
  <si>
    <t>8851 Superior Park</t>
  </si>
  <si>
    <t>27-387-0428</t>
  </si>
  <si>
    <t>62-312-2748</t>
  </si>
  <si>
    <t>1715 Dottie Pass</t>
  </si>
  <si>
    <t>79-350-5841</t>
  </si>
  <si>
    <t>81-676-3345</t>
  </si>
  <si>
    <t>75 Cascade Avenue</t>
  </si>
  <si>
    <t>44-128-2185</t>
  </si>
  <si>
    <t>79-091-7381</t>
  </si>
  <si>
    <t>012 Mockingbird Court</t>
  </si>
  <si>
    <t>48-789-9187</t>
  </si>
  <si>
    <t>95-944-5323</t>
  </si>
  <si>
    <t>41 Stephen Crossing</t>
  </si>
  <si>
    <t>21-809-7115</t>
  </si>
  <si>
    <t>57-774-4116</t>
  </si>
  <si>
    <t>3053 Sachs Center</t>
  </si>
  <si>
    <t>19-323-0506</t>
  </si>
  <si>
    <t>28-977-3789</t>
  </si>
  <si>
    <t>5 Ohio Lane</t>
  </si>
  <si>
    <t>04-637-8815</t>
  </si>
  <si>
    <t>60-959-6355</t>
  </si>
  <si>
    <t>537 Maple Alley</t>
  </si>
  <si>
    <t>60-644-6596</t>
  </si>
  <si>
    <t>32-745-8366</t>
  </si>
  <si>
    <t>22 Hudson Pass</t>
  </si>
  <si>
    <t>58-005-5343</t>
  </si>
  <si>
    <t>83-401-2709</t>
  </si>
  <si>
    <t>43211 Lakeland Place</t>
  </si>
  <si>
    <t>67-382-4435</t>
  </si>
  <si>
    <t>49-901-0828</t>
  </si>
  <si>
    <t>Fivespan</t>
  </si>
  <si>
    <t>92 Bartelt Terrace</t>
  </si>
  <si>
    <t>09-335-7793</t>
  </si>
  <si>
    <t>96-918-7047</t>
  </si>
  <si>
    <t>5649 Vidon Plaza</t>
  </si>
  <si>
    <t>46-496-2930</t>
  </si>
  <si>
    <t>29-295-9755</t>
  </si>
  <si>
    <t>156 Golf Course Alley</t>
  </si>
  <si>
    <t>35-353-4068</t>
  </si>
  <si>
    <t>44-199-6832</t>
  </si>
  <si>
    <t>8583 Northwestern Terrace</t>
  </si>
  <si>
    <t>45-050-4720</t>
  </si>
  <si>
    <t>98-791-5014</t>
  </si>
  <si>
    <t>7 Ridge Oak Pass</t>
  </si>
  <si>
    <t>87-104-0187</t>
  </si>
  <si>
    <t>41-881-1166</t>
  </si>
  <si>
    <t>0 Moose Lane</t>
  </si>
  <si>
    <t>85-806-8672</t>
  </si>
  <si>
    <t>44-646-7502</t>
  </si>
  <si>
    <t>24 South Trail</t>
  </si>
  <si>
    <t>54-281-3746</t>
  </si>
  <si>
    <t>08-824-4585</t>
  </si>
  <si>
    <t>00 Ridgeway Plaza</t>
  </si>
  <si>
    <t>35-257-9312</t>
  </si>
  <si>
    <t>35-927-4986</t>
  </si>
  <si>
    <t>9463 Northland Court</t>
  </si>
  <si>
    <t>63-897-8088</t>
  </si>
  <si>
    <t>82-313-4469</t>
  </si>
  <si>
    <t>7944 Elgar Alley</t>
  </si>
  <si>
    <t>24-986-5091</t>
  </si>
  <si>
    <t>51-076-1164</t>
  </si>
  <si>
    <t>88 Lighthouse Bay Crossing</t>
  </si>
  <si>
    <t>17-504-3699</t>
  </si>
  <si>
    <t>81-276-8218</t>
  </si>
  <si>
    <t>18 Daystar Parkway</t>
  </si>
  <si>
    <t>23-395-3157</t>
  </si>
  <si>
    <t>48-538-8538</t>
  </si>
  <si>
    <t>74 Sugar Plaza</t>
  </si>
  <si>
    <t>28-107-4953</t>
  </si>
  <si>
    <t>01-165-8830</t>
  </si>
  <si>
    <t>Babbleblab</t>
  </si>
  <si>
    <t>29755 Daystar Street</t>
  </si>
  <si>
    <t>46-083-7058</t>
  </si>
  <si>
    <t>26-730-0925</t>
  </si>
  <si>
    <t>21530 Prentice Place</t>
  </si>
  <si>
    <t>68-436-1268</t>
  </si>
  <si>
    <t>10-694-6636</t>
  </si>
  <si>
    <t>1 Mockingbird Parkway</t>
  </si>
  <si>
    <t>93-198-5984</t>
  </si>
  <si>
    <t>86-441-7850</t>
  </si>
  <si>
    <t>54706 Prairieview Point</t>
  </si>
  <si>
    <t>24-571-1080</t>
  </si>
  <si>
    <t>07-520-1107</t>
  </si>
  <si>
    <t>5325 Milwaukee Lane</t>
  </si>
  <si>
    <t>73-874-7534</t>
  </si>
  <si>
    <t>12-566-2563</t>
  </si>
  <si>
    <t>901 Norway Maple Crossing</t>
  </si>
  <si>
    <t>07-337-9889</t>
  </si>
  <si>
    <t>84-949-8378</t>
  </si>
  <si>
    <t>4 Loomis Way</t>
  </si>
  <si>
    <t>28-197-9246</t>
  </si>
  <si>
    <t>31-281-2352</t>
  </si>
  <si>
    <t>8499 Hanover Terrace</t>
  </si>
  <si>
    <t>83-400-9746</t>
  </si>
  <si>
    <t>02-510-0629</t>
  </si>
  <si>
    <t>40 Merchant Terrace</t>
  </si>
  <si>
    <t>24-579-6500</t>
  </si>
  <si>
    <t>60-309-5783</t>
  </si>
  <si>
    <t>4 Stang Place</t>
  </si>
  <si>
    <t>64-418-8356</t>
  </si>
  <si>
    <t>91-451-2016</t>
  </si>
  <si>
    <t>1 Green Hill</t>
  </si>
  <si>
    <t>15-884-7413</t>
  </si>
  <si>
    <t>39-412-7454</t>
  </si>
  <si>
    <t>6225 Westend Pass</t>
  </si>
  <si>
    <t>79-494-2472</t>
  </si>
  <si>
    <t>04-391-8892</t>
  </si>
  <si>
    <t>1615 Bellgrove Crossing</t>
  </si>
  <si>
    <t>36-177-0573</t>
  </si>
  <si>
    <t>62-687-0951</t>
  </si>
  <si>
    <t>35 Portage Road</t>
  </si>
  <si>
    <t>79-920-2395</t>
  </si>
  <si>
    <t>70-825-7341</t>
  </si>
  <si>
    <t>911 Merry Junction</t>
  </si>
  <si>
    <t>96-961-2193</t>
  </si>
  <si>
    <t>71-467-4910</t>
  </si>
  <si>
    <t>Babbleset</t>
  </si>
  <si>
    <t>63578 Butternut Hill</t>
  </si>
  <si>
    <t>69-578-7930</t>
  </si>
  <si>
    <t>37-728-5274</t>
  </si>
  <si>
    <t>83291 Hansons Crossing</t>
  </si>
  <si>
    <t>40-205-8252</t>
  </si>
  <si>
    <t>68-493-0378</t>
  </si>
  <si>
    <t>883 Marcy Place</t>
  </si>
  <si>
    <t>18-107-7886</t>
  </si>
  <si>
    <t>11-466-3182</t>
  </si>
  <si>
    <t>55309 6th Junction</t>
  </si>
  <si>
    <t>35-328-8392</t>
  </si>
  <si>
    <t>52-340-4509</t>
  </si>
  <si>
    <t>09 Londonderry Hill</t>
  </si>
  <si>
    <t>21-650-9319</t>
  </si>
  <si>
    <t>73-445-3017</t>
  </si>
  <si>
    <t>4 Hagan Court</t>
  </si>
  <si>
    <t>99-894-4351</t>
  </si>
  <si>
    <t>45-602-6533</t>
  </si>
  <si>
    <t>185 Saint Paul Road</t>
  </si>
  <si>
    <t>63-168-6018</t>
  </si>
  <si>
    <t>01-853-2191</t>
  </si>
  <si>
    <t>0847 Artisan Hill</t>
  </si>
  <si>
    <t>26-000-1012</t>
  </si>
  <si>
    <t>60-284-1974</t>
  </si>
  <si>
    <t>3 Bayside Point</t>
  </si>
  <si>
    <t>13-900-9016</t>
  </si>
  <si>
    <t>63-969-9608</t>
  </si>
  <si>
    <t>Meetz</t>
  </si>
  <si>
    <t>521 Burning Wood Trail</t>
  </si>
  <si>
    <t>88-408-0310</t>
  </si>
  <si>
    <t>91-002-3027</t>
  </si>
  <si>
    <t>5 Mesta Center</t>
  </si>
  <si>
    <t>73-997-6251</t>
  </si>
  <si>
    <t>17-167-4304</t>
  </si>
  <si>
    <t>1666 Dayton Terrace</t>
  </si>
  <si>
    <t>50-679-2072</t>
  </si>
  <si>
    <t>81-588-5701</t>
  </si>
  <si>
    <t>20 Butterfield Lane</t>
  </si>
  <si>
    <t>89-673-1543</t>
  </si>
  <si>
    <t>43-679-7350</t>
  </si>
  <si>
    <t>297 Petterle Way</t>
  </si>
  <si>
    <t>56-937-8675</t>
  </si>
  <si>
    <t>37-996-3243</t>
  </si>
  <si>
    <t>Trilith</t>
  </si>
  <si>
    <t>668 Claremont Place</t>
  </si>
  <si>
    <t>14-836-2894</t>
  </si>
  <si>
    <t>82-157-4299</t>
  </si>
  <si>
    <t>2 Hooker Terrace</t>
  </si>
  <si>
    <t>87-903-3486</t>
  </si>
  <si>
    <t>90-378-8463</t>
  </si>
  <si>
    <t>99 Twin Pines Alley</t>
  </si>
  <si>
    <t>07-617-6934</t>
  </si>
  <si>
    <t>48-700-8059</t>
  </si>
  <si>
    <t>9262 Sullivan Crossing</t>
  </si>
  <si>
    <t>31-403-6234</t>
  </si>
  <si>
    <t>00-258-2525</t>
  </si>
  <si>
    <t>35 Waxwing Center</t>
  </si>
  <si>
    <t>29-092-3453</t>
  </si>
  <si>
    <t>41-867-9911</t>
  </si>
  <si>
    <t>676 Redwing Trail</t>
  </si>
  <si>
    <t>34-709-9237</t>
  </si>
  <si>
    <t>66-680-8738</t>
  </si>
  <si>
    <t>1509 Hoard Circle</t>
  </si>
  <si>
    <t>13-962-6263</t>
  </si>
  <si>
    <t>26-061-5253</t>
  </si>
  <si>
    <t>7015 Ramsey Lane</t>
  </si>
  <si>
    <t>06-731-2162</t>
  </si>
  <si>
    <t>17-546-8875</t>
  </si>
  <si>
    <t>30968 Anzinger Court</t>
  </si>
  <si>
    <t>10-768-2443</t>
  </si>
  <si>
    <t>44-451-2764</t>
  </si>
  <si>
    <t>4 Orin Lane</t>
  </si>
  <si>
    <t>36-372-2295</t>
  </si>
  <si>
    <t>85-823-7428</t>
  </si>
  <si>
    <t>98 Bartillon Trail</t>
  </si>
  <si>
    <t>34-538-1180</t>
  </si>
  <si>
    <t>40-907-4937</t>
  </si>
  <si>
    <t>19 Aberg Trail</t>
  </si>
  <si>
    <t>98-148-0940</t>
  </si>
  <si>
    <t>06-175-9657</t>
  </si>
  <si>
    <t>588 Waywood Trail</t>
  </si>
  <si>
    <t>38-390-2115</t>
  </si>
  <si>
    <t>12-433-6490</t>
  </si>
  <si>
    <t>3 Del Mar Point</t>
  </si>
  <si>
    <t>02-974-8526</t>
  </si>
  <si>
    <t>09-387-1119</t>
  </si>
  <si>
    <t>42 Green Ridge Terrace</t>
  </si>
  <si>
    <t>29-377-7040</t>
  </si>
  <si>
    <t>59-979-6740</t>
  </si>
  <si>
    <t>9431 Clarendon Pass</t>
  </si>
  <si>
    <t>84-327-7787</t>
  </si>
  <si>
    <t>97-571-0561</t>
  </si>
  <si>
    <t>739 Rowland Way</t>
  </si>
  <si>
    <t>82-231-4245</t>
  </si>
  <si>
    <t>96-177-4040</t>
  </si>
  <si>
    <t>77 Monument Court</t>
  </si>
  <si>
    <t>70-005-5970</t>
  </si>
  <si>
    <t>18-490-4140</t>
  </si>
  <si>
    <t>82955 Dayton Street</t>
  </si>
  <si>
    <t>63-936-0145</t>
  </si>
  <si>
    <t>69-415-3675</t>
  </si>
  <si>
    <t>95 Kingsford Terrace</t>
  </si>
  <si>
    <t>08-196-2703</t>
  </si>
  <si>
    <t>34-315-1199</t>
  </si>
  <si>
    <t>56 Esker Park</t>
  </si>
  <si>
    <t>22-778-3553</t>
  </si>
  <si>
    <t>49-590-1752</t>
  </si>
  <si>
    <t>0782 Dapin Avenue</t>
  </si>
  <si>
    <t>37-610-1999</t>
  </si>
  <si>
    <t>19-985-9694</t>
  </si>
  <si>
    <t>3 John Wall Point</t>
  </si>
  <si>
    <t>09-618-2842</t>
  </si>
  <si>
    <t>68-415-1025</t>
  </si>
  <si>
    <t>642 Arizona Point</t>
  </si>
  <si>
    <t>28-968-4195</t>
  </si>
  <si>
    <t>17-562-1176</t>
  </si>
  <si>
    <t>5 Loftsgordon Trail</t>
  </si>
  <si>
    <t>55-680-0982</t>
  </si>
  <si>
    <t>57-412-5368</t>
  </si>
  <si>
    <t>0 Sutteridge Trail</t>
  </si>
  <si>
    <t>43-851-9440</t>
  </si>
  <si>
    <t>67-674-0287</t>
  </si>
  <si>
    <t>4033 Sloan Hill</t>
  </si>
  <si>
    <t>14-331-3739</t>
  </si>
  <si>
    <t>87-159-6467</t>
  </si>
  <si>
    <t>8 Thackeray Drive</t>
  </si>
  <si>
    <t>54-830-6971</t>
  </si>
  <si>
    <t>94-006-6480</t>
  </si>
  <si>
    <t>674 Ryan Alley</t>
  </si>
  <si>
    <t>53-008-2419</t>
  </si>
  <si>
    <t>86-841-6074</t>
  </si>
  <si>
    <t>63 Debra Park</t>
  </si>
  <si>
    <t>39-358-3340</t>
  </si>
  <si>
    <t>86-841-4440</t>
  </si>
  <si>
    <t>308 Doe Crossing Pass</t>
  </si>
  <si>
    <t>28-146-2641</t>
  </si>
  <si>
    <t>82-995-0739</t>
  </si>
  <si>
    <t>73 Graedel Street</t>
  </si>
  <si>
    <t>83-556-0996</t>
  </si>
  <si>
    <t>81-234-0741</t>
  </si>
  <si>
    <t>53 Forest Run Plaza</t>
  </si>
  <si>
    <t>53-805-9523</t>
  </si>
  <si>
    <t>99-864-0256</t>
  </si>
  <si>
    <t>94 Mallory Center</t>
  </si>
  <si>
    <t>82-977-7752</t>
  </si>
  <si>
    <t>57-473-8672</t>
  </si>
  <si>
    <t>58 Corscot Terrace</t>
  </si>
  <si>
    <t>62-393-9939</t>
  </si>
  <si>
    <t>93-877-9384</t>
  </si>
  <si>
    <t>Gabcube</t>
  </si>
  <si>
    <t>5 Oxford Pass</t>
  </si>
  <si>
    <t>31-745-6850</t>
  </si>
  <si>
    <t>96-215-2767</t>
  </si>
  <si>
    <t>081 Jana Lane</t>
  </si>
  <si>
    <t>86-692-2312</t>
  </si>
  <si>
    <t>77-783-4107</t>
  </si>
  <si>
    <t>00616 Manitowish Parkway</t>
  </si>
  <si>
    <t>28-044-4102</t>
  </si>
  <si>
    <t>93-358-1118</t>
  </si>
  <si>
    <t>309 Burning Wood Center</t>
  </si>
  <si>
    <t>Row_ID</t>
  </si>
  <si>
    <t>Stock_Value</t>
  </si>
  <si>
    <t>Reorder_Status</t>
  </si>
  <si>
    <t>Expiry_Status</t>
  </si>
  <si>
    <t>Category</t>
  </si>
  <si>
    <t>KPI's</t>
  </si>
  <si>
    <t>Reorder Alert Count</t>
  </si>
  <si>
    <t>Shelf-Life Risk Count</t>
  </si>
  <si>
    <t>Total Stock Value</t>
  </si>
  <si>
    <t>Slow-Selling Items</t>
  </si>
  <si>
    <t>Reorder_Value</t>
  </si>
  <si>
    <t>Reorder Value</t>
  </si>
  <si>
    <t>Expired Items Count</t>
  </si>
  <si>
    <t>Stock Turnover Rate</t>
  </si>
  <si>
    <t>Stock Coverage Days</t>
  </si>
  <si>
    <t>Stock_Coverage_Days</t>
  </si>
  <si>
    <t>Stock_Value2</t>
  </si>
  <si>
    <t>High-Value Items Count</t>
  </si>
  <si>
    <t>Reorder Frequency</t>
  </si>
  <si>
    <t>Reorder_Frequency</t>
  </si>
  <si>
    <t>Row Labels</t>
  </si>
  <si>
    <t>Grand Total</t>
  </si>
  <si>
    <t>Sum of Stock_Quantity</t>
  </si>
  <si>
    <t>Stock by Category</t>
  </si>
  <si>
    <t>Count of Reorder_Status</t>
  </si>
  <si>
    <t>Reorder Alert Count by Category</t>
  </si>
  <si>
    <t>(Multiple Items)</t>
  </si>
  <si>
    <t>Stock Distribution by Category</t>
  </si>
  <si>
    <t>Sum of Reorder_Value</t>
  </si>
  <si>
    <t>Top 10 Reorder Value by Supplier</t>
  </si>
  <si>
    <t>Count of Product_Name</t>
  </si>
  <si>
    <t>Sum of Inventory_Turnover_Rate</t>
  </si>
  <si>
    <t>StockQuantity</t>
  </si>
  <si>
    <t>ProductName</t>
  </si>
  <si>
    <t>Low Inventory Rate Items</t>
  </si>
  <si>
    <t>(All)</t>
  </si>
  <si>
    <t>Sum of Stock_Value</t>
  </si>
  <si>
    <t>Sum of Reorder_Frequency</t>
  </si>
  <si>
    <t>Inventory Status Distribution</t>
  </si>
  <si>
    <t>Inventory Investment Distribution by Category</t>
  </si>
  <si>
    <t>Top 10 Items to Reorder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</si>
</sst>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_);[Red]\(&quot;$&quot;#,##0.00\)"/>
    <numFmt numFmtId="165" formatCode="0.0"/>
    <numFmt numFmtId="166" formatCode="&quot;$&quot;#,##0.0"/>
    <numFmt numFmtId="167" formatCode="&quot;$&quot;#,##0.00"/>
  </numFmts>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8"/>
      <name val="Calibri"/>
      <charset val="134"/>
      <scheme val="minor"/>
    </font>
    <font>
      <sz val="11"/>
      <color theme="1"/>
      <name val="Calibri"/>
      <family val="2"/>
      <charset val="134"/>
      <scheme val="minor"/>
    </font>
    <font>
      <sz val="11"/>
      <color theme="1"/>
      <name val="Segoe UI Semibold"/>
      <family val="2"/>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alignment vertical="center"/>
    </xf>
  </cellStyleXfs>
  <cellXfs count="73">
    <xf numFmtId="0" fontId="0" fillId="0" borderId="0" xfId="0">
      <alignment vertical="center"/>
    </xf>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wrapText="1"/>
    </xf>
    <xf numFmtId="14" fontId="0" fillId="0" borderId="0" xfId="0" applyNumberFormat="1">
      <alignment vertical="center"/>
    </xf>
    <xf numFmtId="1" fontId="0" fillId="0" borderId="0" xfId="0" applyNumberFormat="1" applyAlignment="1">
      <alignment horizontal="center" vertical="center"/>
    </xf>
    <xf numFmtId="166" fontId="5" fillId="0" borderId="0" xfId="0" applyNumberFormat="1" applyFont="1" applyAlignment="1">
      <alignment horizontal="center" vertical="center"/>
    </xf>
    <xf numFmtId="166" fontId="0" fillId="0" borderId="0" xfId="0" applyNumberFormat="1" applyAlignment="1">
      <alignment horizontal="center" vertical="center"/>
    </xf>
    <xf numFmtId="165" fontId="5" fillId="0" borderId="0" xfId="0" applyNumberFormat="1" applyFont="1" applyAlignment="1">
      <alignment horizontal="center" vertical="center"/>
    </xf>
    <xf numFmtId="165" fontId="0" fillId="0" borderId="0" xfId="0" applyNumberFormat="1" applyAlignment="1">
      <alignment horizontal="center" vertical="center"/>
    </xf>
    <xf numFmtId="0" fontId="0" fillId="0" borderId="2" xfId="0" applyBorder="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lignment vertical="center"/>
    </xf>
    <xf numFmtId="0" fontId="2" fillId="3" borderId="0" xfId="0" applyFont="1" applyFill="1" applyAlignment="1">
      <alignment horizontal="center" vertical="center" wrapText="1"/>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0" fillId="0" borderId="5" xfId="0" applyBorder="1" applyAlignment="1">
      <alignment horizontal="center" vertical="center"/>
    </xf>
    <xf numFmtId="167" fontId="0" fillId="0" borderId="0" xfId="0" applyNumberFormat="1" applyAlignment="1">
      <alignment horizontal="center" vertical="center"/>
    </xf>
    <xf numFmtId="165" fontId="0" fillId="0" borderId="6" xfId="0" applyNumberFormat="1" applyBorder="1" applyAlignment="1">
      <alignment horizontal="center" vertical="center"/>
    </xf>
    <xf numFmtId="0" fontId="0" fillId="0" borderId="7" xfId="0" applyBorder="1">
      <alignment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5" xfId="0" applyBorder="1">
      <alignment vertical="center"/>
    </xf>
    <xf numFmtId="0" fontId="0" fillId="0" borderId="6" xfId="0" applyBorder="1" applyAlignment="1">
      <alignment horizontal="center" vertical="center"/>
    </xf>
    <xf numFmtId="0" fontId="0" fillId="0" borderId="5" xfId="0" applyBorder="1" applyAlignment="1">
      <alignment horizontal="left" vertical="center"/>
    </xf>
    <xf numFmtId="0" fontId="0" fillId="0" borderId="8" xfId="0" applyBorder="1">
      <alignment vertical="center"/>
    </xf>
    <xf numFmtId="0" fontId="0" fillId="2" borderId="2" xfId="0" applyFill="1" applyBorder="1">
      <alignment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 xfId="0" pivotButton="1" applyBorder="1">
      <alignment vertical="center"/>
    </xf>
    <xf numFmtId="0" fontId="0" fillId="0" borderId="10" xfId="0" applyBorder="1" applyAlignment="1">
      <alignment horizontal="left" vertical="center"/>
    </xf>
    <xf numFmtId="0" fontId="0" fillId="0" borderId="1" xfId="0" applyBorder="1" applyAlignment="1">
      <alignment horizontal="left" vertical="center"/>
    </xf>
    <xf numFmtId="0" fontId="0" fillId="0" borderId="2" xfId="0" pivotButton="1" applyBorder="1">
      <alignment vertical="center"/>
    </xf>
    <xf numFmtId="0" fontId="0" fillId="0" borderId="1" xfId="0" applyBorder="1">
      <alignment vertical="center"/>
    </xf>
    <xf numFmtId="0" fontId="0" fillId="0" borderId="13" xfId="0" pivotButton="1" applyBorder="1">
      <alignment vertical="center"/>
    </xf>
    <xf numFmtId="0" fontId="0" fillId="0" borderId="14" xfId="0" applyBorder="1">
      <alignment vertical="center"/>
    </xf>
    <xf numFmtId="0" fontId="0" fillId="0" borderId="4" xfId="0" applyBorder="1">
      <alignment vertical="center"/>
    </xf>
    <xf numFmtId="166" fontId="0" fillId="0" borderId="10" xfId="0" applyNumberFormat="1" applyBorder="1">
      <alignment vertical="center"/>
    </xf>
    <xf numFmtId="166" fontId="0" fillId="0" borderId="11" xfId="0" applyNumberFormat="1" applyBorder="1">
      <alignment vertical="center"/>
    </xf>
    <xf numFmtId="166" fontId="0" fillId="0" borderId="12" xfId="0" applyNumberFormat="1" applyBorder="1">
      <alignment vertical="center"/>
    </xf>
    <xf numFmtId="0" fontId="0" fillId="0" borderId="3" xfId="0" applyBorder="1">
      <alignment vertical="center"/>
    </xf>
    <xf numFmtId="0" fontId="0" fillId="0" borderId="6" xfId="0" applyBorder="1">
      <alignment vertical="center"/>
    </xf>
    <xf numFmtId="0" fontId="0" fillId="0" borderId="9" xfId="0" applyBorder="1">
      <alignment vertical="center"/>
    </xf>
    <xf numFmtId="0" fontId="6" fillId="0" borderId="0" xfId="0" applyFont="1" applyAlignment="1">
      <alignment horizontal="left" vertical="center"/>
    </xf>
    <xf numFmtId="0" fontId="0" fillId="0" borderId="7" xfId="0" applyBorder="1" applyAlignment="1">
      <alignment horizontal="lef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166" fontId="0" fillId="0" borderId="6" xfId="0" applyNumberFormat="1" applyBorder="1">
      <alignment vertical="center"/>
    </xf>
    <xf numFmtId="166" fontId="0" fillId="0" borderId="9" xfId="0" applyNumberFormat="1" applyBorder="1">
      <alignment vertical="center"/>
    </xf>
    <xf numFmtId="164" fontId="0" fillId="0" borderId="7" xfId="0" applyNumberFormat="1" applyBorder="1">
      <alignment vertical="center"/>
    </xf>
    <xf numFmtId="0" fontId="0" fillId="0" borderId="2" xfId="0" applyBorder="1" applyAlignment="1">
      <alignment horizontal="left" vertical="center"/>
    </xf>
    <xf numFmtId="0" fontId="0" fillId="0" borderId="13" xfId="0" applyBorder="1" applyAlignment="1">
      <alignment horizontal="left" vertical="center"/>
    </xf>
    <xf numFmtId="164" fontId="0" fillId="0" borderId="2" xfId="0" applyNumberFormat="1" applyBorder="1">
      <alignment vertical="center"/>
    </xf>
    <xf numFmtId="164" fontId="0" fillId="0" borderId="5" xfId="0" applyNumberFormat="1" applyBorder="1">
      <alignment vertical="center"/>
    </xf>
    <xf numFmtId="166" fontId="0" fillId="0" borderId="4" xfId="0" applyNumberFormat="1" applyBorder="1">
      <alignment vertical="center"/>
    </xf>
    <xf numFmtId="0" fontId="0" fillId="0" borderId="15" xfId="0" applyBorder="1">
      <alignment vertical="center"/>
    </xf>
    <xf numFmtId="165" fontId="0" fillId="0" borderId="10" xfId="0" applyNumberFormat="1" applyBorder="1">
      <alignment vertical="center"/>
    </xf>
    <xf numFmtId="165" fontId="0" fillId="0" borderId="11" xfId="0" applyNumberFormat="1" applyBorder="1">
      <alignment vertical="center"/>
    </xf>
    <xf numFmtId="165" fontId="0" fillId="0" borderId="12" xfId="0" applyNumberFormat="1" applyBorder="1">
      <alignment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1"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cellXfs>
  <cellStyles count="1">
    <cellStyle name="Normal" xfId="0" builtinId="0"/>
  </cellStyles>
  <dxfs count="15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0.00_);[Red]\(&quot;$&quot;#,##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numFmt numFmtId="19" formatCode="d/mm/yyyy"/>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4" formatCode="&quot;$&quot;#,##0.00_);[Red]\(&quot;$&quot;#,##0.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6" formatCode="&quot;$&quot;#,##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quot;$&quot;#,##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fgColor rgb="FF7030A0"/>
        </patternFill>
      </fill>
    </dxf>
    <dxf>
      <font>
        <color theme="0"/>
        <name val="Segoe UI Semibold"/>
        <family val="2"/>
        <scheme val="none"/>
      </font>
      <fill>
        <patternFill>
          <bgColor rgb="FF7030A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6" defaultTableStyle="TableStylePreset3_Accent1" defaultPivotStyle="PivotStylePreset2_Accent1">
    <tableStyle name="TableStylePreset3_Accent1" pivot="0" count="7" xr9:uid="{59DB682C-5494-4EDE-A608-00C9E5F0F923}">
      <tableStyleElement type="wholeTable" dxfId="152"/>
      <tableStyleElement type="headerRow" dxfId="151"/>
      <tableStyleElement type="totalRow" dxfId="150"/>
      <tableStyleElement type="firstColumn" dxfId="149"/>
      <tableStyleElement type="lastColumn" dxfId="148"/>
      <tableStyleElement type="firstRowStripe" dxfId="147"/>
      <tableStyleElement type="firstColumnStripe" dxfId="146"/>
    </tableStyle>
    <tableStyle name="PivotStylePreset2_Accent1" table="0" count="10" xr9:uid="{267968C8-6FFD-4C36-ACC1-9EA1FD1885CA}">
      <tableStyleElement type="headerRow" dxfId="145"/>
      <tableStyleElement type="totalRow" dxfId="144"/>
      <tableStyleElement type="firstRowStripe" dxfId="143"/>
      <tableStyleElement type="firstColumnStripe" dxfId="142"/>
      <tableStyleElement type="firstSubtotalRow" dxfId="141"/>
      <tableStyleElement type="secondSubtotalRow" dxfId="140"/>
      <tableStyleElement type="firstRowSubheading" dxfId="139"/>
      <tableStyleElement type="secondRowSubheading" dxfId="138"/>
      <tableStyleElement type="pageFieldLabels" dxfId="137"/>
      <tableStyleElement type="pageFieldValues" dxfId="136"/>
    </tableStyle>
    <tableStyle name="Slicer Style 1" pivot="0" table="0" count="0" xr9:uid="{4C7C5A4B-A8A9-40BD-8A21-503B4123C0B2}"/>
    <tableStyle name="Slicer Style 2" pivot="0" table="0" count="1" xr9:uid="{E299D784-4A86-4178-BAD1-97CC770AEF10}">
      <tableStyleElement type="headerRow" dxfId="135"/>
    </tableStyle>
    <tableStyle name="Slicer Style 3" pivot="0" table="0" count="1" xr9:uid="{4EF1E5D1-AE6F-40C9-9676-2E4BE95A59C0}">
      <tableStyleElement type="wholeTable" dxfId="134"/>
    </tableStyle>
    <tableStyle name="Slicer Style 4" pivot="0" table="0" count="8" xr9:uid="{70A1ED20-28FE-4714-983C-E855D775F378}"/>
  </tableStyles>
  <extLst>
    <ext xmlns:x14="http://schemas.microsoft.com/office/spreadsheetml/2009/9/main" uri="{46F421CA-312F-682f-3DD2-61675219B42D}">
      <x14:dxfs count="8">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0"/>
          </font>
          <fill>
            <patternFill>
              <bgColor rgb="FF7030A0"/>
            </patternFill>
          </fill>
        </dxf>
        <dxf>
          <font>
            <color theme="0"/>
          </font>
          <fill>
            <patternFill>
              <bgColor rgb="FF7030A0"/>
            </patternFill>
          </fill>
        </dxf>
        <dxf>
          <font>
            <color theme="0"/>
          </font>
          <fill>
            <patternFill>
              <bgColor rgb="FF7030A0"/>
            </patternFill>
          </fill>
        </dxf>
        <dxf>
          <font>
            <color theme="0"/>
          </font>
          <fill>
            <patternFill>
              <bgColor rgb="FF7030A0"/>
            </patternFill>
          </fill>
        </dxf>
      </x14:dxfs>
    </ex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Analysis!$C$14</c:f>
              <c:strCache>
                <c:ptCount val="1"/>
                <c:pt idx="0">
                  <c:v>Total</c:v>
                </c:pt>
              </c:strCache>
            </c:strRef>
          </c:tx>
          <c:spPr>
            <a:solidFill>
              <a:schemeClr val="accent1"/>
            </a:solidFill>
            <a:ln>
              <a:noFill/>
            </a:ln>
            <a:effectLst/>
          </c:spPr>
          <c:invertIfNegative val="0"/>
          <c:cat>
            <c:strRef>
              <c:f>Analysis!$B$15:$B$22</c:f>
              <c:strCache>
                <c:ptCount val="7"/>
                <c:pt idx="0">
                  <c:v>Fruits &amp; Vegetables</c:v>
                </c:pt>
                <c:pt idx="1">
                  <c:v>Dairy</c:v>
                </c:pt>
                <c:pt idx="2">
                  <c:v>Grains &amp; Pulses</c:v>
                </c:pt>
                <c:pt idx="3">
                  <c:v>Seafood</c:v>
                </c:pt>
                <c:pt idx="4">
                  <c:v>Bakery</c:v>
                </c:pt>
                <c:pt idx="5">
                  <c:v>Oils &amp; Fats</c:v>
                </c:pt>
                <c:pt idx="6">
                  <c:v>Beverages</c:v>
                </c:pt>
              </c:strCache>
            </c:strRef>
          </c:cat>
          <c:val>
            <c:numRef>
              <c:f>Analysis!$C$15:$C$22</c:f>
              <c:numCache>
                <c:formatCode>General</c:formatCode>
                <c:ptCount val="7"/>
                <c:pt idx="0">
                  <c:v>18558</c:v>
                </c:pt>
                <c:pt idx="1">
                  <c:v>10534</c:v>
                </c:pt>
                <c:pt idx="2">
                  <c:v>8240</c:v>
                </c:pt>
                <c:pt idx="3">
                  <c:v>5601</c:v>
                </c:pt>
                <c:pt idx="4">
                  <c:v>4175</c:v>
                </c:pt>
                <c:pt idx="5">
                  <c:v>4123</c:v>
                </c:pt>
                <c:pt idx="6">
                  <c:v>3822</c:v>
                </c:pt>
              </c:numCache>
            </c:numRef>
          </c:val>
          <c:extLst>
            <c:ext xmlns:c16="http://schemas.microsoft.com/office/drawing/2014/chart" uri="{C3380CC4-5D6E-409C-BE32-E72D297353CC}">
              <c16:uniqueId val="{00000000-4F55-4CD2-A353-D343312EA173}"/>
            </c:ext>
          </c:extLst>
        </c:ser>
        <c:dLbls>
          <c:showLegendKey val="0"/>
          <c:showVal val="0"/>
          <c:showCatName val="0"/>
          <c:showSerName val="0"/>
          <c:showPercent val="0"/>
          <c:showBubbleSize val="0"/>
        </c:dLbls>
        <c:gapWidth val="219"/>
        <c:overlap val="-27"/>
        <c:axId val="1646373823"/>
        <c:axId val="1646374783"/>
      </c:barChart>
      <c:catAx>
        <c:axId val="164637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74783"/>
        <c:crosses val="autoZero"/>
        <c:auto val="1"/>
        <c:lblAlgn val="ctr"/>
        <c:lblOffset val="100"/>
        <c:noMultiLvlLbl val="0"/>
      </c:catAx>
      <c:valAx>
        <c:axId val="164637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3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Analysis!$C$29</c:f>
              <c:strCache>
                <c:ptCount val="1"/>
                <c:pt idx="0">
                  <c:v>Total</c:v>
                </c:pt>
              </c:strCache>
            </c:strRef>
          </c:tx>
          <c:spPr>
            <a:solidFill>
              <a:schemeClr val="accent1"/>
            </a:solidFill>
            <a:ln>
              <a:noFill/>
            </a:ln>
            <a:effectLst/>
          </c:spPr>
          <c:invertIfNegative val="0"/>
          <c:cat>
            <c:strRef>
              <c:f>Analysis!$B$30:$B$37</c:f>
              <c:strCache>
                <c:ptCount val="7"/>
                <c:pt idx="0">
                  <c:v>Bakery</c:v>
                </c:pt>
                <c:pt idx="1">
                  <c:v>Beverages</c:v>
                </c:pt>
                <c:pt idx="2">
                  <c:v>Oils &amp; Fats</c:v>
                </c:pt>
                <c:pt idx="3">
                  <c:v>Seafood</c:v>
                </c:pt>
                <c:pt idx="4">
                  <c:v>Grains &amp; Pulses</c:v>
                </c:pt>
                <c:pt idx="5">
                  <c:v>Dairy</c:v>
                </c:pt>
                <c:pt idx="6">
                  <c:v>Fruits &amp; Vegetables</c:v>
                </c:pt>
              </c:strCache>
            </c:strRef>
          </c:cat>
          <c:val>
            <c:numRef>
              <c:f>Analysis!$C$30:$C$37</c:f>
              <c:numCache>
                <c:formatCode>General</c:formatCode>
                <c:ptCount val="7"/>
                <c:pt idx="0">
                  <c:v>74</c:v>
                </c:pt>
                <c:pt idx="1">
                  <c:v>75</c:v>
                </c:pt>
                <c:pt idx="2">
                  <c:v>77</c:v>
                </c:pt>
                <c:pt idx="3">
                  <c:v>90</c:v>
                </c:pt>
                <c:pt idx="4">
                  <c:v>162</c:v>
                </c:pt>
                <c:pt idx="5">
                  <c:v>180</c:v>
                </c:pt>
                <c:pt idx="6">
                  <c:v>332</c:v>
                </c:pt>
              </c:numCache>
            </c:numRef>
          </c:val>
          <c:extLst>
            <c:ext xmlns:c16="http://schemas.microsoft.com/office/drawing/2014/chart" uri="{C3380CC4-5D6E-409C-BE32-E72D297353CC}">
              <c16:uniqueId val="{00000000-1065-42BD-A7D8-A48B550EA8C7}"/>
            </c:ext>
          </c:extLst>
        </c:ser>
        <c:dLbls>
          <c:showLegendKey val="0"/>
          <c:showVal val="0"/>
          <c:showCatName val="0"/>
          <c:showSerName val="0"/>
          <c:showPercent val="0"/>
          <c:showBubbleSize val="0"/>
        </c:dLbls>
        <c:gapWidth val="182"/>
        <c:axId val="1749710463"/>
        <c:axId val="1749710943"/>
      </c:barChart>
      <c:catAx>
        <c:axId val="174971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10943"/>
        <c:crosses val="autoZero"/>
        <c:auto val="1"/>
        <c:lblAlgn val="ctr"/>
        <c:lblOffset val="100"/>
        <c:noMultiLvlLbl val="0"/>
      </c:catAx>
      <c:valAx>
        <c:axId val="174971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7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[Grocery_Inventory_and_Sales_Dataset.xlsx]Analysis!PivotTable3</c:name>
    <c:fmtId val="1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Analysis!$C$49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A1-4B00-BC75-D3BBBEF8B8B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A1-4B00-BC75-D3BBBEF8B8B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A1-4B00-BC75-D3BBBEF8B8B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4A1-4B00-BC75-D3BBBEF8B8B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4A1-4B00-BC75-D3BBBEF8B8B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4A1-4B00-BC75-D3BBBEF8B8B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4A1-4B00-BC75-D3BBBEF8B8B8}"/>
              </c:ext>
            </c:extLst>
          </c:dPt>
          <c:cat>
            <c:strRef>
              <c:f>Analysis!$B$50:$B$57</c:f>
              <c:strCache>
                <c:ptCount val="7"/>
                <c:pt idx="0">
                  <c:v>Bakery</c:v>
                </c:pt>
                <c:pt idx="1">
                  <c:v>Beverages</c:v>
                </c:pt>
                <c:pt idx="2">
                  <c:v>Dairy</c:v>
                </c:pt>
                <c:pt idx="3">
                  <c:v>Fruits &amp; Vegetables</c:v>
                </c:pt>
                <c:pt idx="4">
                  <c:v>Grains &amp; Pulses</c:v>
                </c:pt>
                <c:pt idx="5">
                  <c:v>Oils &amp; Fats</c:v>
                </c:pt>
                <c:pt idx="6">
                  <c:v>Seafood</c:v>
                </c:pt>
              </c:strCache>
            </c:strRef>
          </c:cat>
          <c:val>
            <c:numRef>
              <c:f>Analysis!$C$50:$C$57</c:f>
              <c:numCache>
                <c:formatCode>General</c:formatCode>
                <c:ptCount val="7"/>
                <c:pt idx="0">
                  <c:v>3004</c:v>
                </c:pt>
                <c:pt idx="1">
                  <c:v>2890</c:v>
                </c:pt>
                <c:pt idx="2">
                  <c:v>6719</c:v>
                </c:pt>
                <c:pt idx="3">
                  <c:v>12360</c:v>
                </c:pt>
                <c:pt idx="4">
                  <c:v>5579</c:v>
                </c:pt>
                <c:pt idx="5">
                  <c:v>2599</c:v>
                </c:pt>
                <c:pt idx="6">
                  <c:v>3673</c:v>
                </c:pt>
              </c:numCache>
            </c:numRef>
          </c:val>
          <c:extLst>
            <c:ext xmlns:c16="http://schemas.microsoft.com/office/drawing/2014/chart" uri="{C3380CC4-5D6E-409C-BE32-E72D297353CC}">
              <c16:uniqueId val="{00000000-459D-4AF0-AE35-B07EB62B1B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rgbClr val="7030A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[Grocery_Inventory_and_Sales_Dataset.xlsx]Analysis!PivotTable4</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Analysis!$C$65</c:f>
              <c:strCache>
                <c:ptCount val="1"/>
                <c:pt idx="0">
                  <c:v>Total</c:v>
                </c:pt>
              </c:strCache>
            </c:strRef>
          </c:tx>
          <c:spPr>
            <a:solidFill>
              <a:schemeClr val="accent1"/>
            </a:solidFill>
            <a:ln>
              <a:noFill/>
            </a:ln>
            <a:effectLst/>
          </c:spPr>
          <c:invertIfNegative val="0"/>
          <c:cat>
            <c:strRef>
              <c:f>Analysis!$B$66:$B$76</c:f>
              <c:strCache>
                <c:ptCount val="10"/>
                <c:pt idx="0">
                  <c:v>Vinder</c:v>
                </c:pt>
                <c:pt idx="1">
                  <c:v>Youfeed</c:v>
                </c:pt>
                <c:pt idx="2">
                  <c:v>Rooxo</c:v>
                </c:pt>
                <c:pt idx="3">
                  <c:v>Jaxspan</c:v>
                </c:pt>
                <c:pt idx="4">
                  <c:v>Rhycero</c:v>
                </c:pt>
                <c:pt idx="5">
                  <c:v>Wikido</c:v>
                </c:pt>
                <c:pt idx="6">
                  <c:v>Youspan</c:v>
                </c:pt>
                <c:pt idx="7">
                  <c:v>Pixonyx</c:v>
                </c:pt>
                <c:pt idx="8">
                  <c:v>Katz</c:v>
                </c:pt>
                <c:pt idx="9">
                  <c:v>Skidoo</c:v>
                </c:pt>
              </c:strCache>
            </c:strRef>
          </c:cat>
          <c:val>
            <c:numRef>
              <c:f>Analysis!$C$66:$C$76</c:f>
              <c:numCache>
                <c:formatCode>"$"#,##0.0</c:formatCode>
                <c:ptCount val="10"/>
                <c:pt idx="0">
                  <c:v>7214.3700000000008</c:v>
                </c:pt>
                <c:pt idx="1">
                  <c:v>5875.62</c:v>
                </c:pt>
                <c:pt idx="2">
                  <c:v>4854.8999999999996</c:v>
                </c:pt>
                <c:pt idx="3">
                  <c:v>3862.5</c:v>
                </c:pt>
                <c:pt idx="4">
                  <c:v>3511.4</c:v>
                </c:pt>
                <c:pt idx="5">
                  <c:v>3479.5</c:v>
                </c:pt>
                <c:pt idx="6">
                  <c:v>3436</c:v>
                </c:pt>
                <c:pt idx="7">
                  <c:v>3264.55</c:v>
                </c:pt>
                <c:pt idx="8">
                  <c:v>3015.8</c:v>
                </c:pt>
                <c:pt idx="9">
                  <c:v>3007.3</c:v>
                </c:pt>
              </c:numCache>
            </c:numRef>
          </c:val>
          <c:extLst>
            <c:ext xmlns:c16="http://schemas.microsoft.com/office/drawing/2014/chart" uri="{C3380CC4-5D6E-409C-BE32-E72D297353CC}">
              <c16:uniqueId val="{00000000-2A3D-4AB0-B9D5-BA69F90D170F}"/>
            </c:ext>
          </c:extLst>
        </c:ser>
        <c:dLbls>
          <c:showLegendKey val="0"/>
          <c:showVal val="0"/>
          <c:showCatName val="0"/>
          <c:showSerName val="0"/>
          <c:showPercent val="0"/>
          <c:showBubbleSize val="0"/>
        </c:dLbls>
        <c:gapWidth val="219"/>
        <c:overlap val="-27"/>
        <c:axId val="1012450896"/>
        <c:axId val="1012466256"/>
      </c:barChart>
      <c:catAx>
        <c:axId val="101245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466256"/>
        <c:crosses val="autoZero"/>
        <c:auto val="1"/>
        <c:lblAlgn val="ctr"/>
        <c:lblOffset val="100"/>
        <c:noMultiLvlLbl val="0"/>
      </c:catAx>
      <c:valAx>
        <c:axId val="1012466256"/>
        <c:scaling>
          <c:orientation val="minMax"/>
        </c:scaling>
        <c:delete val="0"/>
        <c:axPos val="l"/>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45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[Grocery_Inventory_and_Sales_Dataset.xlsx]Analysis!PivotTable5</c:name>
    <c:fmtId val="5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55711370908078"/>
          <c:y val="5.0925925925925923E-2"/>
          <c:w val="0.58714904568967718"/>
          <c:h val="0.64438210848643918"/>
        </c:manualLayout>
      </c:layout>
      <c:bar3DChart>
        <c:barDir val="col"/>
        <c:grouping val="stacked"/>
        <c:varyColors val="0"/>
        <c:ser>
          <c:idx val="0"/>
          <c:order val="0"/>
          <c:tx>
            <c:strRef>
              <c:f>Analysis!$C$86</c:f>
              <c:strCache>
                <c:ptCount val="1"/>
                <c:pt idx="0">
                  <c:v>Total</c:v>
                </c:pt>
              </c:strCache>
            </c:strRef>
          </c:tx>
          <c:spPr>
            <a:solidFill>
              <a:srgbClr val="7030A0"/>
            </a:solidFill>
            <a:ln>
              <a:noFill/>
            </a:ln>
            <a:effectLst>
              <a:outerShdw blurRad="57150" dist="19050" dir="5400000" algn="ctr" rotWithShape="0">
                <a:srgbClr val="000000">
                  <a:alpha val="63000"/>
                </a:srgbClr>
              </a:outerShdw>
            </a:effectLst>
            <a:sp3d/>
          </c:spPr>
          <c:invertIfNegative val="0"/>
          <c:cat>
            <c:strRef>
              <c:f>Analysis!$B$87:$B$97</c:f>
              <c:strCache>
                <c:ptCount val="10"/>
                <c:pt idx="0">
                  <c:v>Butter</c:v>
                </c:pt>
                <c:pt idx="1">
                  <c:v>Basmati Rice</c:v>
                </c:pt>
                <c:pt idx="2">
                  <c:v>Coconut Sugar</c:v>
                </c:pt>
                <c:pt idx="3">
                  <c:v>Whole Wheat Bread</c:v>
                </c:pt>
                <c:pt idx="4">
                  <c:v>Potato</c:v>
                </c:pt>
                <c:pt idx="5">
                  <c:v>Garlic</c:v>
                </c:pt>
                <c:pt idx="6">
                  <c:v>White Rice</c:v>
                </c:pt>
                <c:pt idx="7">
                  <c:v>Milk</c:v>
                </c:pt>
                <c:pt idx="8">
                  <c:v>All-Purpose Flour</c:v>
                </c:pt>
                <c:pt idx="9">
                  <c:v>Cherry</c:v>
                </c:pt>
              </c:strCache>
            </c:strRef>
          </c:cat>
          <c:val>
            <c:numRef>
              <c:f>Analysis!$C$87:$C$97</c:f>
              <c:numCache>
                <c:formatCode>General</c:formatCode>
                <c:ptCount val="10"/>
                <c:pt idx="0">
                  <c:v>241</c:v>
                </c:pt>
                <c:pt idx="1">
                  <c:v>234</c:v>
                </c:pt>
                <c:pt idx="2">
                  <c:v>228</c:v>
                </c:pt>
                <c:pt idx="3">
                  <c:v>202</c:v>
                </c:pt>
                <c:pt idx="4">
                  <c:v>194</c:v>
                </c:pt>
                <c:pt idx="5">
                  <c:v>179</c:v>
                </c:pt>
                <c:pt idx="6">
                  <c:v>172</c:v>
                </c:pt>
                <c:pt idx="7">
                  <c:v>160</c:v>
                </c:pt>
                <c:pt idx="8">
                  <c:v>159</c:v>
                </c:pt>
                <c:pt idx="9">
                  <c:v>159</c:v>
                </c:pt>
              </c:numCache>
            </c:numRef>
          </c:val>
          <c:extLst>
            <c:ext xmlns:c16="http://schemas.microsoft.com/office/drawing/2014/chart" uri="{C3380CC4-5D6E-409C-BE32-E72D297353CC}">
              <c16:uniqueId val="{00000000-7BA3-4FA6-BE46-0E52E9963FFE}"/>
            </c:ext>
          </c:extLst>
        </c:ser>
        <c:dLbls>
          <c:showLegendKey val="0"/>
          <c:showVal val="0"/>
          <c:showCatName val="0"/>
          <c:showSerName val="0"/>
          <c:showPercent val="0"/>
          <c:showBubbleSize val="0"/>
        </c:dLbls>
        <c:gapWidth val="150"/>
        <c:shape val="box"/>
        <c:axId val="897294240"/>
        <c:axId val="897306720"/>
        <c:axId val="0"/>
      </c:bar3DChart>
      <c:catAx>
        <c:axId val="8972942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306720"/>
        <c:crosses val="autoZero"/>
        <c:auto val="1"/>
        <c:lblAlgn val="ctr"/>
        <c:lblOffset val="100"/>
        <c:noMultiLvlLbl val="0"/>
      </c:catAx>
      <c:valAx>
        <c:axId val="897306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29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[Grocery_Inventory_and_Sales_Dataset.xlsx]Analysis!PivotTable8</c:name>
    <c:fmtId val="59"/>
  </c:pivotSource>
  <c:chart>
    <c:autoTitleDeleted val="1"/>
    <c:pivotFmts>
      <c:pivotFmt>
        <c:idx val="0"/>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Analysis!$C$105</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Analysis!$B$106:$B$116</c:f>
              <c:strCache>
                <c:ptCount val="10"/>
                <c:pt idx="0">
                  <c:v>Gouda Cheese</c:v>
                </c:pt>
                <c:pt idx="1">
                  <c:v>Whole Wheat Bread</c:v>
                </c:pt>
                <c:pt idx="2">
                  <c:v>Coconut Sugar</c:v>
                </c:pt>
                <c:pt idx="3">
                  <c:v>All-Purpose Flour</c:v>
                </c:pt>
                <c:pt idx="4">
                  <c:v>Vanilla Biscuit</c:v>
                </c:pt>
                <c:pt idx="5">
                  <c:v>Kale</c:v>
                </c:pt>
                <c:pt idx="6">
                  <c:v>Spinach</c:v>
                </c:pt>
                <c:pt idx="7">
                  <c:v>Olive Oil</c:v>
                </c:pt>
                <c:pt idx="8">
                  <c:v>Banana</c:v>
                </c:pt>
                <c:pt idx="9">
                  <c:v>Coconut Oil</c:v>
                </c:pt>
              </c:strCache>
            </c:strRef>
          </c:cat>
          <c:val>
            <c:numRef>
              <c:f>Analysis!$C$106:$C$116</c:f>
              <c:numCache>
                <c:formatCode>General</c:formatCode>
                <c:ptCount val="10"/>
                <c:pt idx="0">
                  <c:v>220</c:v>
                </c:pt>
                <c:pt idx="1">
                  <c:v>195</c:v>
                </c:pt>
                <c:pt idx="2">
                  <c:v>191</c:v>
                </c:pt>
                <c:pt idx="3">
                  <c:v>177</c:v>
                </c:pt>
                <c:pt idx="4">
                  <c:v>170</c:v>
                </c:pt>
                <c:pt idx="5">
                  <c:v>159</c:v>
                </c:pt>
                <c:pt idx="6">
                  <c:v>149</c:v>
                </c:pt>
                <c:pt idx="7">
                  <c:v>146</c:v>
                </c:pt>
                <c:pt idx="8">
                  <c:v>138</c:v>
                </c:pt>
                <c:pt idx="9">
                  <c:v>128</c:v>
                </c:pt>
              </c:numCache>
            </c:numRef>
          </c:val>
          <c:extLst>
            <c:ext xmlns:c16="http://schemas.microsoft.com/office/drawing/2014/chart" uri="{C3380CC4-5D6E-409C-BE32-E72D297353CC}">
              <c16:uniqueId val="{00000000-0755-420F-8A1B-57045236A1D3}"/>
            </c:ext>
          </c:extLst>
        </c:ser>
        <c:dLbls>
          <c:showLegendKey val="0"/>
          <c:showVal val="0"/>
          <c:showCatName val="0"/>
          <c:showSerName val="0"/>
          <c:showPercent val="0"/>
          <c:showBubbleSize val="0"/>
        </c:dLbls>
        <c:gapWidth val="150"/>
        <c:overlap val="100"/>
        <c:axId val="758624784"/>
        <c:axId val="758642544"/>
      </c:barChart>
      <c:catAx>
        <c:axId val="7586247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8642544"/>
        <c:crosses val="autoZero"/>
        <c:auto val="1"/>
        <c:lblAlgn val="ctr"/>
        <c:lblOffset val="100"/>
        <c:noMultiLvlLbl val="0"/>
      </c:catAx>
      <c:valAx>
        <c:axId val="75864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86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[Grocery_Inventory_and_Sales_Dataset.xlsx]Analysis!PivotTable13</c:name>
    <c:fmtId val="5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Analysis!$C$124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14-45C1-AE32-94CFEEE5D13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14-45C1-AE32-94CFEEE5D13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F14-45C1-AE32-94CFEEE5D1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Analysis!$B$125:$B$128</c:f>
              <c:strCache>
                <c:ptCount val="3"/>
                <c:pt idx="0">
                  <c:v>Active</c:v>
                </c:pt>
                <c:pt idx="1">
                  <c:v>Backordered</c:v>
                </c:pt>
                <c:pt idx="2">
                  <c:v>Discontinued</c:v>
                </c:pt>
              </c:strCache>
            </c:strRef>
          </c:cat>
          <c:val>
            <c:numRef>
              <c:f>Analysis!$C$125:$C$128</c:f>
              <c:numCache>
                <c:formatCode>General</c:formatCode>
                <c:ptCount val="3"/>
                <c:pt idx="0">
                  <c:v>332</c:v>
                </c:pt>
                <c:pt idx="1">
                  <c:v>325</c:v>
                </c:pt>
                <c:pt idx="2">
                  <c:v>333</c:v>
                </c:pt>
              </c:numCache>
            </c:numRef>
          </c:val>
          <c:extLst>
            <c:ext xmlns:c16="http://schemas.microsoft.com/office/drawing/2014/chart" uri="{C3380CC4-5D6E-409C-BE32-E72D297353CC}">
              <c16:uniqueId val="{00000000-3540-4423-A59B-82F5CB1D06E4}"/>
            </c:ext>
          </c:extLst>
        </c:ser>
        <c:dLbls>
          <c:showLegendKey val="0"/>
          <c:showVal val="0"/>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[Grocery_Inventory_and_Sales_Dataset.xlsx]Analysis!PivotTable18</c:name>
    <c:fmtId val="6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Analysis!$C$139</c:f>
              <c:strCache>
                <c:ptCount val="1"/>
                <c:pt idx="0">
                  <c:v>Sum of Stock_Value</c:v>
                </c:pt>
              </c:strCache>
            </c:strRef>
          </c:tx>
          <c:spPr>
            <a:solidFill>
              <a:srgbClr val="7030A0"/>
            </a:solidFill>
            <a:ln>
              <a:noFill/>
            </a:ln>
            <a:effectLst/>
            <a:sp3d/>
          </c:spPr>
          <c:invertIfNegative val="0"/>
          <c:cat>
            <c:strRef>
              <c:f>Analysis!$B$140:$B$147</c:f>
              <c:strCache>
                <c:ptCount val="7"/>
                <c:pt idx="0">
                  <c:v>Bakery</c:v>
                </c:pt>
                <c:pt idx="1">
                  <c:v>Beverages</c:v>
                </c:pt>
                <c:pt idx="2">
                  <c:v>Dairy</c:v>
                </c:pt>
                <c:pt idx="3">
                  <c:v>Fruits &amp; Vegetables</c:v>
                </c:pt>
                <c:pt idx="4">
                  <c:v>Grains &amp; Pulses</c:v>
                </c:pt>
                <c:pt idx="5">
                  <c:v>Oils &amp; Fats</c:v>
                </c:pt>
                <c:pt idx="6">
                  <c:v>Seafood</c:v>
                </c:pt>
              </c:strCache>
            </c:strRef>
          </c:cat>
          <c:val>
            <c:numRef>
              <c:f>Analysis!$C$140:$C$147</c:f>
              <c:numCache>
                <c:formatCode>"$"#,##0.00_);[Red]\("$"#,##0.00\)</c:formatCode>
                <c:ptCount val="7"/>
                <c:pt idx="0">
                  <c:v>16788.799999999996</c:v>
                </c:pt>
                <c:pt idx="1">
                  <c:v>62942.25</c:v>
                </c:pt>
                <c:pt idx="2">
                  <c:v>50601.95</c:v>
                </c:pt>
                <c:pt idx="3">
                  <c:v>90625.11</c:v>
                </c:pt>
                <c:pt idx="4">
                  <c:v>31969.200000000004</c:v>
                </c:pt>
                <c:pt idx="5">
                  <c:v>17211.5</c:v>
                </c:pt>
                <c:pt idx="6">
                  <c:v>62515.899999999994</c:v>
                </c:pt>
              </c:numCache>
            </c:numRef>
          </c:val>
          <c:extLst>
            <c:ext xmlns:c16="http://schemas.microsoft.com/office/drawing/2014/chart" uri="{C3380CC4-5D6E-409C-BE32-E72D297353CC}">
              <c16:uniqueId val="{00000000-30CC-4FC4-BB72-F5BF02077230}"/>
            </c:ext>
          </c:extLst>
        </c:ser>
        <c:ser>
          <c:idx val="1"/>
          <c:order val="1"/>
          <c:tx>
            <c:strRef>
              <c:f>Analysis!$D$139</c:f>
              <c:strCache>
                <c:ptCount val="1"/>
                <c:pt idx="0">
                  <c:v>Sum of Reorder_Value</c:v>
                </c:pt>
              </c:strCache>
            </c:strRef>
          </c:tx>
          <c:spPr>
            <a:solidFill>
              <a:schemeClr val="accent4"/>
            </a:solidFill>
            <a:ln>
              <a:noFill/>
            </a:ln>
            <a:effectLst/>
            <a:sp3d/>
          </c:spPr>
          <c:invertIfNegative val="0"/>
          <c:cat>
            <c:strRef>
              <c:f>Analysis!$B$140:$B$147</c:f>
              <c:strCache>
                <c:ptCount val="7"/>
                <c:pt idx="0">
                  <c:v>Bakery</c:v>
                </c:pt>
                <c:pt idx="1">
                  <c:v>Beverages</c:v>
                </c:pt>
                <c:pt idx="2">
                  <c:v>Dairy</c:v>
                </c:pt>
                <c:pt idx="3">
                  <c:v>Fruits &amp; Vegetables</c:v>
                </c:pt>
                <c:pt idx="4">
                  <c:v>Grains &amp; Pulses</c:v>
                </c:pt>
                <c:pt idx="5">
                  <c:v>Oils &amp; Fats</c:v>
                </c:pt>
                <c:pt idx="6">
                  <c:v>Seafood</c:v>
                </c:pt>
              </c:strCache>
            </c:strRef>
          </c:cat>
          <c:val>
            <c:numRef>
              <c:f>Analysis!$D$140:$D$147</c:f>
              <c:numCache>
                <c:formatCode>"$"#,##0.0</c:formatCode>
                <c:ptCount val="7"/>
                <c:pt idx="0">
                  <c:v>16186.15</c:v>
                </c:pt>
                <c:pt idx="1">
                  <c:v>58898.100000000006</c:v>
                </c:pt>
                <c:pt idx="2">
                  <c:v>41215.649999999994</c:v>
                </c:pt>
                <c:pt idx="3">
                  <c:v>79331.040000000066</c:v>
                </c:pt>
                <c:pt idx="4">
                  <c:v>34645.199999999997</c:v>
                </c:pt>
                <c:pt idx="5">
                  <c:v>15920.699999999999</c:v>
                </c:pt>
                <c:pt idx="6">
                  <c:v>59288.2</c:v>
                </c:pt>
              </c:numCache>
            </c:numRef>
          </c:val>
          <c:extLst>
            <c:ext xmlns:c16="http://schemas.microsoft.com/office/drawing/2014/chart" uri="{C3380CC4-5D6E-409C-BE32-E72D297353CC}">
              <c16:uniqueId val="{00000003-30CC-4FC4-BB72-F5BF02077230}"/>
            </c:ext>
          </c:extLst>
        </c:ser>
        <c:dLbls>
          <c:showLegendKey val="0"/>
          <c:showVal val="0"/>
          <c:showCatName val="0"/>
          <c:showSerName val="0"/>
          <c:showPercent val="0"/>
          <c:showBubbleSize val="0"/>
        </c:dLbls>
        <c:gapWidth val="150"/>
        <c:shape val="box"/>
        <c:axId val="1324276848"/>
        <c:axId val="1324261488"/>
        <c:axId val="0"/>
      </c:bar3DChart>
      <c:catAx>
        <c:axId val="13242768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24261488"/>
        <c:crosses val="autoZero"/>
        <c:auto val="1"/>
        <c:lblAlgn val="ctr"/>
        <c:lblOffset val="100"/>
        <c:noMultiLvlLbl val="0"/>
      </c:catAx>
      <c:valAx>
        <c:axId val="1324261488"/>
        <c:scaling>
          <c:orientation val="minMax"/>
        </c:scaling>
        <c:delete val="0"/>
        <c:axPos val="b"/>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24276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[Grocery_Inventory_and_Sales_Dataset.xlsx]Analysis!PivotTable20</c:name>
    <c:fmtId val="7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Analysis!$C$160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7-4C85-B65A-BFF9FF4BB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7-4C85-B65A-BFF9FF4BB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97-4C85-B65A-BFF9FF4BB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97-4C85-B65A-BFF9FF4BB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97-4C85-B65A-BFF9FF4BB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97-4C85-B65A-BFF9FF4BBF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A97-4C85-B65A-BFF9FF4BBF10}"/>
              </c:ext>
            </c:extLst>
          </c:dPt>
          <c:cat>
            <c:strRef>
              <c:f>Analysis!$B$161:$B$168</c:f>
              <c:strCache>
                <c:ptCount val="7"/>
                <c:pt idx="0">
                  <c:v>Bakery</c:v>
                </c:pt>
                <c:pt idx="1">
                  <c:v>Beverages</c:v>
                </c:pt>
                <c:pt idx="2">
                  <c:v>Dairy</c:v>
                </c:pt>
                <c:pt idx="3">
                  <c:v>Fruits &amp; Vegetables</c:v>
                </c:pt>
                <c:pt idx="4">
                  <c:v>Grains &amp; Pulses</c:v>
                </c:pt>
                <c:pt idx="5">
                  <c:v>Oils &amp; Fats</c:v>
                </c:pt>
                <c:pt idx="6">
                  <c:v>Seafood</c:v>
                </c:pt>
              </c:strCache>
            </c:strRef>
          </c:cat>
          <c:val>
            <c:numRef>
              <c:f>Analysis!$C$161:$C$168</c:f>
              <c:numCache>
                <c:formatCode>0.0</c:formatCode>
                <c:ptCount val="7"/>
                <c:pt idx="0">
                  <c:v>188.62789283281242</c:v>
                </c:pt>
                <c:pt idx="1">
                  <c:v>234.31332142756455</c:v>
                </c:pt>
                <c:pt idx="2">
                  <c:v>613.38893425574088</c:v>
                </c:pt>
                <c:pt idx="3">
                  <c:v>1051.4189243365129</c:v>
                </c:pt>
                <c:pt idx="4">
                  <c:v>308.49883041494951</c:v>
                </c:pt>
                <c:pt idx="5">
                  <c:v>144.32329007159896</c:v>
                </c:pt>
                <c:pt idx="6">
                  <c:v>260.80627500712978</c:v>
                </c:pt>
              </c:numCache>
            </c:numRef>
          </c:val>
          <c:extLst>
            <c:ext xmlns:c16="http://schemas.microsoft.com/office/drawing/2014/chart" uri="{C3380CC4-5D6E-409C-BE32-E72D297353CC}">
              <c16:uniqueId val="{00000000-8067-4FB2-968A-D2CD1D6E5C9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7030A0"/>
              </a:gs>
              <a:gs pos="74000">
                <a:srgbClr val="7030A0"/>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174076839532994E-2"/>
          <c:y val="5.1401869158878503E-2"/>
          <c:w val="0.8885845438501222"/>
          <c:h val="0.77610640959599675"/>
        </c:manualLayout>
      </c:layout>
      <c:barChart>
        <c:barDir val="col"/>
        <c:grouping val="clustered"/>
        <c:varyColors val="0"/>
        <c:ser>
          <c:idx val="0"/>
          <c:order val="0"/>
          <c:tx>
            <c:strRef>
              <c:f>Analysis!$C$14</c:f>
              <c:strCache>
                <c:ptCount val="1"/>
                <c:pt idx="0">
                  <c:v>Total</c:v>
                </c:pt>
              </c:strCache>
            </c:strRef>
          </c:tx>
          <c:spPr>
            <a:gradFill flip="none" rotWithShape="1">
              <a:gsLst>
                <a:gs pos="0">
                  <a:srgbClr val="7030A0"/>
                </a:gs>
                <a:gs pos="74000">
                  <a:srgbClr val="7030A0"/>
                </a:gs>
              </a:gsLst>
              <a:lin ang="54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Analysis!$B$15:$B$22</c:f>
              <c:strCache>
                <c:ptCount val="7"/>
                <c:pt idx="0">
                  <c:v>Fruits &amp; Vegetables</c:v>
                </c:pt>
                <c:pt idx="1">
                  <c:v>Dairy</c:v>
                </c:pt>
                <c:pt idx="2">
                  <c:v>Grains &amp; Pulses</c:v>
                </c:pt>
                <c:pt idx="3">
                  <c:v>Seafood</c:v>
                </c:pt>
                <c:pt idx="4">
                  <c:v>Bakery</c:v>
                </c:pt>
                <c:pt idx="5">
                  <c:v>Oils &amp; Fats</c:v>
                </c:pt>
                <c:pt idx="6">
                  <c:v>Beverages</c:v>
                </c:pt>
              </c:strCache>
            </c:strRef>
          </c:cat>
          <c:val>
            <c:numRef>
              <c:f>Analysis!$C$15:$C$22</c:f>
              <c:numCache>
                <c:formatCode>General</c:formatCode>
                <c:ptCount val="7"/>
                <c:pt idx="0">
                  <c:v>18558</c:v>
                </c:pt>
                <c:pt idx="1">
                  <c:v>10534</c:v>
                </c:pt>
                <c:pt idx="2">
                  <c:v>8240</c:v>
                </c:pt>
                <c:pt idx="3">
                  <c:v>5601</c:v>
                </c:pt>
                <c:pt idx="4">
                  <c:v>4175</c:v>
                </c:pt>
                <c:pt idx="5">
                  <c:v>4123</c:v>
                </c:pt>
                <c:pt idx="6">
                  <c:v>3822</c:v>
                </c:pt>
              </c:numCache>
            </c:numRef>
          </c:val>
          <c:extLst>
            <c:ext xmlns:c16="http://schemas.microsoft.com/office/drawing/2014/chart" uri="{C3380CC4-5D6E-409C-BE32-E72D297353CC}">
              <c16:uniqueId val="{00000000-BA0F-42D2-BDEB-EBEB9153998A}"/>
            </c:ext>
          </c:extLst>
        </c:ser>
        <c:dLbls>
          <c:dLblPos val="outEnd"/>
          <c:showLegendKey val="0"/>
          <c:showVal val="1"/>
          <c:showCatName val="0"/>
          <c:showSerName val="0"/>
          <c:showPercent val="0"/>
          <c:showBubbleSize val="0"/>
        </c:dLbls>
        <c:gapWidth val="219"/>
        <c:overlap val="-27"/>
        <c:axId val="1646373823"/>
        <c:axId val="1646374783"/>
      </c:barChart>
      <c:catAx>
        <c:axId val="1646373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46374783"/>
        <c:crosses val="autoZero"/>
        <c:auto val="1"/>
        <c:lblAlgn val="ctr"/>
        <c:lblOffset val="100"/>
        <c:noMultiLvlLbl val="0"/>
      </c:catAx>
      <c:valAx>
        <c:axId val="1646374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4637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Analysis!$C$29</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Analysis!$B$30:$B$37</c:f>
              <c:strCache>
                <c:ptCount val="7"/>
                <c:pt idx="0">
                  <c:v>Bakery</c:v>
                </c:pt>
                <c:pt idx="1">
                  <c:v>Beverages</c:v>
                </c:pt>
                <c:pt idx="2">
                  <c:v>Oils &amp; Fats</c:v>
                </c:pt>
                <c:pt idx="3">
                  <c:v>Seafood</c:v>
                </c:pt>
                <c:pt idx="4">
                  <c:v>Grains &amp; Pulses</c:v>
                </c:pt>
                <c:pt idx="5">
                  <c:v>Dairy</c:v>
                </c:pt>
                <c:pt idx="6">
                  <c:v>Fruits &amp; Vegetables</c:v>
                </c:pt>
              </c:strCache>
            </c:strRef>
          </c:cat>
          <c:val>
            <c:numRef>
              <c:f>Analysis!$C$30:$C$37</c:f>
              <c:numCache>
                <c:formatCode>General</c:formatCode>
                <c:ptCount val="7"/>
                <c:pt idx="0">
                  <c:v>74</c:v>
                </c:pt>
                <c:pt idx="1">
                  <c:v>75</c:v>
                </c:pt>
                <c:pt idx="2">
                  <c:v>77</c:v>
                </c:pt>
                <c:pt idx="3">
                  <c:v>90</c:v>
                </c:pt>
                <c:pt idx="4">
                  <c:v>162</c:v>
                </c:pt>
                <c:pt idx="5">
                  <c:v>180</c:v>
                </c:pt>
                <c:pt idx="6">
                  <c:v>332</c:v>
                </c:pt>
              </c:numCache>
            </c:numRef>
          </c:val>
          <c:extLst>
            <c:ext xmlns:c16="http://schemas.microsoft.com/office/drawing/2014/chart" uri="{C3380CC4-5D6E-409C-BE32-E72D297353CC}">
              <c16:uniqueId val="{00000000-E921-4DF0-9584-4F9105EF42F3}"/>
            </c:ext>
          </c:extLst>
        </c:ser>
        <c:dLbls>
          <c:showLegendKey val="0"/>
          <c:showVal val="0"/>
          <c:showCatName val="0"/>
          <c:showSerName val="0"/>
          <c:showPercent val="0"/>
          <c:showBubbleSize val="0"/>
        </c:dLbls>
        <c:gapWidth val="182"/>
        <c:axId val="1749710463"/>
        <c:axId val="1749710943"/>
      </c:barChart>
      <c:catAx>
        <c:axId val="1749710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49710943"/>
        <c:crosses val="autoZero"/>
        <c:auto val="1"/>
        <c:lblAlgn val="ctr"/>
        <c:lblOffset val="100"/>
        <c:noMultiLvlLbl val="0"/>
      </c:catAx>
      <c:valAx>
        <c:axId val="1749710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497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[Grocery_Inventory_and_Sales_Dataset.xlsx]Analysis!PivotTable3</c:name>
    <c:fmtId val="3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9791847785588315E-2"/>
          <c:y val="4.6724562770047683E-2"/>
          <c:w val="0.61403810328125386"/>
          <c:h val="0.89845376411616251"/>
        </c:manualLayout>
      </c:layout>
      <c:doughnutChart>
        <c:varyColors val="1"/>
        <c:ser>
          <c:idx val="0"/>
          <c:order val="0"/>
          <c:tx>
            <c:strRef>
              <c:f>Analysis!$C$49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0A-4876-ABAF-EB2EC46ADF9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0A-4876-ABAF-EB2EC46ADF9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0A-4876-ABAF-EB2EC46ADF9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A0A-4876-ABAF-EB2EC46ADF9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A0A-4876-ABAF-EB2EC46ADF9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A0A-4876-ABAF-EB2EC46ADF9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A0A-4876-ABAF-EB2EC46ADF91}"/>
              </c:ext>
            </c:extLst>
          </c:dPt>
          <c:cat>
            <c:strRef>
              <c:f>Analysis!$B$50:$B$57</c:f>
              <c:strCache>
                <c:ptCount val="7"/>
                <c:pt idx="0">
                  <c:v>Bakery</c:v>
                </c:pt>
                <c:pt idx="1">
                  <c:v>Beverages</c:v>
                </c:pt>
                <c:pt idx="2">
                  <c:v>Dairy</c:v>
                </c:pt>
                <c:pt idx="3">
                  <c:v>Fruits &amp; Vegetables</c:v>
                </c:pt>
                <c:pt idx="4">
                  <c:v>Grains &amp; Pulses</c:v>
                </c:pt>
                <c:pt idx="5">
                  <c:v>Oils &amp; Fats</c:v>
                </c:pt>
                <c:pt idx="6">
                  <c:v>Seafood</c:v>
                </c:pt>
              </c:strCache>
            </c:strRef>
          </c:cat>
          <c:val>
            <c:numRef>
              <c:f>Analysis!$C$50:$C$57</c:f>
              <c:numCache>
                <c:formatCode>General</c:formatCode>
                <c:ptCount val="7"/>
                <c:pt idx="0">
                  <c:v>3004</c:v>
                </c:pt>
                <c:pt idx="1">
                  <c:v>2890</c:v>
                </c:pt>
                <c:pt idx="2">
                  <c:v>6719</c:v>
                </c:pt>
                <c:pt idx="3">
                  <c:v>12360</c:v>
                </c:pt>
                <c:pt idx="4">
                  <c:v>5579</c:v>
                </c:pt>
                <c:pt idx="5">
                  <c:v>2599</c:v>
                </c:pt>
                <c:pt idx="6">
                  <c:v>3673</c:v>
                </c:pt>
              </c:numCache>
            </c:numRef>
          </c:val>
          <c:extLst>
            <c:ext xmlns:c16="http://schemas.microsoft.com/office/drawing/2014/chart" uri="{C3380CC4-5D6E-409C-BE32-E72D297353CC}">
              <c16:uniqueId val="{0000000E-3A0A-4876-ABAF-EB2EC46ADF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993094711741466"/>
          <c:y val="0.18344876582239078"/>
          <c:w val="0.27483245982264837"/>
          <c:h val="0.51889209714038265"/>
        </c:manualLayout>
      </c:layout>
      <c:overlay val="0"/>
      <c:spPr>
        <a:solidFill>
          <a:srgbClr val="7030A0"/>
        </a:solidFill>
        <a:ln>
          <a:noFill/>
        </a:ln>
        <a:effectLst/>
      </c:spPr>
      <c:txPr>
        <a:bodyPr rot="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7030A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[Grocery_Inventory_and_Sales_Dataset.xlsx]Analysis!PivotTable4</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Analysis!$C$65</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Analysis!$B$66:$B$76</c:f>
              <c:strCache>
                <c:ptCount val="10"/>
                <c:pt idx="0">
                  <c:v>Vinder</c:v>
                </c:pt>
                <c:pt idx="1">
                  <c:v>Youfeed</c:v>
                </c:pt>
                <c:pt idx="2">
                  <c:v>Rooxo</c:v>
                </c:pt>
                <c:pt idx="3">
                  <c:v>Jaxspan</c:v>
                </c:pt>
                <c:pt idx="4">
                  <c:v>Rhycero</c:v>
                </c:pt>
                <c:pt idx="5">
                  <c:v>Wikido</c:v>
                </c:pt>
                <c:pt idx="6">
                  <c:v>Youspan</c:v>
                </c:pt>
                <c:pt idx="7">
                  <c:v>Pixonyx</c:v>
                </c:pt>
                <c:pt idx="8">
                  <c:v>Katz</c:v>
                </c:pt>
                <c:pt idx="9">
                  <c:v>Skidoo</c:v>
                </c:pt>
              </c:strCache>
            </c:strRef>
          </c:cat>
          <c:val>
            <c:numRef>
              <c:f>Analysis!$C$66:$C$76</c:f>
              <c:numCache>
                <c:formatCode>"$"#,##0.0</c:formatCode>
                <c:ptCount val="10"/>
                <c:pt idx="0">
                  <c:v>7214.3700000000008</c:v>
                </c:pt>
                <c:pt idx="1">
                  <c:v>5875.62</c:v>
                </c:pt>
                <c:pt idx="2">
                  <c:v>4854.8999999999996</c:v>
                </c:pt>
                <c:pt idx="3">
                  <c:v>3862.5</c:v>
                </c:pt>
                <c:pt idx="4">
                  <c:v>3511.4</c:v>
                </c:pt>
                <c:pt idx="5">
                  <c:v>3479.5</c:v>
                </c:pt>
                <c:pt idx="6">
                  <c:v>3436</c:v>
                </c:pt>
                <c:pt idx="7">
                  <c:v>3264.55</c:v>
                </c:pt>
                <c:pt idx="8">
                  <c:v>3015.8</c:v>
                </c:pt>
                <c:pt idx="9">
                  <c:v>3007.3</c:v>
                </c:pt>
              </c:numCache>
            </c:numRef>
          </c:val>
          <c:extLst>
            <c:ext xmlns:c16="http://schemas.microsoft.com/office/drawing/2014/chart" uri="{C3380CC4-5D6E-409C-BE32-E72D297353CC}">
              <c16:uniqueId val="{00000000-C896-4BED-9B42-A3CBCFFB19F8}"/>
            </c:ext>
          </c:extLst>
        </c:ser>
        <c:dLbls>
          <c:dLblPos val="outEnd"/>
          <c:showLegendKey val="0"/>
          <c:showVal val="1"/>
          <c:showCatName val="0"/>
          <c:showSerName val="0"/>
          <c:showPercent val="0"/>
          <c:showBubbleSize val="0"/>
        </c:dLbls>
        <c:gapWidth val="219"/>
        <c:overlap val="-27"/>
        <c:axId val="1012450896"/>
        <c:axId val="1012466256"/>
      </c:barChart>
      <c:catAx>
        <c:axId val="101245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12466256"/>
        <c:crosses val="autoZero"/>
        <c:auto val="1"/>
        <c:lblAlgn val="ctr"/>
        <c:lblOffset val="100"/>
        <c:noMultiLvlLbl val="0"/>
      </c:catAx>
      <c:valAx>
        <c:axId val="1012466256"/>
        <c:scaling>
          <c:orientation val="minMax"/>
        </c:scaling>
        <c:delete val="0"/>
        <c:axPos val="l"/>
        <c:numFmt formatCode="&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01245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[Grocery_Inventory_and_Sales_Dataset.xlsx]Analysis!PivotTable5</c:name>
    <c:fmtId val="56"/>
  </c:pivotSource>
  <c:chart>
    <c:autoTitleDeleted val="1"/>
    <c:pivotFmts>
      <c:pivotFmt>
        <c:idx val="0"/>
        <c:spPr>
          <a:solidFill>
            <a:srgbClr val="7030A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Analysis!$C$86</c:f>
              <c:strCache>
                <c:ptCount val="1"/>
                <c:pt idx="0">
                  <c:v>Total</c:v>
                </c:pt>
              </c:strCache>
            </c:strRef>
          </c:tx>
          <c:spPr>
            <a:solidFill>
              <a:srgbClr val="7030A0"/>
            </a:solidFill>
            <a:ln>
              <a:noFill/>
            </a:ln>
            <a:effectLst>
              <a:outerShdw blurRad="57150" dist="19050" dir="5400000" algn="ctr" rotWithShape="0">
                <a:srgbClr val="000000">
                  <a:alpha val="63000"/>
                </a:srgbClr>
              </a:outerShdw>
            </a:effectLst>
            <a:sp3d/>
          </c:spPr>
          <c:invertIfNegative val="0"/>
          <c:cat>
            <c:strRef>
              <c:f>Analysis!$B$87:$B$97</c:f>
              <c:strCache>
                <c:ptCount val="10"/>
                <c:pt idx="0">
                  <c:v>Butter</c:v>
                </c:pt>
                <c:pt idx="1">
                  <c:v>Basmati Rice</c:v>
                </c:pt>
                <c:pt idx="2">
                  <c:v>Coconut Sugar</c:v>
                </c:pt>
                <c:pt idx="3">
                  <c:v>Whole Wheat Bread</c:v>
                </c:pt>
                <c:pt idx="4">
                  <c:v>Potato</c:v>
                </c:pt>
                <c:pt idx="5">
                  <c:v>Garlic</c:v>
                </c:pt>
                <c:pt idx="6">
                  <c:v>White Rice</c:v>
                </c:pt>
                <c:pt idx="7">
                  <c:v>Milk</c:v>
                </c:pt>
                <c:pt idx="8">
                  <c:v>All-Purpose Flour</c:v>
                </c:pt>
                <c:pt idx="9">
                  <c:v>Cherry</c:v>
                </c:pt>
              </c:strCache>
            </c:strRef>
          </c:cat>
          <c:val>
            <c:numRef>
              <c:f>Analysis!$C$87:$C$97</c:f>
              <c:numCache>
                <c:formatCode>General</c:formatCode>
                <c:ptCount val="10"/>
                <c:pt idx="0">
                  <c:v>241</c:v>
                </c:pt>
                <c:pt idx="1">
                  <c:v>234</c:v>
                </c:pt>
                <c:pt idx="2">
                  <c:v>228</c:v>
                </c:pt>
                <c:pt idx="3">
                  <c:v>202</c:v>
                </c:pt>
                <c:pt idx="4">
                  <c:v>194</c:v>
                </c:pt>
                <c:pt idx="5">
                  <c:v>179</c:v>
                </c:pt>
                <c:pt idx="6">
                  <c:v>172</c:v>
                </c:pt>
                <c:pt idx="7">
                  <c:v>160</c:v>
                </c:pt>
                <c:pt idx="8">
                  <c:v>159</c:v>
                </c:pt>
                <c:pt idx="9">
                  <c:v>159</c:v>
                </c:pt>
              </c:numCache>
            </c:numRef>
          </c:val>
          <c:extLst>
            <c:ext xmlns:c16="http://schemas.microsoft.com/office/drawing/2014/chart" uri="{C3380CC4-5D6E-409C-BE32-E72D297353CC}">
              <c16:uniqueId val="{00000000-7F27-45FD-8688-04E5F389CC2D}"/>
            </c:ext>
          </c:extLst>
        </c:ser>
        <c:dLbls>
          <c:showLegendKey val="0"/>
          <c:showVal val="0"/>
          <c:showCatName val="0"/>
          <c:showSerName val="0"/>
          <c:showPercent val="0"/>
          <c:showBubbleSize val="0"/>
        </c:dLbls>
        <c:gapWidth val="150"/>
        <c:shape val="box"/>
        <c:axId val="897294240"/>
        <c:axId val="897306720"/>
        <c:axId val="0"/>
      </c:bar3DChart>
      <c:catAx>
        <c:axId val="8972942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97306720"/>
        <c:crosses val="autoZero"/>
        <c:auto val="1"/>
        <c:lblAlgn val="ctr"/>
        <c:lblOffset val="100"/>
        <c:noMultiLvlLbl val="0"/>
      </c:catAx>
      <c:valAx>
        <c:axId val="897306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89729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[Grocery_Inventory_and_Sales_Dataset.xlsx]Analysis!PivotTable8</c:name>
    <c:fmtId val="67"/>
  </c:pivotSource>
  <c:chart>
    <c:autoTitleDeleted val="1"/>
    <c:pivotFmts>
      <c:pivotFmt>
        <c:idx val="0"/>
        <c:spPr>
          <a:solidFill>
            <a:srgbClr val="7030A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Analysis!$C$105</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cat>
            <c:strRef>
              <c:f>Analysis!$B$106:$B$116</c:f>
              <c:strCache>
                <c:ptCount val="10"/>
                <c:pt idx="0">
                  <c:v>Gouda Cheese</c:v>
                </c:pt>
                <c:pt idx="1">
                  <c:v>Whole Wheat Bread</c:v>
                </c:pt>
                <c:pt idx="2">
                  <c:v>Coconut Sugar</c:v>
                </c:pt>
                <c:pt idx="3">
                  <c:v>All-Purpose Flour</c:v>
                </c:pt>
                <c:pt idx="4">
                  <c:v>Vanilla Biscuit</c:v>
                </c:pt>
                <c:pt idx="5">
                  <c:v>Kale</c:v>
                </c:pt>
                <c:pt idx="6">
                  <c:v>Spinach</c:v>
                </c:pt>
                <c:pt idx="7">
                  <c:v>Olive Oil</c:v>
                </c:pt>
                <c:pt idx="8">
                  <c:v>Banana</c:v>
                </c:pt>
                <c:pt idx="9">
                  <c:v>Coconut Oil</c:v>
                </c:pt>
              </c:strCache>
            </c:strRef>
          </c:cat>
          <c:val>
            <c:numRef>
              <c:f>Analysis!$C$106:$C$116</c:f>
              <c:numCache>
                <c:formatCode>General</c:formatCode>
                <c:ptCount val="10"/>
                <c:pt idx="0">
                  <c:v>220</c:v>
                </c:pt>
                <c:pt idx="1">
                  <c:v>195</c:v>
                </c:pt>
                <c:pt idx="2">
                  <c:v>191</c:v>
                </c:pt>
                <c:pt idx="3">
                  <c:v>177</c:v>
                </c:pt>
                <c:pt idx="4">
                  <c:v>170</c:v>
                </c:pt>
                <c:pt idx="5">
                  <c:v>159</c:v>
                </c:pt>
                <c:pt idx="6">
                  <c:v>149</c:v>
                </c:pt>
                <c:pt idx="7">
                  <c:v>146</c:v>
                </c:pt>
                <c:pt idx="8">
                  <c:v>138</c:v>
                </c:pt>
                <c:pt idx="9">
                  <c:v>128</c:v>
                </c:pt>
              </c:numCache>
            </c:numRef>
          </c:val>
          <c:extLst>
            <c:ext xmlns:c16="http://schemas.microsoft.com/office/drawing/2014/chart" uri="{C3380CC4-5D6E-409C-BE32-E72D297353CC}">
              <c16:uniqueId val="{00000000-594C-4EDC-9822-EF8766D66F9B}"/>
            </c:ext>
          </c:extLst>
        </c:ser>
        <c:dLbls>
          <c:showLegendKey val="0"/>
          <c:showVal val="0"/>
          <c:showCatName val="0"/>
          <c:showSerName val="0"/>
          <c:showPercent val="0"/>
          <c:showBubbleSize val="0"/>
        </c:dLbls>
        <c:gapWidth val="150"/>
        <c:overlap val="100"/>
        <c:axId val="758624784"/>
        <c:axId val="758642544"/>
      </c:barChart>
      <c:catAx>
        <c:axId val="7586247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8642544"/>
        <c:crosses val="autoZero"/>
        <c:auto val="1"/>
        <c:lblAlgn val="ctr"/>
        <c:lblOffset val="100"/>
        <c:noMultiLvlLbl val="0"/>
      </c:catAx>
      <c:valAx>
        <c:axId val="758642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86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[Grocery_Inventory_and_Sales_Dataset.xlsx]Analysis!PivotTable13</c:name>
    <c:fmtId val="6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137698503391792E-2"/>
          <c:y val="0.22782570925880627"/>
          <c:w val="0.95534537015875232"/>
          <c:h val="0.75107954835658253"/>
        </c:manualLayout>
      </c:layout>
      <c:pie3DChart>
        <c:varyColors val="1"/>
        <c:ser>
          <c:idx val="0"/>
          <c:order val="0"/>
          <c:tx>
            <c:strRef>
              <c:f>Analysis!$C$124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DF-4968-B7EB-58D1ECAF9EF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DF-4968-B7EB-58D1ECAF9EF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DF-4968-B7EB-58D1ECAF9EFD}"/>
              </c:ext>
            </c:extLst>
          </c:dPt>
          <c:cat>
            <c:strRef>
              <c:f>Analysis!$B$125:$B$128</c:f>
              <c:strCache>
                <c:ptCount val="3"/>
                <c:pt idx="0">
                  <c:v>Active</c:v>
                </c:pt>
                <c:pt idx="1">
                  <c:v>Backordered</c:v>
                </c:pt>
                <c:pt idx="2">
                  <c:v>Discontinued</c:v>
                </c:pt>
              </c:strCache>
            </c:strRef>
          </c:cat>
          <c:val>
            <c:numRef>
              <c:f>Analysis!$C$125:$C$128</c:f>
              <c:numCache>
                <c:formatCode>General</c:formatCode>
                <c:ptCount val="3"/>
                <c:pt idx="0">
                  <c:v>332</c:v>
                </c:pt>
                <c:pt idx="1">
                  <c:v>325</c:v>
                </c:pt>
                <c:pt idx="2">
                  <c:v>333</c:v>
                </c:pt>
              </c:numCache>
            </c:numRef>
          </c:val>
          <c:extLst>
            <c:ext xmlns:c16="http://schemas.microsoft.com/office/drawing/2014/chart" uri="{C3380CC4-5D6E-409C-BE32-E72D297353CC}">
              <c16:uniqueId val="{00000006-3EDF-4968-B7EB-58D1ECAF9EFD}"/>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[Grocery_Inventory_and_Sales_Dataset.xlsx]Analysis!PivotTable18</c:name>
    <c:fmtId val="7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Analysis!$C$139</c:f>
              <c:strCache>
                <c:ptCount val="1"/>
                <c:pt idx="0">
                  <c:v>Sum of Stock_Value</c:v>
                </c:pt>
              </c:strCache>
            </c:strRef>
          </c:tx>
          <c:spPr>
            <a:solidFill>
              <a:srgbClr val="7030A0"/>
            </a:solidFill>
            <a:ln>
              <a:noFill/>
            </a:ln>
            <a:effectLst/>
            <a:sp3d/>
          </c:spPr>
          <c:invertIfNegative val="0"/>
          <c:cat>
            <c:strRef>
              <c:f>Analysis!$B$140:$B$147</c:f>
              <c:strCache>
                <c:ptCount val="7"/>
                <c:pt idx="0">
                  <c:v>Bakery</c:v>
                </c:pt>
                <c:pt idx="1">
                  <c:v>Beverages</c:v>
                </c:pt>
                <c:pt idx="2">
                  <c:v>Dairy</c:v>
                </c:pt>
                <c:pt idx="3">
                  <c:v>Fruits &amp; Vegetables</c:v>
                </c:pt>
                <c:pt idx="4">
                  <c:v>Grains &amp; Pulses</c:v>
                </c:pt>
                <c:pt idx="5">
                  <c:v>Oils &amp; Fats</c:v>
                </c:pt>
                <c:pt idx="6">
                  <c:v>Seafood</c:v>
                </c:pt>
              </c:strCache>
            </c:strRef>
          </c:cat>
          <c:val>
            <c:numRef>
              <c:f>Analysis!$C$140:$C$147</c:f>
              <c:numCache>
                <c:formatCode>"$"#,##0.00_);[Red]\("$"#,##0.00\)</c:formatCode>
                <c:ptCount val="7"/>
                <c:pt idx="0">
                  <c:v>16788.799999999996</c:v>
                </c:pt>
                <c:pt idx="1">
                  <c:v>62942.25</c:v>
                </c:pt>
                <c:pt idx="2">
                  <c:v>50601.95</c:v>
                </c:pt>
                <c:pt idx="3">
                  <c:v>90625.11</c:v>
                </c:pt>
                <c:pt idx="4">
                  <c:v>31969.200000000004</c:v>
                </c:pt>
                <c:pt idx="5">
                  <c:v>17211.5</c:v>
                </c:pt>
                <c:pt idx="6">
                  <c:v>62515.899999999994</c:v>
                </c:pt>
              </c:numCache>
            </c:numRef>
          </c:val>
          <c:extLst>
            <c:ext xmlns:c16="http://schemas.microsoft.com/office/drawing/2014/chart" uri="{C3380CC4-5D6E-409C-BE32-E72D297353CC}">
              <c16:uniqueId val="{00000000-F9B9-4595-98C9-BB9E1B04E200}"/>
            </c:ext>
          </c:extLst>
        </c:ser>
        <c:ser>
          <c:idx val="1"/>
          <c:order val="1"/>
          <c:tx>
            <c:strRef>
              <c:f>Analysis!$D$139</c:f>
              <c:strCache>
                <c:ptCount val="1"/>
                <c:pt idx="0">
                  <c:v>Sum of Reorder_Value</c:v>
                </c:pt>
              </c:strCache>
            </c:strRef>
          </c:tx>
          <c:spPr>
            <a:solidFill>
              <a:schemeClr val="accent4"/>
            </a:solidFill>
            <a:ln>
              <a:noFill/>
            </a:ln>
            <a:effectLst/>
            <a:sp3d/>
          </c:spPr>
          <c:invertIfNegative val="0"/>
          <c:cat>
            <c:strRef>
              <c:f>Analysis!$B$140:$B$147</c:f>
              <c:strCache>
                <c:ptCount val="7"/>
                <c:pt idx="0">
                  <c:v>Bakery</c:v>
                </c:pt>
                <c:pt idx="1">
                  <c:v>Beverages</c:v>
                </c:pt>
                <c:pt idx="2">
                  <c:v>Dairy</c:v>
                </c:pt>
                <c:pt idx="3">
                  <c:v>Fruits &amp; Vegetables</c:v>
                </c:pt>
                <c:pt idx="4">
                  <c:v>Grains &amp; Pulses</c:v>
                </c:pt>
                <c:pt idx="5">
                  <c:v>Oils &amp; Fats</c:v>
                </c:pt>
                <c:pt idx="6">
                  <c:v>Seafood</c:v>
                </c:pt>
              </c:strCache>
            </c:strRef>
          </c:cat>
          <c:val>
            <c:numRef>
              <c:f>Analysis!$D$140:$D$147</c:f>
              <c:numCache>
                <c:formatCode>"$"#,##0.0</c:formatCode>
                <c:ptCount val="7"/>
                <c:pt idx="0">
                  <c:v>16186.15</c:v>
                </c:pt>
                <c:pt idx="1">
                  <c:v>58898.100000000006</c:v>
                </c:pt>
                <c:pt idx="2">
                  <c:v>41215.649999999994</c:v>
                </c:pt>
                <c:pt idx="3">
                  <c:v>79331.040000000066</c:v>
                </c:pt>
                <c:pt idx="4">
                  <c:v>34645.199999999997</c:v>
                </c:pt>
                <c:pt idx="5">
                  <c:v>15920.699999999999</c:v>
                </c:pt>
                <c:pt idx="6">
                  <c:v>59288.2</c:v>
                </c:pt>
              </c:numCache>
            </c:numRef>
          </c:val>
          <c:extLst>
            <c:ext xmlns:c16="http://schemas.microsoft.com/office/drawing/2014/chart" uri="{C3380CC4-5D6E-409C-BE32-E72D297353CC}">
              <c16:uniqueId val="{00000001-F9B9-4595-98C9-BB9E1B04E200}"/>
            </c:ext>
          </c:extLst>
        </c:ser>
        <c:dLbls>
          <c:showLegendKey val="0"/>
          <c:showVal val="0"/>
          <c:showCatName val="0"/>
          <c:showSerName val="0"/>
          <c:showPercent val="0"/>
          <c:showBubbleSize val="0"/>
        </c:dLbls>
        <c:gapWidth val="150"/>
        <c:shape val="box"/>
        <c:axId val="1324276848"/>
        <c:axId val="1324261488"/>
        <c:axId val="0"/>
      </c:bar3DChart>
      <c:catAx>
        <c:axId val="13242768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24261488"/>
        <c:crosses val="autoZero"/>
        <c:auto val="1"/>
        <c:lblAlgn val="ctr"/>
        <c:lblOffset val="100"/>
        <c:noMultiLvlLbl val="0"/>
      </c:catAx>
      <c:valAx>
        <c:axId val="1324261488"/>
        <c:scaling>
          <c:orientation val="minMax"/>
        </c:scaling>
        <c:delete val="0"/>
        <c:axPos val="b"/>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324276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[Grocery_Inventory_and_Sales_Dataset.xlsx]Analysis!PivotTable20</c:name>
    <c:fmtId val="7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4">
              <a:lumMod val="60000"/>
              <a:lumOff val="40000"/>
            </a:schemeClr>
          </a:solidFill>
          <a:ln w="19050">
            <a:solidFill>
              <a:schemeClr val="lt1"/>
            </a:solidFill>
          </a:ln>
          <a:effectLst/>
        </c:spPr>
      </c:pivotFmt>
      <c:pivotFmt>
        <c:idx val="12"/>
        <c:spPr>
          <a:solidFill>
            <a:schemeClr val="accent6">
              <a:lumMod val="75000"/>
            </a:schemeClr>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chemeClr val="accent2">
              <a:lumMod val="50000"/>
            </a:schemeClr>
          </a:solidFill>
          <a:ln w="19050">
            <a:solidFill>
              <a:schemeClr val="lt1"/>
            </a:solidFill>
          </a:ln>
          <a:effectLst/>
        </c:spPr>
      </c:pivotFmt>
      <c:pivotFmt>
        <c:idx val="15"/>
        <c:spPr>
          <a:solidFill>
            <a:srgbClr val="FF0000"/>
          </a:solidFill>
          <a:ln w="19050">
            <a:solidFill>
              <a:schemeClr val="lt1"/>
            </a:solidFill>
          </a:ln>
          <a:effectLst/>
        </c:spPr>
      </c:pivotFmt>
      <c:pivotFmt>
        <c:idx val="16"/>
        <c:spPr>
          <a:solidFill>
            <a:schemeClr val="bg1">
              <a:lumMod val="50000"/>
            </a:schemeClr>
          </a:solidFill>
          <a:ln w="19050">
            <a:solidFill>
              <a:schemeClr val="lt1"/>
            </a:solidFill>
          </a:ln>
          <a:effectLst/>
        </c:spPr>
      </c:pivotFmt>
    </c:pivotFmts>
    <c:plotArea>
      <c:layout/>
      <c:doughnutChart>
        <c:varyColors val="1"/>
        <c:ser>
          <c:idx val="0"/>
          <c:order val="0"/>
          <c:tx>
            <c:strRef>
              <c:f>Analysis!$C$160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11-4BB2-AFEE-F85206507460}"/>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CC11-4BB2-AFEE-F85206507460}"/>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CC11-4BB2-AFEE-F85206507460}"/>
              </c:ext>
            </c:extLst>
          </c:dPt>
          <c:dPt>
            <c:idx val="3"/>
            <c:bubble3D val="0"/>
            <c:spPr>
              <a:solidFill>
                <a:srgbClr val="7030A0"/>
              </a:solidFill>
              <a:ln w="19050">
                <a:solidFill>
                  <a:schemeClr val="lt1"/>
                </a:solidFill>
              </a:ln>
              <a:effectLst/>
            </c:spPr>
            <c:extLst>
              <c:ext xmlns:c16="http://schemas.microsoft.com/office/drawing/2014/chart" uri="{C3380CC4-5D6E-409C-BE32-E72D297353CC}">
                <c16:uniqueId val="{00000007-CC11-4BB2-AFEE-F85206507460}"/>
              </c:ext>
            </c:extLst>
          </c:dPt>
          <c:dPt>
            <c:idx val="4"/>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9-CC11-4BB2-AFEE-F85206507460}"/>
              </c:ext>
            </c:extLst>
          </c:dPt>
          <c:dPt>
            <c:idx val="5"/>
            <c:bubble3D val="0"/>
            <c:spPr>
              <a:solidFill>
                <a:srgbClr val="FF0000"/>
              </a:solidFill>
              <a:ln w="19050">
                <a:solidFill>
                  <a:schemeClr val="lt1"/>
                </a:solidFill>
              </a:ln>
              <a:effectLst/>
            </c:spPr>
            <c:extLst>
              <c:ext xmlns:c16="http://schemas.microsoft.com/office/drawing/2014/chart" uri="{C3380CC4-5D6E-409C-BE32-E72D297353CC}">
                <c16:uniqueId val="{0000000B-CC11-4BB2-AFEE-F85206507460}"/>
              </c:ext>
            </c:extLst>
          </c:dPt>
          <c:dPt>
            <c:idx val="6"/>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D-CC11-4BB2-AFEE-F85206507460}"/>
              </c:ext>
            </c:extLst>
          </c:dPt>
          <c:cat>
            <c:strRef>
              <c:f>Analysis!$B$161:$B$168</c:f>
              <c:strCache>
                <c:ptCount val="7"/>
                <c:pt idx="0">
                  <c:v>Bakery</c:v>
                </c:pt>
                <c:pt idx="1">
                  <c:v>Beverages</c:v>
                </c:pt>
                <c:pt idx="2">
                  <c:v>Dairy</c:v>
                </c:pt>
                <c:pt idx="3">
                  <c:v>Fruits &amp; Vegetables</c:v>
                </c:pt>
                <c:pt idx="4">
                  <c:v>Grains &amp; Pulses</c:v>
                </c:pt>
                <c:pt idx="5">
                  <c:v>Oils &amp; Fats</c:v>
                </c:pt>
                <c:pt idx="6">
                  <c:v>Seafood</c:v>
                </c:pt>
              </c:strCache>
            </c:strRef>
          </c:cat>
          <c:val>
            <c:numRef>
              <c:f>Analysis!$C$161:$C$168</c:f>
              <c:numCache>
                <c:formatCode>0.0</c:formatCode>
                <c:ptCount val="7"/>
                <c:pt idx="0">
                  <c:v>188.62789283281242</c:v>
                </c:pt>
                <c:pt idx="1">
                  <c:v>234.31332142756455</c:v>
                </c:pt>
                <c:pt idx="2">
                  <c:v>613.38893425574088</c:v>
                </c:pt>
                <c:pt idx="3">
                  <c:v>1051.4189243365129</c:v>
                </c:pt>
                <c:pt idx="4">
                  <c:v>308.49883041494951</c:v>
                </c:pt>
                <c:pt idx="5">
                  <c:v>144.32329007159896</c:v>
                </c:pt>
                <c:pt idx="6">
                  <c:v>260.80627500712978</c:v>
                </c:pt>
              </c:numCache>
            </c:numRef>
          </c:val>
          <c:extLst>
            <c:ext xmlns:c16="http://schemas.microsoft.com/office/drawing/2014/chart" uri="{C3380CC4-5D6E-409C-BE32-E72D297353CC}">
              <c16:uniqueId val="{0000000E-CC11-4BB2-AFEE-F852065074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12.xml"/><Relationship Id="rId7" Type="http://schemas.openxmlformats.org/officeDocument/2006/relationships/hyperlink" Target="#Data!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8.xml"/><Relationship Id="rId5" Type="http://schemas.openxmlformats.org/officeDocument/2006/relationships/chart" Target="../charts/chart14.xml"/><Relationship Id="rId10" Type="http://schemas.openxmlformats.org/officeDocument/2006/relationships/chart" Target="../charts/chart17.xml"/><Relationship Id="rId4" Type="http://schemas.openxmlformats.org/officeDocument/2006/relationships/chart" Target="../charts/chart13.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495300</xdr:colOff>
      <xdr:row>9</xdr:row>
      <xdr:rowOff>137160</xdr:rowOff>
    </xdr:from>
    <xdr:to>
      <xdr:col>6</xdr:col>
      <xdr:colOff>769620</xdr:colOff>
      <xdr:row>24</xdr:row>
      <xdr:rowOff>38100</xdr:rowOff>
    </xdr:to>
    <xdr:graphicFrame macro="">
      <xdr:nvGraphicFramePr>
        <xdr:cNvPr id="2" name="Chart 1">
          <a:extLst>
            <a:ext uri="{FF2B5EF4-FFF2-40B4-BE49-F238E27FC236}">
              <a16:creationId xmlns:a16="http://schemas.microsoft.com/office/drawing/2014/main" id="{A509C2E6-8223-3DBE-7DC3-F4EF1091F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27</xdr:row>
      <xdr:rowOff>152400</xdr:rowOff>
    </xdr:from>
    <xdr:to>
      <xdr:col>6</xdr:col>
      <xdr:colOff>472440</xdr:colOff>
      <xdr:row>40</xdr:row>
      <xdr:rowOff>129540</xdr:rowOff>
    </xdr:to>
    <xdr:graphicFrame macro="">
      <xdr:nvGraphicFramePr>
        <xdr:cNvPr id="3" name="Chart 2">
          <a:extLst>
            <a:ext uri="{FF2B5EF4-FFF2-40B4-BE49-F238E27FC236}">
              <a16:creationId xmlns:a16="http://schemas.microsoft.com/office/drawing/2014/main" id="{84289D43-9992-079C-024E-CD63CBB6C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45</xdr:row>
      <xdr:rowOff>26670</xdr:rowOff>
    </xdr:from>
    <xdr:to>
      <xdr:col>5</xdr:col>
      <xdr:colOff>906780</xdr:colOff>
      <xdr:row>58</xdr:row>
      <xdr:rowOff>129540</xdr:rowOff>
    </xdr:to>
    <xdr:graphicFrame macro="">
      <xdr:nvGraphicFramePr>
        <xdr:cNvPr id="4" name="Chart 3">
          <a:extLst>
            <a:ext uri="{FF2B5EF4-FFF2-40B4-BE49-F238E27FC236}">
              <a16:creationId xmlns:a16="http://schemas.microsoft.com/office/drawing/2014/main" id="{C43C4E93-C41F-ECFA-9CEA-6E00B02A6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63</xdr:row>
      <xdr:rowOff>137160</xdr:rowOff>
    </xdr:from>
    <xdr:to>
      <xdr:col>6</xdr:col>
      <xdr:colOff>556260</xdr:colOff>
      <xdr:row>78</xdr:row>
      <xdr:rowOff>106680</xdr:rowOff>
    </xdr:to>
    <xdr:graphicFrame macro="">
      <xdr:nvGraphicFramePr>
        <xdr:cNvPr id="5" name="Chart 4">
          <a:extLst>
            <a:ext uri="{FF2B5EF4-FFF2-40B4-BE49-F238E27FC236}">
              <a16:creationId xmlns:a16="http://schemas.microsoft.com/office/drawing/2014/main" id="{C18453C1-34FA-46AA-13FC-6B9962C52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990600</xdr:colOff>
      <xdr:row>83</xdr:row>
      <xdr:rowOff>60960</xdr:rowOff>
    </xdr:from>
    <xdr:to>
      <xdr:col>7</xdr:col>
      <xdr:colOff>586740</xdr:colOff>
      <xdr:row>98</xdr:row>
      <xdr:rowOff>22860</xdr:rowOff>
    </xdr:to>
    <xdr:graphicFrame macro="">
      <xdr:nvGraphicFramePr>
        <xdr:cNvPr id="6" name="Chart 5">
          <a:extLst>
            <a:ext uri="{FF2B5EF4-FFF2-40B4-BE49-F238E27FC236}">
              <a16:creationId xmlns:a16="http://schemas.microsoft.com/office/drawing/2014/main" id="{AF757A98-C662-52E4-D578-2AD36679A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160020</xdr:colOff>
      <xdr:row>103</xdr:row>
      <xdr:rowOff>45720</xdr:rowOff>
    </xdr:from>
    <xdr:to>
      <xdr:col>6</xdr:col>
      <xdr:colOff>1272540</xdr:colOff>
      <xdr:row>119</xdr:row>
      <xdr:rowOff>106680</xdr:rowOff>
    </xdr:to>
    <xdr:graphicFrame macro="">
      <xdr:nvGraphicFramePr>
        <xdr:cNvPr id="7" name="Chart 6">
          <a:extLst>
            <a:ext uri="{FF2B5EF4-FFF2-40B4-BE49-F238E27FC236}">
              <a16:creationId xmlns:a16="http://schemas.microsoft.com/office/drawing/2014/main" id="{4A3594FB-36EC-9592-B42D-A6E3A3F9F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160020</xdr:colOff>
      <xdr:row>7</xdr:row>
      <xdr:rowOff>167640</xdr:rowOff>
    </xdr:from>
    <xdr:to>
      <xdr:col>8</xdr:col>
      <xdr:colOff>701040</xdr:colOff>
      <xdr:row>20</xdr:row>
      <xdr:rowOff>7619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9216C93-B927-FE8A-465B-A3CA2449366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018020" y="1485900"/>
              <a:ext cx="1828800" cy="2240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144780</xdr:colOff>
      <xdr:row>20</xdr:row>
      <xdr:rowOff>99061</xdr:rowOff>
    </xdr:from>
    <xdr:to>
      <xdr:col>8</xdr:col>
      <xdr:colOff>685800</xdr:colOff>
      <xdr:row>26</xdr:row>
      <xdr:rowOff>83821</xdr:rowOff>
    </xdr:to>
    <mc:AlternateContent xmlns:mc="http://schemas.openxmlformats.org/markup-compatibility/2006" xmlns:a14="http://schemas.microsoft.com/office/drawing/2010/main">
      <mc:Choice Requires="a14">
        <xdr:graphicFrame macro="">
          <xdr:nvGraphicFramePr>
            <xdr:cNvPr id="9" name="Reorder_Status">
              <a:extLst>
                <a:ext uri="{FF2B5EF4-FFF2-40B4-BE49-F238E27FC236}">
                  <a16:creationId xmlns:a16="http://schemas.microsoft.com/office/drawing/2014/main" id="{0BDE5537-A149-6DFE-D9D6-C8804C88D661}"/>
                </a:ext>
              </a:extLst>
            </xdr:cNvPr>
            <xdr:cNvGraphicFramePr/>
          </xdr:nvGraphicFramePr>
          <xdr:xfrm>
            <a:off x="0" y="0"/>
            <a:ext cx="0" cy="0"/>
          </xdr:xfrm>
          <a:graphic>
            <a:graphicData uri="http://schemas.microsoft.com/office/drawing/2010/slicer">
              <sle:slicer xmlns:sle="http://schemas.microsoft.com/office/drawing/2010/slicer" name="Reorder_Status"/>
            </a:graphicData>
          </a:graphic>
        </xdr:graphicFrame>
      </mc:Choice>
      <mc:Fallback xmlns="">
        <xdr:sp macro="" textlink="">
          <xdr:nvSpPr>
            <xdr:cNvPr id="0" name=""/>
            <xdr:cNvSpPr>
              <a:spLocks noTextEdit="1"/>
            </xdr:cNvSpPr>
          </xdr:nvSpPr>
          <xdr:spPr>
            <a:xfrm>
              <a:off x="7002780" y="381762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26</xdr:row>
      <xdr:rowOff>167641</xdr:rowOff>
    </xdr:from>
    <xdr:to>
      <xdr:col>8</xdr:col>
      <xdr:colOff>701040</xdr:colOff>
      <xdr:row>31</xdr:row>
      <xdr:rowOff>91441</xdr:rowOff>
    </xdr:to>
    <mc:AlternateContent xmlns:mc="http://schemas.openxmlformats.org/markup-compatibility/2006" xmlns:a14="http://schemas.microsoft.com/office/drawing/2010/main">
      <mc:Choice Requires="a14">
        <xdr:graphicFrame macro="">
          <xdr:nvGraphicFramePr>
            <xdr:cNvPr id="10" name="Expiry_Status">
              <a:extLst>
                <a:ext uri="{FF2B5EF4-FFF2-40B4-BE49-F238E27FC236}">
                  <a16:creationId xmlns:a16="http://schemas.microsoft.com/office/drawing/2014/main" id="{9853BE42-7E3F-A1D1-8DF3-1EFA4AED1855}"/>
                </a:ext>
              </a:extLst>
            </xdr:cNvPr>
            <xdr:cNvGraphicFramePr/>
          </xdr:nvGraphicFramePr>
          <xdr:xfrm>
            <a:off x="0" y="0"/>
            <a:ext cx="0" cy="0"/>
          </xdr:xfrm>
          <a:graphic>
            <a:graphicData uri="http://schemas.microsoft.com/office/drawing/2010/slicer">
              <sle:slicer xmlns:sle="http://schemas.microsoft.com/office/drawing/2010/slicer" name="Expiry_Status"/>
            </a:graphicData>
          </a:graphic>
        </xdr:graphicFrame>
      </mc:Choice>
      <mc:Fallback xmlns="">
        <xdr:sp macro="" textlink="">
          <xdr:nvSpPr>
            <xdr:cNvPr id="0" name=""/>
            <xdr:cNvSpPr>
              <a:spLocks noTextEdit="1"/>
            </xdr:cNvSpPr>
          </xdr:nvSpPr>
          <xdr:spPr>
            <a:xfrm>
              <a:off x="7018020" y="501396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137160</xdr:colOff>
      <xdr:row>123</xdr:row>
      <xdr:rowOff>38100</xdr:rowOff>
    </xdr:from>
    <xdr:to>
      <xdr:col>6</xdr:col>
      <xdr:colOff>525780</xdr:colOff>
      <xdr:row>133</xdr:row>
      <xdr:rowOff>106680</xdr:rowOff>
    </xdr:to>
    <xdr:graphicFrame macro="">
      <xdr:nvGraphicFramePr>
        <xdr:cNvPr id="16" name="Chart 15">
          <a:extLst>
            <a:ext uri="{FF2B5EF4-FFF2-40B4-BE49-F238E27FC236}">
              <a16:creationId xmlns:a16="http://schemas.microsoft.com/office/drawing/2014/main" id="{8C3E0697-151F-B645-DBF2-C83C95CEDD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441960</xdr:colOff>
      <xdr:row>138</xdr:row>
      <xdr:rowOff>106680</xdr:rowOff>
    </xdr:from>
    <xdr:to>
      <xdr:col>8</xdr:col>
      <xdr:colOff>777240</xdr:colOff>
      <xdr:row>153</xdr:row>
      <xdr:rowOff>76200</xdr:rowOff>
    </xdr:to>
    <xdr:graphicFrame macro="">
      <xdr:nvGraphicFramePr>
        <xdr:cNvPr id="18" name="Chart 17">
          <a:extLst>
            <a:ext uri="{FF2B5EF4-FFF2-40B4-BE49-F238E27FC236}">
              <a16:creationId xmlns:a16="http://schemas.microsoft.com/office/drawing/2014/main" id="{929CE0B1-42F9-CB6B-B38C-78E75713E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739140</xdr:colOff>
      <xdr:row>158</xdr:row>
      <xdr:rowOff>160020</xdr:rowOff>
    </xdr:from>
    <xdr:to>
      <xdr:col>6</xdr:col>
      <xdr:colOff>1143000</xdr:colOff>
      <xdr:row>168</xdr:row>
      <xdr:rowOff>38100</xdr:rowOff>
    </xdr:to>
    <xdr:graphicFrame macro="">
      <xdr:nvGraphicFramePr>
        <xdr:cNvPr id="19" name="Chart 18">
          <a:extLst>
            <a:ext uri="{FF2B5EF4-FFF2-40B4-BE49-F238E27FC236}">
              <a16:creationId xmlns:a16="http://schemas.microsoft.com/office/drawing/2014/main" id="{6A8F64E9-EF9A-C84E-FABD-23C2E4F9F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190499</xdr:colOff>
      <xdr:row>1</xdr:row>
      <xdr:rowOff>88900</xdr:rowOff>
    </xdr:from>
    <xdr:to>
      <xdr:col>37</xdr:col>
      <xdr:colOff>88900</xdr:colOff>
      <xdr:row>48</xdr:row>
      <xdr:rowOff>3174</xdr:rowOff>
    </xdr:to>
    <xdr:sp macro="" textlink="">
      <xdr:nvSpPr>
        <xdr:cNvPr id="2" name="Rectangle 1">
          <a:extLst>
            <a:ext uri="{FF2B5EF4-FFF2-40B4-BE49-F238E27FC236}">
              <a16:creationId xmlns:a16="http://schemas.microsoft.com/office/drawing/2014/main" id="{9C796C6F-AC13-BF30-691C-85FE2CC95A91}"/>
            </a:ext>
          </a:extLst>
        </xdr:cNvPr>
        <xdr:cNvSpPr/>
      </xdr:nvSpPr>
      <xdr:spPr>
        <a:xfrm>
          <a:off x="2019299" y="88900"/>
          <a:ext cx="20624801" cy="8270874"/>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482600</xdr:colOff>
      <xdr:row>4</xdr:row>
      <xdr:rowOff>123826</xdr:rowOff>
    </xdr:from>
    <xdr:to>
      <xdr:col>9</xdr:col>
      <xdr:colOff>469900</xdr:colOff>
      <xdr:row>10</xdr:row>
      <xdr:rowOff>0</xdr:rowOff>
    </xdr:to>
    <xdr:sp macro="" textlink="">
      <xdr:nvSpPr>
        <xdr:cNvPr id="3" name="Rectangle: Rounded Corners 2">
          <a:extLst>
            <a:ext uri="{FF2B5EF4-FFF2-40B4-BE49-F238E27FC236}">
              <a16:creationId xmlns:a16="http://schemas.microsoft.com/office/drawing/2014/main" id="{8F42953A-855D-1410-A82A-0D84A9FD8214}"/>
            </a:ext>
          </a:extLst>
        </xdr:cNvPr>
        <xdr:cNvSpPr/>
      </xdr:nvSpPr>
      <xdr:spPr>
        <a:xfrm>
          <a:off x="4140200" y="657226"/>
          <a:ext cx="1816100" cy="94297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165100</xdr:colOff>
      <xdr:row>1</xdr:row>
      <xdr:rowOff>101600</xdr:rowOff>
    </xdr:from>
    <xdr:to>
      <xdr:col>37</xdr:col>
      <xdr:colOff>114300</xdr:colOff>
      <xdr:row>4</xdr:row>
      <xdr:rowOff>25400</xdr:rowOff>
    </xdr:to>
    <xdr:sp macro="" textlink="">
      <xdr:nvSpPr>
        <xdr:cNvPr id="4" name="Rectangle 3">
          <a:extLst>
            <a:ext uri="{FF2B5EF4-FFF2-40B4-BE49-F238E27FC236}">
              <a16:creationId xmlns:a16="http://schemas.microsoft.com/office/drawing/2014/main" id="{7F729A1C-37F6-A637-5A0E-1375BDE3915C}"/>
            </a:ext>
          </a:extLst>
        </xdr:cNvPr>
        <xdr:cNvSpPr/>
      </xdr:nvSpPr>
      <xdr:spPr>
        <a:xfrm>
          <a:off x="1993900" y="101600"/>
          <a:ext cx="20675600" cy="457200"/>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9</xdr:col>
      <xdr:colOff>546100</xdr:colOff>
      <xdr:row>4</xdr:row>
      <xdr:rowOff>136526</xdr:rowOff>
    </xdr:from>
    <xdr:to>
      <xdr:col>12</xdr:col>
      <xdr:colOff>444500</xdr:colOff>
      <xdr:row>10</xdr:row>
      <xdr:rowOff>9526</xdr:rowOff>
    </xdr:to>
    <xdr:sp macro="" textlink="">
      <xdr:nvSpPr>
        <xdr:cNvPr id="6" name="Rectangle: Rounded Corners 5">
          <a:extLst>
            <a:ext uri="{FF2B5EF4-FFF2-40B4-BE49-F238E27FC236}">
              <a16:creationId xmlns:a16="http://schemas.microsoft.com/office/drawing/2014/main" id="{80516ACF-6DC0-4A6A-808E-C9D3B2340E11}"/>
            </a:ext>
          </a:extLst>
        </xdr:cNvPr>
        <xdr:cNvSpPr/>
      </xdr:nvSpPr>
      <xdr:spPr>
        <a:xfrm>
          <a:off x="6032500" y="669926"/>
          <a:ext cx="1727200" cy="939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0</xdr:colOff>
      <xdr:row>4</xdr:row>
      <xdr:rowOff>111126</xdr:rowOff>
    </xdr:from>
    <xdr:to>
      <xdr:col>36</xdr:col>
      <xdr:colOff>508000</xdr:colOff>
      <xdr:row>10</xdr:row>
      <xdr:rowOff>0</xdr:rowOff>
    </xdr:to>
    <xdr:sp macro="" textlink="">
      <xdr:nvSpPr>
        <xdr:cNvPr id="7" name="Rectangle: Rounded Corners 6">
          <a:extLst>
            <a:ext uri="{FF2B5EF4-FFF2-40B4-BE49-F238E27FC236}">
              <a16:creationId xmlns:a16="http://schemas.microsoft.com/office/drawing/2014/main" id="{C52A8979-43C6-47DE-AC50-CB2E0F2EE6DF}"/>
            </a:ext>
          </a:extLst>
        </xdr:cNvPr>
        <xdr:cNvSpPr/>
      </xdr:nvSpPr>
      <xdr:spPr>
        <a:xfrm>
          <a:off x="20726400" y="644526"/>
          <a:ext cx="1727200" cy="95567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419100</xdr:colOff>
      <xdr:row>4</xdr:row>
      <xdr:rowOff>111126</xdr:rowOff>
    </xdr:from>
    <xdr:to>
      <xdr:col>33</xdr:col>
      <xdr:colOff>520700</xdr:colOff>
      <xdr:row>10</xdr:row>
      <xdr:rowOff>0</xdr:rowOff>
    </xdr:to>
    <xdr:sp macro="" textlink="">
      <xdr:nvSpPr>
        <xdr:cNvPr id="8" name="Rectangle: Rounded Corners 7">
          <a:extLst>
            <a:ext uri="{FF2B5EF4-FFF2-40B4-BE49-F238E27FC236}">
              <a16:creationId xmlns:a16="http://schemas.microsoft.com/office/drawing/2014/main" id="{6369C874-495C-41E5-A4B3-130685E931C1}"/>
            </a:ext>
          </a:extLst>
        </xdr:cNvPr>
        <xdr:cNvSpPr/>
      </xdr:nvSpPr>
      <xdr:spPr>
        <a:xfrm>
          <a:off x="18707100" y="644526"/>
          <a:ext cx="1930400" cy="95567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457200</xdr:colOff>
      <xdr:row>4</xdr:row>
      <xdr:rowOff>123826</xdr:rowOff>
    </xdr:from>
    <xdr:to>
      <xdr:col>30</xdr:col>
      <xdr:colOff>355600</xdr:colOff>
      <xdr:row>9</xdr:row>
      <xdr:rowOff>174626</xdr:rowOff>
    </xdr:to>
    <xdr:sp macro="" textlink="">
      <xdr:nvSpPr>
        <xdr:cNvPr id="9" name="Rectangle: Rounded Corners 8">
          <a:extLst>
            <a:ext uri="{FF2B5EF4-FFF2-40B4-BE49-F238E27FC236}">
              <a16:creationId xmlns:a16="http://schemas.microsoft.com/office/drawing/2014/main" id="{08D38346-B7E8-4BE2-88B0-54433130B4A6}"/>
            </a:ext>
          </a:extLst>
        </xdr:cNvPr>
        <xdr:cNvSpPr/>
      </xdr:nvSpPr>
      <xdr:spPr>
        <a:xfrm>
          <a:off x="16916400" y="657226"/>
          <a:ext cx="1727200" cy="939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469900</xdr:colOff>
      <xdr:row>4</xdr:row>
      <xdr:rowOff>123826</xdr:rowOff>
    </xdr:from>
    <xdr:to>
      <xdr:col>24</xdr:col>
      <xdr:colOff>368300</xdr:colOff>
      <xdr:row>9</xdr:row>
      <xdr:rowOff>174626</xdr:rowOff>
    </xdr:to>
    <xdr:sp macro="" textlink="">
      <xdr:nvSpPr>
        <xdr:cNvPr id="10" name="Rectangle: Rounded Corners 9">
          <a:extLst>
            <a:ext uri="{FF2B5EF4-FFF2-40B4-BE49-F238E27FC236}">
              <a16:creationId xmlns:a16="http://schemas.microsoft.com/office/drawing/2014/main" id="{33C25957-E43C-4E1B-A587-933D0DE35729}"/>
            </a:ext>
          </a:extLst>
        </xdr:cNvPr>
        <xdr:cNvSpPr/>
      </xdr:nvSpPr>
      <xdr:spPr>
        <a:xfrm>
          <a:off x="13271500" y="657226"/>
          <a:ext cx="1727200" cy="939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457200</xdr:colOff>
      <xdr:row>4</xdr:row>
      <xdr:rowOff>136526</xdr:rowOff>
    </xdr:from>
    <xdr:to>
      <xdr:col>21</xdr:col>
      <xdr:colOff>406400</xdr:colOff>
      <xdr:row>10</xdr:row>
      <xdr:rowOff>9526</xdr:rowOff>
    </xdr:to>
    <xdr:sp macro="" textlink="">
      <xdr:nvSpPr>
        <xdr:cNvPr id="11" name="Rectangle: Rounded Corners 10">
          <a:extLst>
            <a:ext uri="{FF2B5EF4-FFF2-40B4-BE49-F238E27FC236}">
              <a16:creationId xmlns:a16="http://schemas.microsoft.com/office/drawing/2014/main" id="{C9DF5804-10B7-4370-9633-537AA91D5374}"/>
            </a:ext>
          </a:extLst>
        </xdr:cNvPr>
        <xdr:cNvSpPr/>
      </xdr:nvSpPr>
      <xdr:spPr>
        <a:xfrm>
          <a:off x="11430000" y="669926"/>
          <a:ext cx="1778000" cy="939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495300</xdr:colOff>
      <xdr:row>4</xdr:row>
      <xdr:rowOff>123826</xdr:rowOff>
    </xdr:from>
    <xdr:to>
      <xdr:col>18</xdr:col>
      <xdr:colOff>393700</xdr:colOff>
      <xdr:row>9</xdr:row>
      <xdr:rowOff>174626</xdr:rowOff>
    </xdr:to>
    <xdr:sp macro="" textlink="">
      <xdr:nvSpPr>
        <xdr:cNvPr id="13" name="Rectangle: Rounded Corners 12">
          <a:extLst>
            <a:ext uri="{FF2B5EF4-FFF2-40B4-BE49-F238E27FC236}">
              <a16:creationId xmlns:a16="http://schemas.microsoft.com/office/drawing/2014/main" id="{B661E70D-152E-4462-A10B-DCCB44F9FD02}"/>
            </a:ext>
          </a:extLst>
        </xdr:cNvPr>
        <xdr:cNvSpPr/>
      </xdr:nvSpPr>
      <xdr:spPr>
        <a:xfrm>
          <a:off x="9639300" y="657226"/>
          <a:ext cx="1727200" cy="939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533400</xdr:colOff>
      <xdr:row>4</xdr:row>
      <xdr:rowOff>136526</xdr:rowOff>
    </xdr:from>
    <xdr:to>
      <xdr:col>15</xdr:col>
      <xdr:colOff>431800</xdr:colOff>
      <xdr:row>10</xdr:row>
      <xdr:rowOff>9526</xdr:rowOff>
    </xdr:to>
    <xdr:sp macro="" textlink="">
      <xdr:nvSpPr>
        <xdr:cNvPr id="15" name="Rectangle: Rounded Corners 14">
          <a:extLst>
            <a:ext uri="{FF2B5EF4-FFF2-40B4-BE49-F238E27FC236}">
              <a16:creationId xmlns:a16="http://schemas.microsoft.com/office/drawing/2014/main" id="{5785CBE7-FB22-499A-B139-3A8E4F84164B}"/>
            </a:ext>
          </a:extLst>
        </xdr:cNvPr>
        <xdr:cNvSpPr/>
      </xdr:nvSpPr>
      <xdr:spPr>
        <a:xfrm>
          <a:off x="7848600" y="669926"/>
          <a:ext cx="1727200" cy="9398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444500</xdr:colOff>
      <xdr:row>4</xdr:row>
      <xdr:rowOff>123826</xdr:rowOff>
    </xdr:from>
    <xdr:to>
      <xdr:col>27</xdr:col>
      <xdr:colOff>406400</xdr:colOff>
      <xdr:row>10</xdr:row>
      <xdr:rowOff>0</xdr:rowOff>
    </xdr:to>
    <xdr:sp macro="" textlink="">
      <xdr:nvSpPr>
        <xdr:cNvPr id="16" name="Rectangle: Rounded Corners 15">
          <a:extLst>
            <a:ext uri="{FF2B5EF4-FFF2-40B4-BE49-F238E27FC236}">
              <a16:creationId xmlns:a16="http://schemas.microsoft.com/office/drawing/2014/main" id="{7BDE9C53-511C-4D01-BF26-225647B0F75E}"/>
            </a:ext>
          </a:extLst>
        </xdr:cNvPr>
        <xdr:cNvSpPr/>
      </xdr:nvSpPr>
      <xdr:spPr>
        <a:xfrm>
          <a:off x="15074900" y="657226"/>
          <a:ext cx="1790700" cy="942974"/>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6</xdr:row>
      <xdr:rowOff>114300</xdr:rowOff>
    </xdr:from>
    <xdr:to>
      <xdr:col>9</xdr:col>
      <xdr:colOff>266700</xdr:colOff>
      <xdr:row>9</xdr:row>
      <xdr:rowOff>50800</xdr:rowOff>
    </xdr:to>
    <xdr:sp macro="" textlink="Analysis!B6">
      <xdr:nvSpPr>
        <xdr:cNvPr id="17" name="TextBox 16">
          <a:extLst>
            <a:ext uri="{FF2B5EF4-FFF2-40B4-BE49-F238E27FC236}">
              <a16:creationId xmlns:a16="http://schemas.microsoft.com/office/drawing/2014/main" id="{DB074781-664E-1865-7EB7-A52CBDFA9369}"/>
            </a:ext>
          </a:extLst>
        </xdr:cNvPr>
        <xdr:cNvSpPr txBox="1"/>
      </xdr:nvSpPr>
      <xdr:spPr>
        <a:xfrm>
          <a:off x="4343400" y="1003300"/>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7B5692-050B-45B3-8CEA-8731DF0878E0}"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292</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6</xdr:col>
      <xdr:colOff>584200</xdr:colOff>
      <xdr:row>4</xdr:row>
      <xdr:rowOff>165100</xdr:rowOff>
    </xdr:from>
    <xdr:to>
      <xdr:col>9</xdr:col>
      <xdr:colOff>431800</xdr:colOff>
      <xdr:row>6</xdr:row>
      <xdr:rowOff>88900</xdr:rowOff>
    </xdr:to>
    <xdr:sp macro="" textlink="">
      <xdr:nvSpPr>
        <xdr:cNvPr id="18" name="TextBox 17">
          <a:extLst>
            <a:ext uri="{FF2B5EF4-FFF2-40B4-BE49-F238E27FC236}">
              <a16:creationId xmlns:a16="http://schemas.microsoft.com/office/drawing/2014/main" id="{C2FF8092-A42B-F740-4446-7CBB137D4528}"/>
            </a:ext>
          </a:extLst>
        </xdr:cNvPr>
        <xdr:cNvSpPr txBox="1"/>
      </xdr:nvSpPr>
      <xdr:spPr>
        <a:xfrm>
          <a:off x="4241800" y="698500"/>
          <a:ext cx="1676400" cy="279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Reorder Alert items</a:t>
          </a:r>
        </a:p>
      </xdr:txBody>
    </xdr:sp>
    <xdr:clientData/>
  </xdr:twoCellAnchor>
  <xdr:twoCellAnchor>
    <xdr:from>
      <xdr:col>10</xdr:col>
      <xdr:colOff>152400</xdr:colOff>
      <xdr:row>6</xdr:row>
      <xdr:rowOff>123826</xdr:rowOff>
    </xdr:from>
    <xdr:to>
      <xdr:col>12</xdr:col>
      <xdr:colOff>342900</xdr:colOff>
      <xdr:row>9</xdr:row>
      <xdr:rowOff>60326</xdr:rowOff>
    </xdr:to>
    <xdr:sp macro="" textlink="Analysis!C6">
      <xdr:nvSpPr>
        <xdr:cNvPr id="24" name="TextBox 23">
          <a:extLst>
            <a:ext uri="{FF2B5EF4-FFF2-40B4-BE49-F238E27FC236}">
              <a16:creationId xmlns:a16="http://schemas.microsoft.com/office/drawing/2014/main" id="{4473E365-5B10-4B6A-9F2D-6F5D6F5E9A6F}"/>
            </a:ext>
          </a:extLst>
        </xdr:cNvPr>
        <xdr:cNvSpPr txBox="1"/>
      </xdr:nvSpPr>
      <xdr:spPr>
        <a:xfrm>
          <a:off x="6248400" y="10128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99BE68-53F1-4A19-AE84-B230D0AEBD03}"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30</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10</xdr:col>
      <xdr:colOff>193322</xdr:colOff>
      <xdr:row>5</xdr:row>
      <xdr:rowOff>9526</xdr:rowOff>
    </xdr:from>
    <xdr:to>
      <xdr:col>12</xdr:col>
      <xdr:colOff>358422</xdr:colOff>
      <xdr:row>6</xdr:row>
      <xdr:rowOff>127000</xdr:rowOff>
    </xdr:to>
    <xdr:sp macro="" textlink="">
      <xdr:nvSpPr>
        <xdr:cNvPr id="25" name="TextBox 24">
          <a:extLst>
            <a:ext uri="{FF2B5EF4-FFF2-40B4-BE49-F238E27FC236}">
              <a16:creationId xmlns:a16="http://schemas.microsoft.com/office/drawing/2014/main" id="{218887B4-728A-401D-9854-2BBC8C37997D}"/>
            </a:ext>
          </a:extLst>
        </xdr:cNvPr>
        <xdr:cNvSpPr txBox="1"/>
      </xdr:nvSpPr>
      <xdr:spPr>
        <a:xfrm>
          <a:off x="6289322" y="720726"/>
          <a:ext cx="1384300" cy="295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Shelf-Life Risk </a:t>
          </a:r>
        </a:p>
      </xdr:txBody>
    </xdr:sp>
    <xdr:clientData/>
  </xdr:twoCellAnchor>
  <xdr:twoCellAnchor>
    <xdr:from>
      <xdr:col>13</xdr:col>
      <xdr:colOff>12700</xdr:colOff>
      <xdr:row>6</xdr:row>
      <xdr:rowOff>149226</xdr:rowOff>
    </xdr:from>
    <xdr:to>
      <xdr:col>15</xdr:col>
      <xdr:colOff>368300</xdr:colOff>
      <xdr:row>9</xdr:row>
      <xdr:rowOff>38100</xdr:rowOff>
    </xdr:to>
    <xdr:sp macro="" textlink="Analysis!D6">
      <xdr:nvSpPr>
        <xdr:cNvPr id="28" name="TextBox 27">
          <a:extLst>
            <a:ext uri="{FF2B5EF4-FFF2-40B4-BE49-F238E27FC236}">
              <a16:creationId xmlns:a16="http://schemas.microsoft.com/office/drawing/2014/main" id="{42884D0A-A034-4599-80EC-FC58CDBC5043}"/>
            </a:ext>
          </a:extLst>
        </xdr:cNvPr>
        <xdr:cNvSpPr txBox="1"/>
      </xdr:nvSpPr>
      <xdr:spPr>
        <a:xfrm>
          <a:off x="7937500" y="1038226"/>
          <a:ext cx="1574800" cy="4222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0EC073-F936-48CF-AAD7-FA1AC9CA25C8}" type="TxLink">
            <a:rPr lang="en-US" sz="1800" b="1" i="1" u="none" strike="noStrike">
              <a:solidFill>
                <a:srgbClr val="000000"/>
              </a:solidFill>
              <a:latin typeface="Segoe UI Semibold" panose="020B0702040204020203" pitchFamily="34" charset="0"/>
              <a:ea typeface="Calibri"/>
              <a:cs typeface="Segoe UI Semibold" panose="020B0702040204020203" pitchFamily="34" charset="0"/>
            </a:rPr>
            <a:pPr algn="ctr"/>
            <a:t>$332,654.71 </a:t>
          </a:fld>
          <a:endParaRPr lang="en-IN" sz="1800" b="1" i="1">
            <a:latin typeface="Segoe UI Semibold" panose="020B0702040204020203" pitchFamily="34" charset="0"/>
            <a:cs typeface="Segoe UI Semibold" panose="020B0702040204020203" pitchFamily="34" charset="0"/>
          </a:endParaRPr>
        </a:p>
      </xdr:txBody>
    </xdr:sp>
    <xdr:clientData/>
  </xdr:twoCellAnchor>
  <xdr:twoCellAnchor>
    <xdr:from>
      <xdr:col>13</xdr:col>
      <xdr:colOff>94544</xdr:colOff>
      <xdr:row>5</xdr:row>
      <xdr:rowOff>0</xdr:rowOff>
    </xdr:from>
    <xdr:to>
      <xdr:col>15</xdr:col>
      <xdr:colOff>348544</xdr:colOff>
      <xdr:row>6</xdr:row>
      <xdr:rowOff>76200</xdr:rowOff>
    </xdr:to>
    <xdr:sp macro="" textlink="">
      <xdr:nvSpPr>
        <xdr:cNvPr id="29" name="TextBox 28">
          <a:extLst>
            <a:ext uri="{FF2B5EF4-FFF2-40B4-BE49-F238E27FC236}">
              <a16:creationId xmlns:a16="http://schemas.microsoft.com/office/drawing/2014/main" id="{5AC18CA8-989C-4DD4-BA9B-C5C76287E984}"/>
            </a:ext>
          </a:extLst>
        </xdr:cNvPr>
        <xdr:cNvSpPr txBox="1"/>
      </xdr:nvSpPr>
      <xdr:spPr>
        <a:xfrm>
          <a:off x="8019344" y="711200"/>
          <a:ext cx="14732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Total Stock Value</a:t>
          </a:r>
        </a:p>
      </xdr:txBody>
    </xdr:sp>
    <xdr:clientData/>
  </xdr:twoCellAnchor>
  <xdr:twoCellAnchor>
    <xdr:from>
      <xdr:col>16</xdr:col>
      <xdr:colOff>101600</xdr:colOff>
      <xdr:row>6</xdr:row>
      <xdr:rowOff>111126</xdr:rowOff>
    </xdr:from>
    <xdr:to>
      <xdr:col>18</xdr:col>
      <xdr:colOff>292100</xdr:colOff>
      <xdr:row>9</xdr:row>
      <xdr:rowOff>47626</xdr:rowOff>
    </xdr:to>
    <xdr:sp macro="" textlink="Analysis!E6">
      <xdr:nvSpPr>
        <xdr:cNvPr id="32" name="TextBox 31">
          <a:extLst>
            <a:ext uri="{FF2B5EF4-FFF2-40B4-BE49-F238E27FC236}">
              <a16:creationId xmlns:a16="http://schemas.microsoft.com/office/drawing/2014/main" id="{947A073E-5BCD-42C5-9459-2D9801641029}"/>
            </a:ext>
          </a:extLst>
        </xdr:cNvPr>
        <xdr:cNvSpPr txBox="1"/>
      </xdr:nvSpPr>
      <xdr:spPr>
        <a:xfrm>
          <a:off x="9855200" y="10001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D92C55-506A-4143-87AA-AF7685C6B237}"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10</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16</xdr:col>
      <xdr:colOff>59266</xdr:colOff>
      <xdr:row>4</xdr:row>
      <xdr:rowOff>174626</xdr:rowOff>
    </xdr:from>
    <xdr:to>
      <xdr:col>18</xdr:col>
      <xdr:colOff>338666</xdr:colOff>
      <xdr:row>6</xdr:row>
      <xdr:rowOff>152400</xdr:rowOff>
    </xdr:to>
    <xdr:sp macro="" textlink="">
      <xdr:nvSpPr>
        <xdr:cNvPr id="33" name="TextBox 32">
          <a:extLst>
            <a:ext uri="{FF2B5EF4-FFF2-40B4-BE49-F238E27FC236}">
              <a16:creationId xmlns:a16="http://schemas.microsoft.com/office/drawing/2014/main" id="{364273B6-74B0-4D25-9675-17DC6CDC9B94}"/>
            </a:ext>
          </a:extLst>
        </xdr:cNvPr>
        <xdr:cNvSpPr txBox="1"/>
      </xdr:nvSpPr>
      <xdr:spPr>
        <a:xfrm>
          <a:off x="9812866" y="708026"/>
          <a:ext cx="1498600"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Slow-Selling Items</a:t>
          </a:r>
        </a:p>
      </xdr:txBody>
    </xdr:sp>
    <xdr:clientData/>
  </xdr:twoCellAnchor>
  <xdr:twoCellAnchor>
    <xdr:from>
      <xdr:col>19</xdr:col>
      <xdr:colOff>63500</xdr:colOff>
      <xdr:row>6</xdr:row>
      <xdr:rowOff>123826</xdr:rowOff>
    </xdr:from>
    <xdr:to>
      <xdr:col>21</xdr:col>
      <xdr:colOff>254000</xdr:colOff>
      <xdr:row>9</xdr:row>
      <xdr:rowOff>60326</xdr:rowOff>
    </xdr:to>
    <xdr:sp macro="" textlink="Analysis!F6">
      <xdr:nvSpPr>
        <xdr:cNvPr id="36" name="TextBox 35">
          <a:extLst>
            <a:ext uri="{FF2B5EF4-FFF2-40B4-BE49-F238E27FC236}">
              <a16:creationId xmlns:a16="http://schemas.microsoft.com/office/drawing/2014/main" id="{9CEFCA12-F683-4BE0-ABA0-D6774072500A}"/>
            </a:ext>
          </a:extLst>
        </xdr:cNvPr>
        <xdr:cNvSpPr txBox="1"/>
      </xdr:nvSpPr>
      <xdr:spPr>
        <a:xfrm>
          <a:off x="11645900" y="10128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6826EC3-A01B-44AD-86B5-270CCC1CA856}" type="TxLink">
            <a:rPr lang="en-US" sz="1800" b="1" i="1" u="none" strike="noStrike">
              <a:solidFill>
                <a:srgbClr val="000000"/>
              </a:solidFill>
              <a:latin typeface="Segoe UI Semibold" panose="020B0702040204020203" pitchFamily="34" charset="0"/>
              <a:ea typeface="Calibri"/>
              <a:cs typeface="Segoe UI Semibold" panose="020B0702040204020203" pitchFamily="34" charset="0"/>
            </a:rPr>
            <a:pPr algn="l"/>
            <a:t>$88,948.79</a:t>
          </a:fld>
          <a:endParaRPr lang="en-IN" sz="1800" b="1" i="1">
            <a:latin typeface="Segoe UI Semibold" panose="020B0702040204020203" pitchFamily="34" charset="0"/>
            <a:cs typeface="Segoe UI Semibold" panose="020B0702040204020203" pitchFamily="34" charset="0"/>
          </a:endParaRPr>
        </a:p>
      </xdr:txBody>
    </xdr:sp>
    <xdr:clientData/>
  </xdr:twoCellAnchor>
  <xdr:twoCellAnchor>
    <xdr:from>
      <xdr:col>19</xdr:col>
      <xdr:colOff>36688</xdr:colOff>
      <xdr:row>5</xdr:row>
      <xdr:rowOff>9526</xdr:rowOff>
    </xdr:from>
    <xdr:to>
      <xdr:col>21</xdr:col>
      <xdr:colOff>189088</xdr:colOff>
      <xdr:row>6</xdr:row>
      <xdr:rowOff>165100</xdr:rowOff>
    </xdr:to>
    <xdr:sp macro="" textlink="">
      <xdr:nvSpPr>
        <xdr:cNvPr id="37" name="TextBox 36">
          <a:extLst>
            <a:ext uri="{FF2B5EF4-FFF2-40B4-BE49-F238E27FC236}">
              <a16:creationId xmlns:a16="http://schemas.microsoft.com/office/drawing/2014/main" id="{C7A87002-D6A0-4C23-9694-6B600BE798FC}"/>
            </a:ext>
          </a:extLst>
        </xdr:cNvPr>
        <xdr:cNvSpPr txBox="1"/>
      </xdr:nvSpPr>
      <xdr:spPr>
        <a:xfrm>
          <a:off x="11619088" y="720726"/>
          <a:ext cx="1371600"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Reorder Value</a:t>
          </a:r>
        </a:p>
      </xdr:txBody>
    </xdr:sp>
    <xdr:clientData/>
  </xdr:twoCellAnchor>
  <xdr:twoCellAnchor>
    <xdr:from>
      <xdr:col>21</xdr:col>
      <xdr:colOff>571500</xdr:colOff>
      <xdr:row>6</xdr:row>
      <xdr:rowOff>111126</xdr:rowOff>
    </xdr:from>
    <xdr:to>
      <xdr:col>24</xdr:col>
      <xdr:colOff>152400</xdr:colOff>
      <xdr:row>9</xdr:row>
      <xdr:rowOff>47626</xdr:rowOff>
    </xdr:to>
    <xdr:sp macro="" textlink="Analysis!G6">
      <xdr:nvSpPr>
        <xdr:cNvPr id="38" name="TextBox 37">
          <a:extLst>
            <a:ext uri="{FF2B5EF4-FFF2-40B4-BE49-F238E27FC236}">
              <a16:creationId xmlns:a16="http://schemas.microsoft.com/office/drawing/2014/main" id="{F1F935C5-BF42-4E4D-B05E-C35B0E713743}"/>
            </a:ext>
          </a:extLst>
        </xdr:cNvPr>
        <xdr:cNvSpPr txBox="1"/>
      </xdr:nvSpPr>
      <xdr:spPr>
        <a:xfrm>
          <a:off x="13373100" y="10001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4A08E1-65F3-49B5-9574-BF3FA9EA0498}"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432</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22</xdr:col>
      <xdr:colOff>26810</xdr:colOff>
      <xdr:row>5</xdr:row>
      <xdr:rowOff>34926</xdr:rowOff>
    </xdr:from>
    <xdr:to>
      <xdr:col>24</xdr:col>
      <xdr:colOff>255410</xdr:colOff>
      <xdr:row>6</xdr:row>
      <xdr:rowOff>101600</xdr:rowOff>
    </xdr:to>
    <xdr:sp macro="" textlink="">
      <xdr:nvSpPr>
        <xdr:cNvPr id="39" name="TextBox 38">
          <a:extLst>
            <a:ext uri="{FF2B5EF4-FFF2-40B4-BE49-F238E27FC236}">
              <a16:creationId xmlns:a16="http://schemas.microsoft.com/office/drawing/2014/main" id="{01730F9A-8A66-4275-909C-E6FBD6CEFCDF}"/>
            </a:ext>
          </a:extLst>
        </xdr:cNvPr>
        <xdr:cNvSpPr txBox="1"/>
      </xdr:nvSpPr>
      <xdr:spPr>
        <a:xfrm>
          <a:off x="13438010" y="746126"/>
          <a:ext cx="1447800" cy="244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Expired Items </a:t>
          </a:r>
        </a:p>
      </xdr:txBody>
    </xdr:sp>
    <xdr:clientData/>
  </xdr:twoCellAnchor>
  <xdr:twoCellAnchor>
    <xdr:from>
      <xdr:col>25</xdr:col>
      <xdr:colOff>76200</xdr:colOff>
      <xdr:row>6</xdr:row>
      <xdr:rowOff>111126</xdr:rowOff>
    </xdr:from>
    <xdr:to>
      <xdr:col>27</xdr:col>
      <xdr:colOff>266700</xdr:colOff>
      <xdr:row>9</xdr:row>
      <xdr:rowOff>47626</xdr:rowOff>
    </xdr:to>
    <xdr:sp macro="" textlink="Analysis!H6">
      <xdr:nvSpPr>
        <xdr:cNvPr id="40" name="TextBox 39">
          <a:extLst>
            <a:ext uri="{FF2B5EF4-FFF2-40B4-BE49-F238E27FC236}">
              <a16:creationId xmlns:a16="http://schemas.microsoft.com/office/drawing/2014/main" id="{8EEE76E9-2C87-4011-9933-0FB8A3A9760A}"/>
            </a:ext>
          </a:extLst>
        </xdr:cNvPr>
        <xdr:cNvSpPr txBox="1"/>
      </xdr:nvSpPr>
      <xdr:spPr>
        <a:xfrm>
          <a:off x="15316200" y="10001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081867-D64C-427D-B950-828338739AF6}"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50.2</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24</xdr:col>
      <xdr:colOff>499532</xdr:colOff>
      <xdr:row>4</xdr:row>
      <xdr:rowOff>174626</xdr:rowOff>
    </xdr:from>
    <xdr:to>
      <xdr:col>27</xdr:col>
      <xdr:colOff>296332</xdr:colOff>
      <xdr:row>6</xdr:row>
      <xdr:rowOff>38100</xdr:rowOff>
    </xdr:to>
    <xdr:sp macro="" textlink="">
      <xdr:nvSpPr>
        <xdr:cNvPr id="41" name="TextBox 40">
          <a:extLst>
            <a:ext uri="{FF2B5EF4-FFF2-40B4-BE49-F238E27FC236}">
              <a16:creationId xmlns:a16="http://schemas.microsoft.com/office/drawing/2014/main" id="{484E9352-E69C-4129-A947-38599DB1E91A}"/>
            </a:ext>
          </a:extLst>
        </xdr:cNvPr>
        <xdr:cNvSpPr txBox="1"/>
      </xdr:nvSpPr>
      <xdr:spPr>
        <a:xfrm>
          <a:off x="15129932" y="708026"/>
          <a:ext cx="1625600" cy="219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Segoe UI Semibold" panose="020B0702040204020203" pitchFamily="34" charset="0"/>
              <a:cs typeface="Segoe UI Semibold" panose="020B0702040204020203" pitchFamily="34" charset="0"/>
            </a:rPr>
            <a:t>Stock Turnover Rate</a:t>
          </a:r>
        </a:p>
      </xdr:txBody>
    </xdr:sp>
    <xdr:clientData/>
  </xdr:twoCellAnchor>
  <xdr:twoCellAnchor>
    <xdr:from>
      <xdr:col>28</xdr:col>
      <xdr:colOff>63500</xdr:colOff>
      <xdr:row>6</xdr:row>
      <xdr:rowOff>111126</xdr:rowOff>
    </xdr:from>
    <xdr:to>
      <xdr:col>30</xdr:col>
      <xdr:colOff>254000</xdr:colOff>
      <xdr:row>9</xdr:row>
      <xdr:rowOff>47626</xdr:rowOff>
    </xdr:to>
    <xdr:sp macro="" textlink="Analysis!I6">
      <xdr:nvSpPr>
        <xdr:cNvPr id="42" name="TextBox 41">
          <a:extLst>
            <a:ext uri="{FF2B5EF4-FFF2-40B4-BE49-F238E27FC236}">
              <a16:creationId xmlns:a16="http://schemas.microsoft.com/office/drawing/2014/main" id="{3C69BC6E-ED4A-49C8-87CD-7BFC35239077}"/>
            </a:ext>
          </a:extLst>
        </xdr:cNvPr>
        <xdr:cNvSpPr txBox="1"/>
      </xdr:nvSpPr>
      <xdr:spPr>
        <a:xfrm>
          <a:off x="17132300" y="10001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E0DF40-BDE7-49C6-854F-093F1C78C381}"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0.9</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27</xdr:col>
      <xdr:colOff>502354</xdr:colOff>
      <xdr:row>4</xdr:row>
      <xdr:rowOff>161926</xdr:rowOff>
    </xdr:from>
    <xdr:to>
      <xdr:col>30</xdr:col>
      <xdr:colOff>311854</xdr:colOff>
      <xdr:row>6</xdr:row>
      <xdr:rowOff>114300</xdr:rowOff>
    </xdr:to>
    <xdr:sp macro="" textlink="">
      <xdr:nvSpPr>
        <xdr:cNvPr id="43" name="TextBox 42">
          <a:extLst>
            <a:ext uri="{FF2B5EF4-FFF2-40B4-BE49-F238E27FC236}">
              <a16:creationId xmlns:a16="http://schemas.microsoft.com/office/drawing/2014/main" id="{5A3AEE5C-A660-4306-859A-1E2507F19272}"/>
            </a:ext>
          </a:extLst>
        </xdr:cNvPr>
        <xdr:cNvSpPr txBox="1"/>
      </xdr:nvSpPr>
      <xdr:spPr>
        <a:xfrm>
          <a:off x="16961554" y="695326"/>
          <a:ext cx="1638300" cy="307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Stock Coverage Days</a:t>
          </a:r>
        </a:p>
      </xdr:txBody>
    </xdr:sp>
    <xdr:clientData/>
  </xdr:twoCellAnchor>
  <xdr:twoCellAnchor>
    <xdr:from>
      <xdr:col>31</xdr:col>
      <xdr:colOff>25400</xdr:colOff>
      <xdr:row>6</xdr:row>
      <xdr:rowOff>98426</xdr:rowOff>
    </xdr:from>
    <xdr:to>
      <xdr:col>33</xdr:col>
      <xdr:colOff>215900</xdr:colOff>
      <xdr:row>9</xdr:row>
      <xdr:rowOff>34926</xdr:rowOff>
    </xdr:to>
    <xdr:sp macro="" textlink="Analysis!J6">
      <xdr:nvSpPr>
        <xdr:cNvPr id="44" name="TextBox 43">
          <a:extLst>
            <a:ext uri="{FF2B5EF4-FFF2-40B4-BE49-F238E27FC236}">
              <a16:creationId xmlns:a16="http://schemas.microsoft.com/office/drawing/2014/main" id="{DFDEAC1F-A67B-43AE-8159-926C7815164F}"/>
            </a:ext>
          </a:extLst>
        </xdr:cNvPr>
        <xdr:cNvSpPr txBox="1"/>
      </xdr:nvSpPr>
      <xdr:spPr>
        <a:xfrm>
          <a:off x="18923000" y="9874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39F9BC-32A2-49F0-864E-22BEFCA90F24}"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16</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30</xdr:col>
      <xdr:colOff>467076</xdr:colOff>
      <xdr:row>4</xdr:row>
      <xdr:rowOff>174626</xdr:rowOff>
    </xdr:from>
    <xdr:to>
      <xdr:col>33</xdr:col>
      <xdr:colOff>492476</xdr:colOff>
      <xdr:row>6</xdr:row>
      <xdr:rowOff>63500</xdr:rowOff>
    </xdr:to>
    <xdr:sp macro="" textlink="">
      <xdr:nvSpPr>
        <xdr:cNvPr id="45" name="TextBox 44">
          <a:extLst>
            <a:ext uri="{FF2B5EF4-FFF2-40B4-BE49-F238E27FC236}">
              <a16:creationId xmlns:a16="http://schemas.microsoft.com/office/drawing/2014/main" id="{4708CC1D-8627-4148-A088-1A817B5809CD}"/>
            </a:ext>
          </a:extLst>
        </xdr:cNvPr>
        <xdr:cNvSpPr txBox="1"/>
      </xdr:nvSpPr>
      <xdr:spPr>
        <a:xfrm>
          <a:off x="18755076" y="708026"/>
          <a:ext cx="1854200" cy="2444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High-Value Items Count</a:t>
          </a:r>
        </a:p>
      </xdr:txBody>
    </xdr:sp>
    <xdr:clientData/>
  </xdr:twoCellAnchor>
  <xdr:twoCellAnchor>
    <xdr:from>
      <xdr:col>34</xdr:col>
      <xdr:colOff>50800</xdr:colOff>
      <xdr:row>6</xdr:row>
      <xdr:rowOff>73026</xdr:rowOff>
    </xdr:from>
    <xdr:to>
      <xdr:col>36</xdr:col>
      <xdr:colOff>241300</xdr:colOff>
      <xdr:row>9</xdr:row>
      <xdr:rowOff>9526</xdr:rowOff>
    </xdr:to>
    <xdr:sp macro="" textlink="Analysis!K6">
      <xdr:nvSpPr>
        <xdr:cNvPr id="48" name="TextBox 47">
          <a:extLst>
            <a:ext uri="{FF2B5EF4-FFF2-40B4-BE49-F238E27FC236}">
              <a16:creationId xmlns:a16="http://schemas.microsoft.com/office/drawing/2014/main" id="{D5BB279E-5595-442A-AAA0-2C76F184A9ED}"/>
            </a:ext>
          </a:extLst>
        </xdr:cNvPr>
        <xdr:cNvSpPr txBox="1"/>
      </xdr:nvSpPr>
      <xdr:spPr>
        <a:xfrm>
          <a:off x="20777200" y="962026"/>
          <a:ext cx="1409700" cy="469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C61995-EDB2-4C8D-888B-FD69EEDD0BC4}" type="TxLink">
            <a:rPr lang="en-US" sz="2800" b="1" i="1" u="none" strike="noStrike">
              <a:solidFill>
                <a:srgbClr val="000000"/>
              </a:solidFill>
              <a:latin typeface="Segoe UI Semibold" panose="020B0702040204020203" pitchFamily="34" charset="0"/>
              <a:ea typeface="Calibri"/>
              <a:cs typeface="Segoe UI Semibold" panose="020B0702040204020203" pitchFamily="34" charset="0"/>
            </a:rPr>
            <a:pPr algn="ctr"/>
            <a:t>2.8</a:t>
          </a:fld>
          <a:endParaRPr lang="en-IN" sz="2800" b="1" i="1">
            <a:latin typeface="Segoe UI Semibold" panose="020B0702040204020203" pitchFamily="34" charset="0"/>
            <a:cs typeface="Segoe UI Semibold" panose="020B0702040204020203" pitchFamily="34" charset="0"/>
          </a:endParaRPr>
        </a:p>
      </xdr:txBody>
    </xdr:sp>
    <xdr:clientData/>
  </xdr:twoCellAnchor>
  <xdr:twoCellAnchor>
    <xdr:from>
      <xdr:col>34</xdr:col>
      <xdr:colOff>127000</xdr:colOff>
      <xdr:row>4</xdr:row>
      <xdr:rowOff>161926</xdr:rowOff>
    </xdr:from>
    <xdr:to>
      <xdr:col>36</xdr:col>
      <xdr:colOff>419100</xdr:colOff>
      <xdr:row>6</xdr:row>
      <xdr:rowOff>139700</xdr:rowOff>
    </xdr:to>
    <xdr:sp macro="" textlink="">
      <xdr:nvSpPr>
        <xdr:cNvPr id="49" name="TextBox 48">
          <a:extLst>
            <a:ext uri="{FF2B5EF4-FFF2-40B4-BE49-F238E27FC236}">
              <a16:creationId xmlns:a16="http://schemas.microsoft.com/office/drawing/2014/main" id="{F58D726B-B4E0-4FB0-977D-C63BE717C5F9}"/>
            </a:ext>
          </a:extLst>
        </xdr:cNvPr>
        <xdr:cNvSpPr txBox="1"/>
      </xdr:nvSpPr>
      <xdr:spPr>
        <a:xfrm>
          <a:off x="20853400" y="695326"/>
          <a:ext cx="1511300"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Semibold" panose="020B0702040204020203" pitchFamily="34" charset="0"/>
              <a:cs typeface="Segoe UI Semibold" panose="020B0702040204020203" pitchFamily="34" charset="0"/>
            </a:rPr>
            <a:t>Reorder Frequency</a:t>
          </a:r>
        </a:p>
      </xdr:txBody>
    </xdr:sp>
    <xdr:clientData/>
  </xdr:twoCellAnchor>
  <xdr:twoCellAnchor>
    <xdr:from>
      <xdr:col>6</xdr:col>
      <xdr:colOff>495300</xdr:colOff>
      <xdr:row>10</xdr:row>
      <xdr:rowOff>123826</xdr:rowOff>
    </xdr:from>
    <xdr:to>
      <xdr:col>14</xdr:col>
      <xdr:colOff>114300</xdr:colOff>
      <xdr:row>28</xdr:row>
      <xdr:rowOff>38100</xdr:rowOff>
    </xdr:to>
    <xdr:sp macro="" textlink="">
      <xdr:nvSpPr>
        <xdr:cNvPr id="52" name="Rectangle 51">
          <a:extLst>
            <a:ext uri="{FF2B5EF4-FFF2-40B4-BE49-F238E27FC236}">
              <a16:creationId xmlns:a16="http://schemas.microsoft.com/office/drawing/2014/main" id="{D88D90DF-1788-4412-8729-903A5F361FD2}"/>
            </a:ext>
          </a:extLst>
        </xdr:cNvPr>
        <xdr:cNvSpPr/>
      </xdr:nvSpPr>
      <xdr:spPr>
        <a:xfrm>
          <a:off x="4152900" y="1724026"/>
          <a:ext cx="4495800" cy="311467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12</xdr:row>
      <xdr:rowOff>152400</xdr:rowOff>
    </xdr:from>
    <xdr:to>
      <xdr:col>14</xdr:col>
      <xdr:colOff>104632</xdr:colOff>
      <xdr:row>28</xdr:row>
      <xdr:rowOff>25400</xdr:rowOff>
    </xdr:to>
    <xdr:graphicFrame macro="">
      <xdr:nvGraphicFramePr>
        <xdr:cNvPr id="51" name="Chart 50">
          <a:extLst>
            <a:ext uri="{FF2B5EF4-FFF2-40B4-BE49-F238E27FC236}">
              <a16:creationId xmlns:a16="http://schemas.microsoft.com/office/drawing/2014/main" id="{48E8A537-5914-4857-B632-24521755D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508000</xdr:colOff>
      <xdr:row>10</xdr:row>
      <xdr:rowOff>127000</xdr:rowOff>
    </xdr:from>
    <xdr:to>
      <xdr:col>10</xdr:col>
      <xdr:colOff>593049</xdr:colOff>
      <xdr:row>13</xdr:row>
      <xdr:rowOff>0</xdr:rowOff>
    </xdr:to>
    <xdr:sp macro="" textlink="">
      <xdr:nvSpPr>
        <xdr:cNvPr id="53" name="TextBox 52">
          <a:extLst>
            <a:ext uri="{FF2B5EF4-FFF2-40B4-BE49-F238E27FC236}">
              <a16:creationId xmlns:a16="http://schemas.microsoft.com/office/drawing/2014/main" id="{BB5CAD18-8A3D-E5BA-24CA-1BDE59B86B84}"/>
            </a:ext>
          </a:extLst>
        </xdr:cNvPr>
        <xdr:cNvSpPr txBox="1"/>
      </xdr:nvSpPr>
      <xdr:spPr>
        <a:xfrm>
          <a:off x="4165600" y="1727200"/>
          <a:ext cx="2523449" cy="40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Stock by Category</a:t>
          </a:r>
        </a:p>
      </xdr:txBody>
    </xdr:sp>
    <xdr:clientData/>
  </xdr:twoCellAnchor>
  <xdr:twoCellAnchor>
    <xdr:from>
      <xdr:col>14</xdr:col>
      <xdr:colOff>177800</xdr:colOff>
      <xdr:row>10</xdr:row>
      <xdr:rowOff>111126</xdr:rowOff>
    </xdr:from>
    <xdr:to>
      <xdr:col>21</xdr:col>
      <xdr:colOff>202478</xdr:colOff>
      <xdr:row>28</xdr:row>
      <xdr:rowOff>25400</xdr:rowOff>
    </xdr:to>
    <xdr:sp macro="" textlink="">
      <xdr:nvSpPr>
        <xdr:cNvPr id="56" name="Rectangle 55">
          <a:extLst>
            <a:ext uri="{FF2B5EF4-FFF2-40B4-BE49-F238E27FC236}">
              <a16:creationId xmlns:a16="http://schemas.microsoft.com/office/drawing/2014/main" id="{822915F0-BE48-4CDE-95CF-B2AC0DEBD8BB}"/>
            </a:ext>
          </a:extLst>
        </xdr:cNvPr>
        <xdr:cNvSpPr/>
      </xdr:nvSpPr>
      <xdr:spPr>
        <a:xfrm>
          <a:off x="8712200" y="1711326"/>
          <a:ext cx="4291878" cy="311467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241301</xdr:colOff>
      <xdr:row>12</xdr:row>
      <xdr:rowOff>139700</xdr:rowOff>
    </xdr:from>
    <xdr:to>
      <xdr:col>21</xdr:col>
      <xdr:colOff>165101</xdr:colOff>
      <xdr:row>27</xdr:row>
      <xdr:rowOff>159386</xdr:rowOff>
    </xdr:to>
    <xdr:graphicFrame macro="">
      <xdr:nvGraphicFramePr>
        <xdr:cNvPr id="54" name="Chart 53">
          <a:extLst>
            <a:ext uri="{FF2B5EF4-FFF2-40B4-BE49-F238E27FC236}">
              <a16:creationId xmlns:a16="http://schemas.microsoft.com/office/drawing/2014/main" id="{D64C760F-649F-449A-8574-D6A86BD8F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10</xdr:row>
      <xdr:rowOff>111126</xdr:rowOff>
    </xdr:from>
    <xdr:to>
      <xdr:col>20</xdr:col>
      <xdr:colOff>482600</xdr:colOff>
      <xdr:row>13</xdr:row>
      <xdr:rowOff>50800</xdr:rowOff>
    </xdr:to>
    <xdr:sp macro="" textlink="">
      <xdr:nvSpPr>
        <xdr:cNvPr id="58" name="TextBox 57">
          <a:extLst>
            <a:ext uri="{FF2B5EF4-FFF2-40B4-BE49-F238E27FC236}">
              <a16:creationId xmlns:a16="http://schemas.microsoft.com/office/drawing/2014/main" id="{7231E807-D9BE-4D3D-A8DD-7DAC56E41DBF}"/>
            </a:ext>
          </a:extLst>
        </xdr:cNvPr>
        <xdr:cNvSpPr txBox="1"/>
      </xdr:nvSpPr>
      <xdr:spPr>
        <a:xfrm>
          <a:off x="8763000" y="1711326"/>
          <a:ext cx="3911600" cy="4730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Reorder Alert Count by Category</a:t>
          </a:r>
        </a:p>
        <a:p>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27</xdr:col>
      <xdr:colOff>495300</xdr:colOff>
      <xdr:row>10</xdr:row>
      <xdr:rowOff>127000</xdr:rowOff>
    </xdr:from>
    <xdr:to>
      <xdr:col>37</xdr:col>
      <xdr:colOff>0</xdr:colOff>
      <xdr:row>28</xdr:row>
      <xdr:rowOff>41274</xdr:rowOff>
    </xdr:to>
    <xdr:sp macro="" textlink="">
      <xdr:nvSpPr>
        <xdr:cNvPr id="62" name="Rectangle 61">
          <a:extLst>
            <a:ext uri="{FF2B5EF4-FFF2-40B4-BE49-F238E27FC236}">
              <a16:creationId xmlns:a16="http://schemas.microsoft.com/office/drawing/2014/main" id="{CE5F76AB-75E5-4731-9122-00D3D8B4B60E}"/>
            </a:ext>
          </a:extLst>
        </xdr:cNvPr>
        <xdr:cNvSpPr/>
      </xdr:nvSpPr>
      <xdr:spPr>
        <a:xfrm>
          <a:off x="16954500" y="1727200"/>
          <a:ext cx="5600700" cy="3114674"/>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28</xdr:row>
      <xdr:rowOff>89647</xdr:rowOff>
    </xdr:from>
    <xdr:to>
      <xdr:col>13</xdr:col>
      <xdr:colOff>38100</xdr:colOff>
      <xdr:row>47</xdr:row>
      <xdr:rowOff>56029</xdr:rowOff>
    </xdr:to>
    <xdr:sp macro="" textlink="">
      <xdr:nvSpPr>
        <xdr:cNvPr id="63" name="Rectangle 62">
          <a:extLst>
            <a:ext uri="{FF2B5EF4-FFF2-40B4-BE49-F238E27FC236}">
              <a16:creationId xmlns:a16="http://schemas.microsoft.com/office/drawing/2014/main" id="{A0CB7460-96B3-45D8-A58D-B71F215F3605}"/>
            </a:ext>
          </a:extLst>
        </xdr:cNvPr>
        <xdr:cNvSpPr/>
      </xdr:nvSpPr>
      <xdr:spPr>
        <a:xfrm>
          <a:off x="4126006" y="5109882"/>
          <a:ext cx="3778623" cy="3372971"/>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520700</xdr:colOff>
      <xdr:row>31</xdr:row>
      <xdr:rowOff>12699</xdr:rowOff>
    </xdr:from>
    <xdr:to>
      <xdr:col>13</xdr:col>
      <xdr:colOff>0</xdr:colOff>
      <xdr:row>47</xdr:row>
      <xdr:rowOff>89646</xdr:rowOff>
    </xdr:to>
    <xdr:graphicFrame macro="">
      <xdr:nvGraphicFramePr>
        <xdr:cNvPr id="3072" name="Chart 3071">
          <a:extLst>
            <a:ext uri="{FF2B5EF4-FFF2-40B4-BE49-F238E27FC236}">
              <a16:creationId xmlns:a16="http://schemas.microsoft.com/office/drawing/2014/main" id="{4BF5639B-D5BF-457D-B139-3D7F33E14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495300</xdr:colOff>
      <xdr:row>28</xdr:row>
      <xdr:rowOff>123826</xdr:rowOff>
    </xdr:from>
    <xdr:to>
      <xdr:col>13</xdr:col>
      <xdr:colOff>38100</xdr:colOff>
      <xdr:row>30</xdr:row>
      <xdr:rowOff>101600</xdr:rowOff>
    </xdr:to>
    <xdr:sp macro="" textlink="">
      <xdr:nvSpPr>
        <xdr:cNvPr id="3078" name="TextBox 3077">
          <a:extLst>
            <a:ext uri="{FF2B5EF4-FFF2-40B4-BE49-F238E27FC236}">
              <a16:creationId xmlns:a16="http://schemas.microsoft.com/office/drawing/2014/main" id="{CE302DEA-2D91-4E54-9901-5046BAC15872}"/>
            </a:ext>
          </a:extLst>
        </xdr:cNvPr>
        <xdr:cNvSpPr txBox="1"/>
      </xdr:nvSpPr>
      <xdr:spPr>
        <a:xfrm>
          <a:off x="4152900" y="4924426"/>
          <a:ext cx="3810000"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Stock Distribution by Category</a:t>
          </a:r>
        </a:p>
      </xdr:txBody>
    </xdr:sp>
    <xdr:clientData/>
  </xdr:twoCellAnchor>
  <xdr:twoCellAnchor>
    <xdr:from>
      <xdr:col>28</xdr:col>
      <xdr:colOff>9122</xdr:colOff>
      <xdr:row>12</xdr:row>
      <xdr:rowOff>139700</xdr:rowOff>
    </xdr:from>
    <xdr:to>
      <xdr:col>36</xdr:col>
      <xdr:colOff>593912</xdr:colOff>
      <xdr:row>28</xdr:row>
      <xdr:rowOff>38100</xdr:rowOff>
    </xdr:to>
    <xdr:graphicFrame macro="">
      <xdr:nvGraphicFramePr>
        <xdr:cNvPr id="12" name="Chart 11">
          <a:extLst>
            <a:ext uri="{FF2B5EF4-FFF2-40B4-BE49-F238E27FC236}">
              <a16:creationId xmlns:a16="http://schemas.microsoft.com/office/drawing/2014/main" id="{9F500443-AFD1-4E1A-91D5-FEDFE996F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534114</xdr:colOff>
      <xdr:row>10</xdr:row>
      <xdr:rowOff>139700</xdr:rowOff>
    </xdr:from>
    <xdr:to>
      <xdr:col>35</xdr:col>
      <xdr:colOff>88900</xdr:colOff>
      <xdr:row>12</xdr:row>
      <xdr:rowOff>152400</xdr:rowOff>
    </xdr:to>
    <xdr:sp macro="" textlink="">
      <xdr:nvSpPr>
        <xdr:cNvPr id="19" name="TextBox 18">
          <a:extLst>
            <a:ext uri="{FF2B5EF4-FFF2-40B4-BE49-F238E27FC236}">
              <a16:creationId xmlns:a16="http://schemas.microsoft.com/office/drawing/2014/main" id="{F0870986-5400-45D5-906C-44D95B4DA94B}"/>
            </a:ext>
          </a:extLst>
        </xdr:cNvPr>
        <xdr:cNvSpPr txBox="1"/>
      </xdr:nvSpPr>
      <xdr:spPr>
        <a:xfrm>
          <a:off x="16993314" y="1739900"/>
          <a:ext cx="4431586"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Reorder Value by Top 10 Suppliers</a:t>
          </a:r>
        </a:p>
      </xdr:txBody>
    </xdr:sp>
    <xdr:clientData/>
  </xdr:twoCellAnchor>
  <xdr:twoCellAnchor>
    <xdr:from>
      <xdr:col>13</xdr:col>
      <xdr:colOff>88900</xdr:colOff>
      <xdr:row>28</xdr:row>
      <xdr:rowOff>76200</xdr:rowOff>
    </xdr:from>
    <xdr:to>
      <xdr:col>22</xdr:col>
      <xdr:colOff>546100</xdr:colOff>
      <xdr:row>47</xdr:row>
      <xdr:rowOff>76200</xdr:rowOff>
    </xdr:to>
    <xdr:sp macro="" textlink="">
      <xdr:nvSpPr>
        <xdr:cNvPr id="14" name="Rectangle 13">
          <a:extLst>
            <a:ext uri="{FF2B5EF4-FFF2-40B4-BE49-F238E27FC236}">
              <a16:creationId xmlns:a16="http://schemas.microsoft.com/office/drawing/2014/main" id="{0D5C599D-FED2-4A78-A0CD-1DE38268924D}"/>
            </a:ext>
          </a:extLst>
        </xdr:cNvPr>
        <xdr:cNvSpPr/>
      </xdr:nvSpPr>
      <xdr:spPr>
        <a:xfrm>
          <a:off x="8013700" y="4876800"/>
          <a:ext cx="5943600" cy="337820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101600</xdr:colOff>
      <xdr:row>31</xdr:row>
      <xdr:rowOff>38100</xdr:rowOff>
    </xdr:from>
    <xdr:to>
      <xdr:col>22</xdr:col>
      <xdr:colOff>533400</xdr:colOff>
      <xdr:row>47</xdr:row>
      <xdr:rowOff>50800</xdr:rowOff>
    </xdr:to>
    <xdr:graphicFrame macro="">
      <xdr:nvGraphicFramePr>
        <xdr:cNvPr id="20" name="Chart 19">
          <a:extLst>
            <a:ext uri="{FF2B5EF4-FFF2-40B4-BE49-F238E27FC236}">
              <a16:creationId xmlns:a16="http://schemas.microsoft.com/office/drawing/2014/main" id="{E9A8F617-F5AC-475D-86A7-DC8A590B9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139700</xdr:colOff>
      <xdr:row>28</xdr:row>
      <xdr:rowOff>139700</xdr:rowOff>
    </xdr:from>
    <xdr:to>
      <xdr:col>19</xdr:col>
      <xdr:colOff>317500</xdr:colOff>
      <xdr:row>30</xdr:row>
      <xdr:rowOff>142874</xdr:rowOff>
    </xdr:to>
    <xdr:sp macro="" textlink="">
      <xdr:nvSpPr>
        <xdr:cNvPr id="22" name="TextBox 21">
          <a:extLst>
            <a:ext uri="{FF2B5EF4-FFF2-40B4-BE49-F238E27FC236}">
              <a16:creationId xmlns:a16="http://schemas.microsoft.com/office/drawing/2014/main" id="{69AC6F79-4A7D-4B2B-901E-E4090F7DF229}"/>
            </a:ext>
          </a:extLst>
        </xdr:cNvPr>
        <xdr:cNvSpPr txBox="1"/>
      </xdr:nvSpPr>
      <xdr:spPr>
        <a:xfrm>
          <a:off x="8064500" y="4940300"/>
          <a:ext cx="3835400" cy="358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Top 10 Items to Reorder</a:t>
          </a:r>
        </a:p>
      </xdr:txBody>
    </xdr:sp>
    <xdr:clientData/>
  </xdr:twoCellAnchor>
  <xdr:twoCellAnchor>
    <xdr:from>
      <xdr:col>22</xdr:col>
      <xdr:colOff>596900</xdr:colOff>
      <xdr:row>28</xdr:row>
      <xdr:rowOff>76200</xdr:rowOff>
    </xdr:from>
    <xdr:to>
      <xdr:col>30</xdr:col>
      <xdr:colOff>114300</xdr:colOff>
      <xdr:row>47</xdr:row>
      <xdr:rowOff>76200</xdr:rowOff>
    </xdr:to>
    <xdr:sp macro="" textlink="">
      <xdr:nvSpPr>
        <xdr:cNvPr id="23" name="Rectangle 22">
          <a:extLst>
            <a:ext uri="{FF2B5EF4-FFF2-40B4-BE49-F238E27FC236}">
              <a16:creationId xmlns:a16="http://schemas.microsoft.com/office/drawing/2014/main" id="{BBC3177F-B8AD-473D-8BCF-9BCFC12242D1}"/>
            </a:ext>
          </a:extLst>
        </xdr:cNvPr>
        <xdr:cNvSpPr/>
      </xdr:nvSpPr>
      <xdr:spPr>
        <a:xfrm>
          <a:off x="14008100" y="4876800"/>
          <a:ext cx="4394200" cy="337820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88900</xdr:colOff>
      <xdr:row>30</xdr:row>
      <xdr:rowOff>165100</xdr:rowOff>
    </xdr:from>
    <xdr:to>
      <xdr:col>30</xdr:col>
      <xdr:colOff>63500</xdr:colOff>
      <xdr:row>47</xdr:row>
      <xdr:rowOff>76200</xdr:rowOff>
    </xdr:to>
    <xdr:graphicFrame macro="">
      <xdr:nvGraphicFramePr>
        <xdr:cNvPr id="26" name="Chart 25">
          <a:extLst>
            <a:ext uri="{FF2B5EF4-FFF2-40B4-BE49-F238E27FC236}">
              <a16:creationId xmlns:a16="http://schemas.microsoft.com/office/drawing/2014/main" id="{E088F446-2C27-4C05-9BB9-209CDF055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25400</xdr:colOff>
      <xdr:row>28</xdr:row>
      <xdr:rowOff>139700</xdr:rowOff>
    </xdr:from>
    <xdr:to>
      <xdr:col>29</xdr:col>
      <xdr:colOff>203200</xdr:colOff>
      <xdr:row>30</xdr:row>
      <xdr:rowOff>142874</xdr:rowOff>
    </xdr:to>
    <xdr:sp macro="" textlink="">
      <xdr:nvSpPr>
        <xdr:cNvPr id="27" name="TextBox 26">
          <a:extLst>
            <a:ext uri="{FF2B5EF4-FFF2-40B4-BE49-F238E27FC236}">
              <a16:creationId xmlns:a16="http://schemas.microsoft.com/office/drawing/2014/main" id="{1230227A-6C7D-4130-A962-0D23B1C21F8D}"/>
            </a:ext>
          </a:extLst>
        </xdr:cNvPr>
        <xdr:cNvSpPr txBox="1"/>
      </xdr:nvSpPr>
      <xdr:spPr>
        <a:xfrm>
          <a:off x="14046200" y="4940300"/>
          <a:ext cx="3835400" cy="3587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Low Inventory Rate Items</a:t>
          </a:r>
        </a:p>
        <a:p>
          <a:endParaRPr lang="en-IN" sz="1800">
            <a:latin typeface="Segoe UI Semibold" panose="020B0702040204020203" pitchFamily="34" charset="0"/>
            <a:cs typeface="Segoe UI Semibold" panose="020B0702040204020203" pitchFamily="34" charset="0"/>
          </a:endParaRPr>
        </a:p>
      </xdr:txBody>
    </xdr:sp>
    <xdr:clientData/>
  </xdr:twoCellAnchor>
  <xdr:twoCellAnchor>
    <xdr:from>
      <xdr:col>3</xdr:col>
      <xdr:colOff>165100</xdr:colOff>
      <xdr:row>4</xdr:row>
      <xdr:rowOff>0</xdr:rowOff>
    </xdr:from>
    <xdr:to>
      <xdr:col>6</xdr:col>
      <xdr:colOff>431800</xdr:colOff>
      <xdr:row>48</xdr:row>
      <xdr:rowOff>0</xdr:rowOff>
    </xdr:to>
    <xdr:sp macro="" textlink="">
      <xdr:nvSpPr>
        <xdr:cNvPr id="21" name="Rectangle 20">
          <a:extLst>
            <a:ext uri="{FF2B5EF4-FFF2-40B4-BE49-F238E27FC236}">
              <a16:creationId xmlns:a16="http://schemas.microsoft.com/office/drawing/2014/main" id="{FE88712E-3C94-8BF9-88EF-FF330E6C500C}"/>
            </a:ext>
          </a:extLst>
        </xdr:cNvPr>
        <xdr:cNvSpPr/>
      </xdr:nvSpPr>
      <xdr:spPr>
        <a:xfrm>
          <a:off x="1993900" y="533400"/>
          <a:ext cx="2095500" cy="7823200"/>
        </a:xfrm>
        <a:prstGeom prst="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215900</xdr:colOff>
      <xdr:row>22</xdr:row>
      <xdr:rowOff>33617</xdr:rowOff>
    </xdr:from>
    <xdr:to>
      <xdr:col>6</xdr:col>
      <xdr:colOff>393700</xdr:colOff>
      <xdr:row>34</xdr:row>
      <xdr:rowOff>131380</xdr:rowOff>
    </xdr:to>
    <mc:AlternateContent xmlns:mc="http://schemas.openxmlformats.org/markup-compatibility/2006" xmlns:a14="http://schemas.microsoft.com/office/drawing/2010/main">
      <mc:Choice Requires="a14">
        <xdr:graphicFrame macro="">
          <xdr:nvGraphicFramePr>
            <xdr:cNvPr id="30" name="Category 2">
              <a:extLst>
                <a:ext uri="{FF2B5EF4-FFF2-40B4-BE49-F238E27FC236}">
                  <a16:creationId xmlns:a16="http://schemas.microsoft.com/office/drawing/2014/main" id="{3044DBB7-6D7C-4CBA-86D4-DFB2E05F38B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2031253" y="3978088"/>
              <a:ext cx="1993153" cy="22492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203200</xdr:colOff>
      <xdr:row>35</xdr:row>
      <xdr:rowOff>0</xdr:rowOff>
    </xdr:from>
    <xdr:to>
      <xdr:col>6</xdr:col>
      <xdr:colOff>393700</xdr:colOff>
      <xdr:row>41</xdr:row>
      <xdr:rowOff>152400</xdr:rowOff>
    </xdr:to>
    <mc:AlternateContent xmlns:mc="http://schemas.openxmlformats.org/markup-compatibility/2006" xmlns:a14="http://schemas.microsoft.com/office/drawing/2010/main">
      <mc:Choice Requires="a14">
        <xdr:graphicFrame macro="">
          <xdr:nvGraphicFramePr>
            <xdr:cNvPr id="31" name="Reorder_Status 1">
              <a:extLst>
                <a:ext uri="{FF2B5EF4-FFF2-40B4-BE49-F238E27FC236}">
                  <a16:creationId xmlns:a16="http://schemas.microsoft.com/office/drawing/2014/main" id="{6EA06523-EFB2-475A-9F75-3A89D60C68C1}"/>
                </a:ext>
              </a:extLst>
            </xdr:cNvPr>
            <xdr:cNvGraphicFramePr/>
          </xdr:nvGraphicFramePr>
          <xdr:xfrm>
            <a:off x="0" y="0"/>
            <a:ext cx="0" cy="0"/>
          </xdr:xfrm>
          <a:graphic>
            <a:graphicData uri="http://schemas.microsoft.com/office/drawing/2010/slicer">
              <sle:slicer xmlns:sle="http://schemas.microsoft.com/office/drawing/2010/slicer" name="Reorder_Status 1"/>
            </a:graphicData>
          </a:graphic>
        </xdr:graphicFrame>
      </mc:Choice>
      <mc:Fallback xmlns="">
        <xdr:sp macro="" textlink="">
          <xdr:nvSpPr>
            <xdr:cNvPr id="0" name=""/>
            <xdr:cNvSpPr>
              <a:spLocks noTextEdit="1"/>
            </xdr:cNvSpPr>
          </xdr:nvSpPr>
          <xdr:spPr>
            <a:xfrm>
              <a:off x="2018553" y="6275294"/>
              <a:ext cx="2005853" cy="1228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203200</xdr:colOff>
      <xdr:row>42</xdr:row>
      <xdr:rowOff>50800</xdr:rowOff>
    </xdr:from>
    <xdr:to>
      <xdr:col>6</xdr:col>
      <xdr:colOff>381000</xdr:colOff>
      <xdr:row>47</xdr:row>
      <xdr:rowOff>144517</xdr:rowOff>
    </xdr:to>
    <mc:AlternateContent xmlns:mc="http://schemas.openxmlformats.org/markup-compatibility/2006" xmlns:a14="http://schemas.microsoft.com/office/drawing/2010/main">
      <mc:Choice Requires="a14">
        <xdr:graphicFrame macro="">
          <xdr:nvGraphicFramePr>
            <xdr:cNvPr id="35" name="Expiry_Status 1">
              <a:extLst>
                <a:ext uri="{FF2B5EF4-FFF2-40B4-BE49-F238E27FC236}">
                  <a16:creationId xmlns:a16="http://schemas.microsoft.com/office/drawing/2014/main" id="{9DBA36DA-10E4-43D0-87A4-389C3A748738}"/>
                </a:ext>
              </a:extLst>
            </xdr:cNvPr>
            <xdr:cNvGraphicFramePr/>
          </xdr:nvGraphicFramePr>
          <xdr:xfrm>
            <a:off x="0" y="0"/>
            <a:ext cx="0" cy="0"/>
          </xdr:xfrm>
          <a:graphic>
            <a:graphicData uri="http://schemas.microsoft.com/office/drawing/2010/slicer">
              <sle:slicer xmlns:sle="http://schemas.microsoft.com/office/drawing/2010/slicer" name="Expiry_Status 1"/>
            </a:graphicData>
          </a:graphic>
        </xdr:graphicFrame>
      </mc:Choice>
      <mc:Fallback xmlns="">
        <xdr:sp macro="" textlink="">
          <xdr:nvSpPr>
            <xdr:cNvPr id="0" name=""/>
            <xdr:cNvSpPr>
              <a:spLocks noTextEdit="1"/>
            </xdr:cNvSpPr>
          </xdr:nvSpPr>
          <xdr:spPr>
            <a:xfrm>
              <a:off x="2018553" y="7581153"/>
              <a:ext cx="1993153" cy="9901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254000</xdr:colOff>
      <xdr:row>2</xdr:row>
      <xdr:rowOff>114300</xdr:rowOff>
    </xdr:from>
    <xdr:to>
      <xdr:col>6</xdr:col>
      <xdr:colOff>177800</xdr:colOff>
      <xdr:row>5</xdr:row>
      <xdr:rowOff>63500</xdr:rowOff>
    </xdr:to>
    <xdr:sp macro="" textlink="">
      <xdr:nvSpPr>
        <xdr:cNvPr id="50" name="TextBox 49">
          <a:hlinkClick xmlns:r="http://schemas.openxmlformats.org/officeDocument/2006/relationships" r:id="rId7"/>
          <a:extLst>
            <a:ext uri="{FF2B5EF4-FFF2-40B4-BE49-F238E27FC236}">
              <a16:creationId xmlns:a16="http://schemas.microsoft.com/office/drawing/2014/main" id="{19EC2896-21AA-FB74-3221-B91E083F6243}"/>
            </a:ext>
          </a:extLst>
        </xdr:cNvPr>
        <xdr:cNvSpPr txBox="1"/>
      </xdr:nvSpPr>
      <xdr:spPr>
        <a:xfrm>
          <a:off x="2082800" y="292100"/>
          <a:ext cx="1752600"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1">
              <a:solidFill>
                <a:srgbClr val="7030A0"/>
              </a:solidFill>
              <a:latin typeface="Segoe UI Semibold" panose="020B0702040204020203" pitchFamily="34" charset="0"/>
              <a:cs typeface="Segoe UI Semibold" panose="020B0702040204020203" pitchFamily="34" charset="0"/>
            </a:rPr>
            <a:t>DataSet</a:t>
          </a:r>
        </a:p>
      </xdr:txBody>
    </xdr:sp>
    <xdr:clientData/>
  </xdr:twoCellAnchor>
  <xdr:twoCellAnchor>
    <xdr:from>
      <xdr:col>3</xdr:col>
      <xdr:colOff>279400</xdr:colOff>
      <xdr:row>6</xdr:row>
      <xdr:rowOff>38100</xdr:rowOff>
    </xdr:from>
    <xdr:to>
      <xdr:col>6</xdr:col>
      <xdr:colOff>203200</xdr:colOff>
      <xdr:row>8</xdr:row>
      <xdr:rowOff>165100</xdr:rowOff>
    </xdr:to>
    <xdr:sp macro="" textlink="">
      <xdr:nvSpPr>
        <xdr:cNvPr id="55" name="TextBox 54">
          <a:hlinkClick xmlns:r="http://schemas.openxmlformats.org/officeDocument/2006/relationships" r:id="rId8"/>
          <a:extLst>
            <a:ext uri="{FF2B5EF4-FFF2-40B4-BE49-F238E27FC236}">
              <a16:creationId xmlns:a16="http://schemas.microsoft.com/office/drawing/2014/main" id="{FE878A7B-5A9F-4FCC-AD82-CA60AE031C68}"/>
            </a:ext>
          </a:extLst>
        </xdr:cNvPr>
        <xdr:cNvSpPr txBox="1"/>
      </xdr:nvSpPr>
      <xdr:spPr>
        <a:xfrm>
          <a:off x="2108200" y="927100"/>
          <a:ext cx="1752600" cy="4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1">
              <a:solidFill>
                <a:srgbClr val="7030A0"/>
              </a:solidFill>
              <a:latin typeface="Segoe UI Semibold" panose="020B0702040204020203" pitchFamily="34" charset="0"/>
              <a:cs typeface="Segoe UI Semibold" panose="020B0702040204020203" pitchFamily="34" charset="0"/>
            </a:rPr>
            <a:t>Analysis</a:t>
          </a:r>
        </a:p>
      </xdr:txBody>
    </xdr:sp>
    <xdr:clientData/>
  </xdr:twoCellAnchor>
  <xdr:twoCellAnchor>
    <xdr:from>
      <xdr:col>8</xdr:col>
      <xdr:colOff>546100</xdr:colOff>
      <xdr:row>1</xdr:row>
      <xdr:rowOff>88900</xdr:rowOff>
    </xdr:from>
    <xdr:to>
      <xdr:col>33</xdr:col>
      <xdr:colOff>139700</xdr:colOff>
      <xdr:row>3</xdr:row>
      <xdr:rowOff>152400</xdr:rowOff>
    </xdr:to>
    <xdr:sp macro="" textlink="">
      <xdr:nvSpPr>
        <xdr:cNvPr id="57" name="TextBox 56">
          <a:extLst>
            <a:ext uri="{FF2B5EF4-FFF2-40B4-BE49-F238E27FC236}">
              <a16:creationId xmlns:a16="http://schemas.microsoft.com/office/drawing/2014/main" id="{A3E5BA65-DF72-9640-57D6-5175D08FEFFF}"/>
            </a:ext>
          </a:extLst>
        </xdr:cNvPr>
        <xdr:cNvSpPr txBox="1"/>
      </xdr:nvSpPr>
      <xdr:spPr>
        <a:xfrm>
          <a:off x="5422900" y="88900"/>
          <a:ext cx="14833600" cy="419100"/>
        </a:xfrm>
        <a:prstGeom prst="rect">
          <a:avLst/>
        </a:prstGeom>
        <a:solidFill>
          <a:srgbClr val="7030A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i="1">
              <a:solidFill>
                <a:schemeClr val="bg1"/>
              </a:solidFill>
              <a:latin typeface="Segoe UI Semibold" panose="020B0702040204020203" pitchFamily="34" charset="0"/>
              <a:cs typeface="Segoe UI Semibold" panose="020B0702040204020203" pitchFamily="34" charset="0"/>
            </a:rPr>
            <a:t>Grocery Inventory Management MIS Dashboard</a:t>
          </a:r>
        </a:p>
        <a:p>
          <a:pPr algn="ctr"/>
          <a:endParaRPr lang="en-IN" sz="2800" b="1" i="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30</xdr:col>
      <xdr:colOff>152400</xdr:colOff>
      <xdr:row>28</xdr:row>
      <xdr:rowOff>76200</xdr:rowOff>
    </xdr:from>
    <xdr:to>
      <xdr:col>37</xdr:col>
      <xdr:colOff>25400</xdr:colOff>
      <xdr:row>47</xdr:row>
      <xdr:rowOff>76200</xdr:rowOff>
    </xdr:to>
    <xdr:sp macro="" textlink="">
      <xdr:nvSpPr>
        <xdr:cNvPr id="60" name="Rectangle 59">
          <a:extLst>
            <a:ext uri="{FF2B5EF4-FFF2-40B4-BE49-F238E27FC236}">
              <a16:creationId xmlns:a16="http://schemas.microsoft.com/office/drawing/2014/main" id="{F062D5BA-7AF4-4FB3-B603-FAEF6116A3BF}"/>
            </a:ext>
          </a:extLst>
        </xdr:cNvPr>
        <xdr:cNvSpPr/>
      </xdr:nvSpPr>
      <xdr:spPr>
        <a:xfrm>
          <a:off x="18440400" y="4876800"/>
          <a:ext cx="4140200" cy="337820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215900</xdr:colOff>
      <xdr:row>9</xdr:row>
      <xdr:rowOff>114300</xdr:rowOff>
    </xdr:from>
    <xdr:to>
      <xdr:col>6</xdr:col>
      <xdr:colOff>393700</xdr:colOff>
      <xdr:row>21</xdr:row>
      <xdr:rowOff>156882</xdr:rowOff>
    </xdr:to>
    <xdr:graphicFrame macro="">
      <xdr:nvGraphicFramePr>
        <xdr:cNvPr id="61" name="Chart 60">
          <a:extLst>
            <a:ext uri="{FF2B5EF4-FFF2-40B4-BE49-F238E27FC236}">
              <a16:creationId xmlns:a16="http://schemas.microsoft.com/office/drawing/2014/main" id="{2381A81D-A730-4728-A622-24A1DC76B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30</xdr:col>
      <xdr:colOff>152400</xdr:colOff>
      <xdr:row>28</xdr:row>
      <xdr:rowOff>127000</xdr:rowOff>
    </xdr:from>
    <xdr:to>
      <xdr:col>36</xdr:col>
      <xdr:colOff>482600</xdr:colOff>
      <xdr:row>30</xdr:row>
      <xdr:rowOff>101600</xdr:rowOff>
    </xdr:to>
    <xdr:sp macro="" textlink="">
      <xdr:nvSpPr>
        <xdr:cNvPr id="1024" name="TextBox 1023">
          <a:extLst>
            <a:ext uri="{FF2B5EF4-FFF2-40B4-BE49-F238E27FC236}">
              <a16:creationId xmlns:a16="http://schemas.microsoft.com/office/drawing/2014/main" id="{963E726E-3EE2-4653-B3EE-230E77895307}"/>
            </a:ext>
          </a:extLst>
        </xdr:cNvPr>
        <xdr:cNvSpPr txBox="1"/>
      </xdr:nvSpPr>
      <xdr:spPr>
        <a:xfrm>
          <a:off x="18440400" y="4927600"/>
          <a:ext cx="39878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a:latin typeface="Segoe UI Semibold" panose="020B0702040204020203" pitchFamily="34" charset="0"/>
              <a:cs typeface="Segoe UI Semibold" panose="020B0702040204020203" pitchFamily="34" charset="0"/>
            </a:rPr>
            <a:t>Inventory Investment Distribution </a:t>
          </a:r>
        </a:p>
      </xdr:txBody>
    </xdr:sp>
    <xdr:clientData/>
  </xdr:twoCellAnchor>
  <xdr:twoCellAnchor>
    <xdr:from>
      <xdr:col>30</xdr:col>
      <xdr:colOff>152400</xdr:colOff>
      <xdr:row>31</xdr:row>
      <xdr:rowOff>12700</xdr:rowOff>
    </xdr:from>
    <xdr:to>
      <xdr:col>36</xdr:col>
      <xdr:colOff>584200</xdr:colOff>
      <xdr:row>47</xdr:row>
      <xdr:rowOff>50800</xdr:rowOff>
    </xdr:to>
    <xdr:graphicFrame macro="">
      <xdr:nvGraphicFramePr>
        <xdr:cNvPr id="1027" name="Chart 1026">
          <a:extLst>
            <a:ext uri="{FF2B5EF4-FFF2-40B4-BE49-F238E27FC236}">
              <a16:creationId xmlns:a16="http://schemas.microsoft.com/office/drawing/2014/main" id="{A5D542E6-3C55-4B14-992C-9724393CC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242730</xdr:colOff>
      <xdr:row>10</xdr:row>
      <xdr:rowOff>127000</xdr:rowOff>
    </xdr:from>
    <xdr:to>
      <xdr:col>27</xdr:col>
      <xdr:colOff>444500</xdr:colOff>
      <xdr:row>28</xdr:row>
      <xdr:rowOff>12700</xdr:rowOff>
    </xdr:to>
    <xdr:sp macro="" textlink="">
      <xdr:nvSpPr>
        <xdr:cNvPr id="1030" name="Rectangle 1029">
          <a:extLst>
            <a:ext uri="{FF2B5EF4-FFF2-40B4-BE49-F238E27FC236}">
              <a16:creationId xmlns:a16="http://schemas.microsoft.com/office/drawing/2014/main" id="{F60618ED-B0A6-4808-9997-67C48A7C33E0}"/>
            </a:ext>
          </a:extLst>
        </xdr:cNvPr>
        <xdr:cNvSpPr/>
      </xdr:nvSpPr>
      <xdr:spPr>
        <a:xfrm>
          <a:off x="13044330" y="1727200"/>
          <a:ext cx="3859370" cy="3086100"/>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254000</xdr:colOff>
      <xdr:row>13</xdr:row>
      <xdr:rowOff>101600</xdr:rowOff>
    </xdr:from>
    <xdr:to>
      <xdr:col>27</xdr:col>
      <xdr:colOff>406400</xdr:colOff>
      <xdr:row>28</xdr:row>
      <xdr:rowOff>0</xdr:rowOff>
    </xdr:to>
    <xdr:graphicFrame macro="">
      <xdr:nvGraphicFramePr>
        <xdr:cNvPr id="1031" name="Chart 1030">
          <a:extLst>
            <a:ext uri="{FF2B5EF4-FFF2-40B4-BE49-F238E27FC236}">
              <a16:creationId xmlns:a16="http://schemas.microsoft.com/office/drawing/2014/main" id="{00A1FC86-6176-4062-903D-72C108AD8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242730</xdr:colOff>
      <xdr:row>10</xdr:row>
      <xdr:rowOff>127000</xdr:rowOff>
    </xdr:from>
    <xdr:to>
      <xdr:col>27</xdr:col>
      <xdr:colOff>254000</xdr:colOff>
      <xdr:row>13</xdr:row>
      <xdr:rowOff>127000</xdr:rowOff>
    </xdr:to>
    <xdr:sp macro="" textlink="">
      <xdr:nvSpPr>
        <xdr:cNvPr id="1032" name="TextBox 1031">
          <a:extLst>
            <a:ext uri="{FF2B5EF4-FFF2-40B4-BE49-F238E27FC236}">
              <a16:creationId xmlns:a16="http://schemas.microsoft.com/office/drawing/2014/main" id="{C4543A99-66B8-4970-B9DC-23F5295D140C}"/>
            </a:ext>
          </a:extLst>
        </xdr:cNvPr>
        <xdr:cNvSpPr txBox="1"/>
      </xdr:nvSpPr>
      <xdr:spPr>
        <a:xfrm>
          <a:off x="13044330" y="1727200"/>
          <a:ext cx="366887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latin typeface="Segoe UI Semibold" panose="020B0702040204020203" pitchFamily="34" charset="0"/>
              <a:cs typeface="Segoe UI Semibold" panose="020B0702040204020203" pitchFamily="34" charset="0"/>
            </a:rPr>
            <a:t>Reorder Frequency</a:t>
          </a:r>
          <a:r>
            <a:rPr lang="en-IN" sz="1800" baseline="0">
              <a:latin typeface="Segoe UI Semibold" panose="020B0702040204020203" pitchFamily="34" charset="0"/>
              <a:cs typeface="Segoe UI Semibold" panose="020B0702040204020203" pitchFamily="34" charset="0"/>
            </a:rPr>
            <a:t> </a:t>
          </a:r>
          <a:endParaRPr lang="en-IN" sz="1800">
            <a:latin typeface="Segoe UI Semibold" panose="020B0702040204020203" pitchFamily="34" charset="0"/>
            <a:cs typeface="Segoe UI Semibold" panose="020B0702040204020203" pitchFamily="34" charset="0"/>
          </a:endParaRPr>
        </a:p>
        <a:p>
          <a:endParaRPr lang="en-IN" sz="1800">
            <a:latin typeface="Segoe UI Semibold" panose="020B0702040204020203" pitchFamily="34" charset="0"/>
            <a:cs typeface="Segoe UI Semibold" panose="020B07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ula Mahitha" refreshedDate="45986.317944328701" createdVersion="8" refreshedVersion="8" minRefreshableVersion="3" recordCount="990" xr:uid="{866AE557-3258-4422-87E0-BFF105E7E046}">
  <cacheSource type="worksheet">
    <worksheetSource name="tblInventory"/>
  </cacheSource>
  <cacheFields count="26">
    <cacheField name="Product_ID" numFmtId="0">
      <sharedItems count="990">
        <s v="21-120-6238"/>
        <s v="14-489-8669"/>
        <s v="52-392-5312"/>
        <s v="62-509-0666"/>
        <s v="77-224-2227"/>
        <s v="72-404-5581"/>
        <s v="17-493-4579"/>
        <s v="37-567-3218"/>
        <s v="28-003-8065"/>
        <s v="77-377-1659"/>
        <s v="41-131-3841"/>
        <s v="36-531-4087"/>
        <s v="74-234-0628"/>
        <s v="47-578-4161"/>
        <s v="42-879-9478"/>
        <s v="08-114-3922"/>
        <s v="27-681-5588"/>
        <s v="71-954-4501"/>
        <s v="10-445-0741"/>
        <s v="66-312-5511"/>
        <s v="71-067-3278"/>
        <s v="64-109-7362"/>
        <s v="28-275-5901"/>
        <s v="24-579-6500"/>
        <s v="00-405-7428"/>
        <s v="17-022-9721"/>
        <s v="46-415-8633"/>
        <s v="61-680-9496"/>
        <s v="15-884-7413"/>
        <s v="14-836-2894"/>
        <s v="70-005-5970"/>
        <s v="16-380-0753"/>
        <s v="61-582-7399"/>
        <s v="15-082-9124"/>
        <s v="34-369-7712"/>
        <s v="68-977-6854"/>
        <s v="15-905-7750"/>
        <s v="04-637-8815"/>
        <s v="40-681-9981"/>
        <s v="48-414-6162"/>
        <s v="31-969-4614"/>
        <s v="40-860-4532"/>
        <s v="83-704-6367"/>
        <s v="76-954-1442"/>
        <s v="35-617-3857"/>
        <s v="84-629-1532"/>
        <s v="86-330-0214"/>
        <s v="11-155-7826"/>
        <s v="16-632-1308"/>
        <s v="80-459-5950"/>
        <s v="43-469-7551"/>
        <s v="55-154-4728"/>
        <s v="48-427-0551"/>
        <s v="59-725-4038"/>
        <s v="39-232-5341"/>
        <s v="41-316-8427"/>
        <s v="29-592-7315"/>
        <s v="95-357-2870"/>
        <s v="95-640-0293"/>
        <s v="12-093-9863"/>
        <s v="98-235-2711"/>
        <s v="83-625-3618"/>
        <s v="83-117-7658"/>
        <s v="20-448-2972"/>
        <s v="40-902-1995"/>
        <s v="31-803-5001"/>
        <s v="82-931-7126"/>
        <s v="89-624-7462"/>
        <s v="88-602-8210"/>
        <s v="00-357-2313"/>
        <s v="58-219-0241"/>
        <s v="90-343-9640"/>
        <s v="05-899-1428"/>
        <s v="14-331-3739"/>
        <s v="86-692-2312"/>
        <s v="87-698-0944"/>
        <s v="48-957-8596"/>
        <s v="69-561-2496"/>
        <s v="93-772-3085"/>
        <s v="10-255-8579"/>
        <s v="47-663-5703"/>
        <s v="77-777-4536"/>
        <s v="83-727-0814"/>
        <s v="36-372-2295"/>
        <s v="39-358-3340"/>
        <s v="07-970-9352"/>
        <s v="96-316-7600"/>
        <s v="58-063-8633"/>
        <s v="29-017-6255"/>
        <s v="34-110-1040"/>
        <s v="33-440-2588"/>
        <s v="08-226-5155"/>
        <s v="67-130-4114"/>
        <s v="36-679-4670"/>
        <s v="64-119-7804"/>
        <s v="13-900-9016"/>
        <s v="73-997-6251"/>
        <s v="21-816-1004"/>
        <s v="14-844-4138"/>
        <s v="57-562-2358"/>
        <s v="11-922-3342"/>
        <s v="88-951-9038"/>
        <s v="38-555-9147"/>
        <s v="47-221-3391"/>
        <s v="00-641-8691"/>
        <s v="05-184-4175"/>
        <s v="00-534-9775"/>
        <s v="06-955-3428"/>
        <s v="36-636-4873"/>
        <s v="90-737-0044"/>
        <s v="30-429-2162"/>
        <s v="70-587-1204"/>
        <s v="10-249-7928"/>
        <s v="90-128-7973"/>
        <s v="60-911-3745"/>
        <s v="65-854-9364"/>
        <s v="57-779-4955"/>
        <s v="80-020-8041"/>
        <s v="45-050-4720"/>
        <s v="78-237-0277"/>
        <s v="67-473-7093"/>
        <s v="58-122-2282"/>
        <s v="95-262-6208"/>
        <s v="92-152-5820"/>
        <s v="16-187-5729"/>
        <s v="85-806-8672"/>
        <s v="89-543-3456"/>
        <s v="01-173-0029"/>
        <s v="32-933-0329"/>
        <s v="60-771-0879"/>
        <s v="00-440-9568"/>
        <s v="84-272-0790"/>
        <s v="66-378-7532"/>
        <s v="01-026-2772"/>
        <s v="55-936-2406"/>
        <s v="05-334-2923"/>
        <s v="20-022-3173"/>
        <s v="67-710-5120"/>
        <s v="04-542-3863"/>
        <s v="56-191-6497"/>
        <s v="99-137-1730"/>
        <s v="57-394-1587"/>
        <s v="10-034-7654"/>
        <s v="93-342-8794"/>
        <s v="51-069-0489"/>
        <s v="55-803-3964"/>
        <s v="15-169-8058"/>
        <s v="69-743-0161"/>
        <s v="84-624-0201"/>
        <s v="45-250-4679"/>
        <s v="58-946-5152"/>
        <s v="89-328-9019"/>
        <s v="35-353-4068"/>
        <s v="81-844-2979"/>
        <s v="72-066-4597"/>
        <s v="94-029-2717"/>
        <s v="28-008-2951"/>
        <s v="37-246-0018"/>
        <s v="35-529-2933"/>
        <s v="71-300-2191"/>
        <s v="19-021-5024"/>
        <s v="08-519-5579"/>
        <s v="52-402-9245"/>
        <s v="30-591-7275"/>
        <s v="69-171-1305"/>
        <s v="67-725-6830"/>
        <s v="84-151-2114"/>
        <s v="56-875-3717"/>
        <s v="73-117-6105"/>
        <s v="94-598-3383"/>
        <s v="89-335-0155"/>
        <s v="69-578-7930"/>
        <s v="43-693-2092"/>
        <s v="90-773-9557"/>
        <s v="19-672-8982"/>
        <s v="43-164-5984"/>
        <s v="44-305-1866"/>
        <s v="70-815-4015"/>
        <s v="65-759-3721"/>
        <s v="99-420-3592"/>
        <s v="80-698-0324"/>
        <s v="65-780-5622"/>
        <s v="98-652-9569"/>
        <s v="14-521-4167"/>
        <s v="83-763-5038"/>
        <s v="83-553-9523"/>
        <s v="06-068-6793"/>
        <s v="04-104-6993"/>
        <s v="97-093-4278"/>
        <s v="03-597-9488"/>
        <s v="67-025-1245"/>
        <s v="21-013-3508"/>
        <s v="79-428-8753"/>
        <s v="45-380-4627"/>
        <s v="10-378-9729"/>
        <s v="75-927-9108"/>
        <s v="82-538-4809"/>
        <s v="31-745-6850"/>
        <s v="84-075-7647"/>
        <s v="77-013-1553"/>
        <s v="48-193-1199"/>
        <s v="10-854-5467"/>
        <s v="11-604-6002"/>
        <s v="24-143-4957"/>
        <s v="42-134-9798"/>
        <s v="78-953-2073"/>
        <s v="50-679-2072"/>
        <s v="11-581-9869"/>
        <s v="94-190-5193"/>
        <s v="95-252-9619"/>
        <s v="68-636-4774"/>
        <s v="05-720-8792"/>
        <s v="40-126-0515"/>
        <s v="34-709-9237"/>
        <s v="54-822-9009"/>
        <s v="05-498-7751"/>
        <s v="37-666-3902"/>
        <s v="71-436-5841"/>
        <s v="88-401-3700"/>
        <s v="38-664-2155"/>
        <s v="02-888-9412"/>
        <s v="47-843-8207"/>
        <s v="67-248-6306"/>
        <s v="15-562-3712"/>
        <s v="74-642-2435"/>
        <s v="74-132-5528"/>
        <s v="99-194-5600"/>
        <s v="94-092-3355"/>
        <s v="07-337-9889"/>
        <s v="53-680-5293"/>
        <s v="18-199-5799"/>
        <s v="51-312-8608"/>
        <s v="60-456-8169"/>
        <s v="92-995-8689"/>
        <s v="02-085-7218"/>
        <s v="66-716-8221"/>
        <s v="50-772-2613"/>
        <s v="22-778-3553"/>
        <s v="62-393-9939"/>
        <s v="14-305-5348"/>
        <s v="92-291-7089"/>
        <s v="24-972-6969"/>
        <s v="42-141-5718"/>
        <s v="82-380-5378"/>
        <s v="41-237-5498"/>
        <s v="08-961-3009"/>
        <s v="11-053-0107"/>
        <s v="74-404-0582"/>
        <s v="40-630-1431"/>
        <s v="84-546-7624"/>
        <s v="82-395-5070"/>
        <s v="20-054-3716"/>
        <s v="60-632-8752"/>
        <s v="88-977-0175"/>
        <s v="76-476-9996"/>
        <s v="01-018-6418"/>
        <s v="54-758-4622"/>
        <s v="14-115-8371"/>
        <s v="28-107-4953"/>
        <s v="50-364-5828"/>
        <s v="49-861-7823"/>
        <s v="34-928-2775"/>
        <s v="21-718-6746"/>
        <s v="20-325-1965"/>
        <s v="24-989-3302"/>
        <s v="15-797-4824"/>
        <s v="35-299-0889"/>
        <s v="52-029-2382"/>
        <s v="42-907-6946"/>
        <s v="96-164-0607"/>
        <s v="04-277-5245"/>
        <s v="02-895-7781"/>
        <s v="21-633-8696"/>
        <s v="10-626-8536"/>
        <s v="07-617-6934"/>
        <s v="61-827-4098"/>
        <s v="88-069-5486"/>
        <s v="96-774-0457"/>
        <s v="47-802-5023"/>
        <s v="98-445-7372"/>
        <s v="57-763-5501"/>
        <s v="17-647-0503"/>
        <s v="71-516-1996"/>
        <s v="75-080-4909"/>
        <s v="21-693-8216"/>
        <s v="12-046-2988"/>
        <s v="87-391-9658"/>
        <s v="36-383-3677"/>
        <s v="21-252-1360"/>
        <s v="44-368-7112"/>
        <s v="88-408-0310"/>
        <s v="49-891-4927"/>
        <s v="80-371-3695"/>
        <s v="98-909-9395"/>
        <s v="82-678-8097"/>
        <s v="54-374-9986"/>
        <s v="46-931-6897"/>
        <s v="12-798-9401"/>
        <s v="49-730-0159"/>
        <s v="58-229-1358"/>
        <s v="56-937-8675"/>
        <s v="76-340-4432"/>
        <s v="66-993-4234"/>
        <s v="26-177-5690"/>
        <s v="71-085-4290"/>
        <s v="38-822-8005"/>
        <s v="98-575-4736"/>
        <s v="69-895-3397"/>
        <s v="79-884-8810"/>
        <s v="03-833-3577"/>
        <s v="58-005-5343"/>
        <s v="63-168-6018"/>
        <s v="16-354-8122"/>
        <s v="93-813-2419"/>
        <s v="29-756-7042"/>
        <s v="41-538-3129"/>
        <s v="51-583-6029"/>
        <s v="34-291-4939"/>
        <s v="29-436-6570"/>
        <s v="47-441-7682"/>
        <s v="91-290-9062"/>
        <s v="89-673-1543"/>
        <s v="95-449-1286"/>
        <s v="81-573-0943"/>
        <s v="96-682-8546"/>
        <s v="74-181-4135"/>
        <s v="40-913-9772"/>
        <s v="98-148-0940"/>
        <s v="84-327-7787"/>
        <s v="46-452-9419"/>
        <s v="61-607-7622"/>
        <s v="41-594-5069"/>
        <s v="83-321-7887"/>
        <s v="97-300-7511"/>
        <s v="47-866-6589"/>
        <s v="48-770-6319"/>
        <s v="01-820-5784"/>
        <s v="68-436-1268"/>
        <s v="39-629-5554"/>
        <s v="00-215-7434"/>
        <s v="59-075-2457"/>
        <s v="27-757-4489"/>
        <s v="51-761-6320"/>
        <s v="87-272-6544"/>
        <s v="06-503-5891"/>
        <s v="86-672-4191"/>
        <s v="53-930-2215"/>
        <s v="00-842-9790"/>
        <s v="85-835-3445"/>
        <s v="82-711-0772"/>
        <s v="33-378-1365"/>
        <s v="02-508-3777"/>
        <s v="76-623-7844"/>
        <s v="07-389-5740"/>
        <s v="65-674-6076"/>
        <s v="70-206-4860"/>
        <s v="07-834-3320"/>
        <s v="24-364-3341"/>
        <s v="12-998-3882"/>
        <s v="39-768-8205"/>
        <s v="67-512-9754"/>
        <s v="65-368-2479"/>
        <s v="10-218-2680"/>
        <s v="13-798-3397"/>
        <s v="60-327-4114"/>
        <s v="85-212-2729"/>
        <s v="36-177-0573"/>
        <s v="44-408-7594"/>
        <s v="25-010-9478"/>
        <s v="48-957-6116"/>
        <s v="15-240-6267"/>
        <s v="85-207-4164"/>
        <s v="12-439-8428"/>
        <s v="76-264-0748"/>
        <s v="13-144-2169"/>
        <s v="63-162-9244"/>
        <s v="28-968-4195"/>
        <s v="59-857-6577"/>
        <s v="49-919-8798"/>
        <s v="06-996-3221"/>
        <s v="76-070-1411"/>
        <s v="96-209-1739"/>
        <s v="62-998-7250"/>
        <s v="39-913-2999"/>
        <s v="18-107-7886"/>
        <s v="39-449-0772"/>
        <s v="46-753-8430"/>
        <s v="95-349-0828"/>
        <s v="91-553-1774"/>
        <s v="27-783-5470"/>
        <s v="27-459-0724"/>
        <s v="13-202-4809"/>
        <s v="83-917-7384"/>
        <s v="57-359-3397"/>
        <s v="80-227-6886"/>
        <s v="57-613-5779"/>
        <s v="18-278-2383"/>
        <s v="85-440-3667"/>
        <s v="81-578-7404"/>
        <s v="70-542-4269"/>
        <s v="21-890-2826"/>
        <s v="25-522-6043"/>
        <s v="68-977-2498"/>
        <s v="05-193-8096"/>
        <s v="15-679-3935"/>
        <s v="80-334-0215"/>
        <s v="88-586-8797"/>
        <s v="95-356-1566"/>
        <s v="53-151-5726"/>
        <s v="09-712-3630"/>
        <s v="65-527-9488"/>
        <s v="91-417-0366"/>
        <s v="01-050-2246"/>
        <s v="80-025-6757"/>
        <s v="89-388-3239"/>
        <s v="00-366-9496"/>
        <s v="66-268-8345"/>
        <s v="28-956-1320"/>
        <s v="68-734-1585"/>
        <s v="09-286-8107"/>
        <s v="55-631-7937"/>
        <s v="17-253-5688"/>
        <s v="32-270-1385"/>
        <s v="78-614-4402"/>
        <s v="17-002-4721"/>
        <s v="30-996-2526"/>
        <s v="93-014-4256"/>
        <s v="24-975-4231"/>
        <s v="67-382-4435"/>
        <s v="54-281-3746"/>
        <s v="79-494-2472"/>
        <s v="36-918-2937"/>
        <s v="40-810-9261"/>
        <s v="15-045-8444"/>
        <s v="04-001-1793"/>
        <s v="95-738-4658"/>
        <s v="74-305-1263"/>
        <s v="74-610-2295"/>
        <s v="35-031-1497"/>
        <s v="74-845-3299"/>
        <s v="06-706-6490"/>
        <s v="14-550-2152"/>
        <s v="46-436-5351"/>
        <s v="27-881-1177"/>
        <s v="85-237-3505"/>
        <s v="32-987-5559"/>
        <s v="51-000-8113"/>
        <s v="60-198-7050"/>
        <s v="55-680-0982"/>
        <s v="73-401-5721"/>
        <s v="47-554-5780"/>
        <s v="99-561-4871"/>
        <s v="27-389-3529"/>
        <s v="09-622-7119"/>
        <s v="60-550-4771"/>
        <s v="94-528-8088"/>
        <s v="81-354-4203"/>
        <s v="41-240-8856"/>
        <s v="45-634-0679"/>
        <s v="88-807-8431"/>
        <s v="91-426-3204"/>
        <s v="57-167-0669"/>
        <s v="46-083-7058"/>
        <s v="00-119-8780"/>
        <s v="83-716-2177"/>
        <s v="03-919-9890"/>
        <s v="55-164-7723"/>
        <s v="83-568-3475"/>
        <s v="27-387-0428"/>
        <s v="19-323-0506"/>
        <s v="37-610-1999"/>
        <s v="65-464-5070"/>
        <s v="70-149-6756"/>
        <s v="39-315-3936"/>
        <s v="32-261-0008"/>
        <s v="95-130-9020"/>
        <s v="08-495-6853"/>
        <s v="93-218-8108"/>
        <s v="99-961-0767"/>
        <s v="72-341-1154"/>
        <s v="79-136-9840"/>
        <s v="80-374-5711"/>
        <s v="27-442-3654"/>
        <s v="39-192-3521"/>
        <s v="19-244-9890"/>
        <s v="24-228-6840"/>
        <s v="67-270-7464"/>
        <s v="06-690-2335"/>
        <s v="46-622-3434"/>
        <s v="29-135-0791"/>
        <s v="07-846-4804"/>
        <s v="68-732-5919"/>
        <s v="86-257-4613"/>
        <s v="30-806-3823"/>
        <s v="54-708-7327"/>
        <s v="79-350-5841"/>
        <s v="44-128-2185"/>
        <s v="96-961-2193"/>
        <s v="53-008-2419"/>
        <s v="49-526-7806"/>
        <s v="73-942-0508"/>
        <s v="38-655-2312"/>
        <s v="29-741-8132"/>
        <s v="24-571-1080"/>
        <s v="52-481-5224"/>
        <s v="48-461-3742"/>
        <s v="85-561-4694"/>
        <s v="49-311-3063"/>
        <s v="82-948-2298"/>
        <s v="66-854-5736"/>
        <s v="34-086-3222"/>
        <s v="64-478-4745"/>
        <s v="44-476-0390"/>
        <s v="78-362-8578"/>
        <s v="70-145-2550"/>
        <s v="99-543-5039"/>
        <s v="28-608-0039"/>
        <s v="56-054-8664"/>
        <s v="06-731-2162"/>
        <s v="26-690-3784"/>
        <s v="08-637-9335"/>
        <s v="77-959-1018"/>
        <s v="19-112-1616"/>
        <s v="51-462-0747"/>
        <s v="15-762-1058"/>
        <s v="49-377-9731"/>
        <s v="13-888-0149"/>
        <s v="29-344-3658"/>
        <s v="93-682-2069"/>
        <s v="43-851-9440"/>
        <s v="71-594-6552"/>
        <s v="51-469-4611"/>
        <s v="90-230-9767"/>
        <s v="42-887-6557"/>
        <s v="22-083-3347"/>
        <s v="65-145-9672"/>
        <s v="95-354-8583"/>
        <s v="84-269-9130"/>
        <s v="35-328-8392"/>
        <s v="56-810-0550"/>
        <s v="53-050-8242"/>
        <s v="83-966-3280"/>
        <s v="81-268-5905"/>
        <s v="36-840-2728"/>
        <s v="33-670-6797"/>
        <s v="19-377-5021"/>
        <s v="11-316-8405"/>
        <s v="11-325-7396"/>
        <s v="03-276-3931"/>
        <s v="10-002-6494"/>
        <s v="71-999-2404"/>
        <s v="80-658-6456"/>
        <s v="74-548-9313"/>
        <s v="02-559-8196"/>
        <s v="20-031-0532"/>
        <s v="63-918-8253"/>
        <s v="93-198-5984"/>
        <s v="00-963-2193"/>
        <s v="89-602-6755"/>
        <s v="37-606-0510"/>
        <s v="20-405-4865"/>
        <s v="50-329-3145"/>
        <s v="87-762-1317"/>
        <s v="98-064-4465"/>
        <s v="79-400-6216"/>
        <s v="33-807-7247"/>
        <s v="12-828-1063"/>
        <s v="43-193-9915"/>
        <s v="83-400-9746"/>
        <s v="63-270-7076"/>
        <s v="60-343-7973"/>
        <s v="30-832-5429"/>
        <s v="51-273-4240"/>
        <s v="28-433-8533"/>
        <s v="24-478-8277"/>
        <s v="40-205-8252"/>
        <s v="10-768-2443"/>
        <s v="79-741-0770"/>
        <s v="60-285-3783"/>
        <s v="67-027-7269"/>
        <s v="37-709-3532"/>
        <s v="22-849-2551"/>
        <s v="72-989-2512"/>
        <s v="38-617-7226"/>
        <s v="79-920-2395"/>
        <s v="31-211-5803"/>
        <s v="58-182-6781"/>
        <s v="63-890-1246"/>
        <s v="38-049-9319"/>
        <s v="85-806-0613"/>
        <s v="69-834-2874"/>
        <s v="04-240-2226"/>
        <s v="33-335-9140"/>
        <s v="65-718-0492"/>
        <s v="73-118-1117"/>
        <s v="09-536-2626"/>
        <s v="82-811-7988"/>
        <s v="91-848-0606"/>
        <s v="88-746-9468"/>
        <s v="08-940-8578"/>
        <s v="90-303-1821"/>
        <s v="73-751-4393"/>
        <s v="53-667-4109"/>
        <s v="07-679-1199"/>
        <s v="05-425-0746"/>
        <s v="76-027-4850"/>
        <s v="46-911-1159"/>
        <s v="47-548-6500"/>
        <s v="02-974-8526"/>
        <s v="91-105-7317"/>
        <s v="27-635-8394"/>
        <s v="51-572-5497"/>
        <s v="53-446-8243"/>
        <s v="76-540-6407"/>
        <s v="43-670-8544"/>
        <s v="91-127-7489"/>
        <s v="36-899-5324"/>
        <s v="25-911-7736"/>
        <s v="17-265-1899"/>
        <s v="63-874-9747"/>
        <s v="82-243-3180"/>
        <s v="07-219-8017"/>
        <s v="76-459-2392"/>
        <s v="62-795-7801"/>
        <s v="97-283-4840"/>
        <s v="66-327-2821"/>
        <s v="64-493-5270"/>
        <s v="45-317-9731"/>
        <s v="87-199-2743"/>
        <s v="29-875-6900"/>
        <s v="45-172-7012"/>
        <s v="31-608-1445"/>
        <s v="56-213-0577"/>
        <s v="25-353-2067"/>
        <s v="60-747-8704"/>
        <s v="28-044-4102"/>
        <s v="68-418-6724"/>
        <s v="11-815-7923"/>
        <s v="47-581-0363"/>
        <s v="98-499-2220"/>
        <s v="31-387-5020"/>
        <s v="67-984-5368"/>
        <s v="35-257-9312"/>
        <s v="26-000-1012"/>
        <s v="28-146-2641"/>
        <s v="19-047-4239"/>
        <s v="08-703-1382"/>
        <s v="11-745-3025"/>
        <s v="04-293-6969"/>
        <s v="74-430-8245"/>
        <s v="13-673-7016"/>
        <s v="65-867-4029"/>
        <s v="44-546-5713"/>
        <s v="48-789-9187"/>
        <s v="06-611-5454"/>
        <s v="67-546-1568"/>
        <s v="84-198-7276"/>
        <s v="74-294-3760"/>
        <s v="64-854-8664"/>
        <s v="76-584-4790"/>
        <s v="10-617-7581"/>
        <s v="11-891-8213"/>
        <s v="87-903-3486"/>
        <s v="16-499-5059"/>
        <s v="75-152-8731"/>
        <s v="44-552-3909"/>
        <s v="74-587-2065"/>
        <s v="19-214-5762"/>
        <s v="65-644-1394"/>
        <s v="20-283-0111"/>
        <s v="94-071-2261"/>
        <s v="37-248-6266"/>
        <s v="11-032-9778"/>
        <s v="38-296-6634"/>
        <s v="38-924-3007"/>
        <s v="50-942-2409"/>
        <s v="30-964-2694"/>
        <s v="08-196-2703"/>
        <s v="38-732-7667"/>
        <s v="70-612-2531"/>
        <s v="40-751-8635"/>
        <s v="97-772-2336"/>
        <s v="43-703-9939"/>
        <s v="93-966-7754"/>
        <s v="33-507-9886"/>
        <s v="93-015-0811"/>
        <s v="88-304-2855"/>
        <s v="27-269-5260"/>
        <s v="57-437-1828"/>
        <s v="11-073-0189"/>
        <s v="15-907-3681"/>
        <s v="07-074-1196"/>
        <s v="43-910-2342"/>
        <s v="45-194-4094"/>
        <s v="17-395-1121"/>
        <s v="02-575-1980"/>
        <s v="48-242-8445"/>
        <s v="63-936-0145"/>
        <s v="98-556-5323"/>
        <s v="28-840-6096"/>
        <s v="63-822-5278"/>
        <s v="90-492-0564"/>
        <s v="06-797-4963"/>
        <s v="52-123-8039"/>
        <s v="76-401-7083"/>
        <s v="75-672-4378"/>
        <s v="08-573-9997"/>
        <s v="42-175-1648"/>
        <s v="28-986-8001"/>
        <s v="47-221-2470"/>
        <s v="71-015-9181"/>
        <s v="46-496-2930"/>
        <s v="73-874-7534"/>
        <s v="12-239-9399"/>
        <s v="02-275-6061"/>
        <s v="11-338-4598"/>
        <s v="27-495-1912"/>
        <s v="38-390-2115"/>
        <s v="23-070-2433"/>
        <s v="47-749-3277"/>
        <s v="90-865-9150"/>
        <s v="53-146-9979"/>
        <s v="20-387-7746"/>
        <s v="87-423-8486"/>
        <s v="09-335-7793"/>
        <s v="28-197-9246"/>
        <s v="83-556-0996"/>
        <s v="40-795-0753"/>
        <s v="01-703-8441"/>
        <s v="92-551-8504"/>
        <s v="44-782-1395"/>
        <s v="02-170-5225"/>
        <s v="11-733-1756"/>
        <s v="02-655-3240"/>
        <s v="22-895-6595"/>
        <s v="99-033-5661"/>
        <s v="62-816-8794"/>
        <s v="53-710-7630"/>
        <s v="39-810-2042"/>
        <s v="55-697-5242"/>
        <s v="34-861-4446"/>
        <s v="76-090-4411"/>
        <s v="61-796-6540"/>
        <s v="35-836-6718"/>
        <s v="12-714-5135"/>
        <s v="36-127-4273"/>
        <s v="31-157-1822"/>
        <s v="49-579-4325"/>
        <s v="87-097-5691"/>
        <s v="63-956-0739"/>
        <s v="61-801-8665"/>
        <s v="41-735-9837"/>
        <s v="92-455-2959"/>
        <s v="28-185-7303"/>
        <s v="37-064-7275"/>
        <s v="26-799-3714"/>
        <s v="75-094-1179"/>
        <s v="24-310-9184"/>
        <s v="97-710-2449"/>
        <s v="94-525-6925"/>
        <s v="15-796-3130"/>
        <s v="04-038-1547"/>
        <s v="26-629-5920"/>
        <s v="41-475-5305"/>
        <s v="71-631-5875"/>
        <s v="56-831-6199"/>
        <s v="36-330-5036"/>
        <s v="50-930-4751"/>
        <s v="45-852-2446"/>
        <s v="32-676-1026"/>
        <s v="61-293-6327"/>
        <s v="85-781-5386"/>
        <s v="41-729-5410"/>
        <s v="06-336-5482"/>
        <s v="13-844-2178"/>
        <s v="67-625-9704"/>
        <s v="81-605-6246"/>
        <s v="51-934-9117"/>
        <s v="22-266-9291"/>
        <s v="76-325-9093"/>
        <s v="83-573-4586"/>
        <s v="06-849-4869"/>
        <s v="06-858-5680"/>
        <s v="95-090-2788"/>
        <s v="27-216-9671"/>
        <s v="72-810-9753"/>
        <s v="60-311-5701"/>
        <s v="72-970-0239"/>
        <s v="89-713-6071"/>
        <s v="93-815-0565"/>
        <s v="77-827-0820"/>
        <s v="43-893-5408"/>
        <s v="46-520-1819"/>
        <s v="19-967-0632"/>
        <s v="92-791-0606"/>
        <s v="01-839-6534"/>
        <s v="02-484-0206"/>
        <s v="29-377-7040"/>
        <s v="51-459-5630"/>
        <s v="08-213-2058"/>
        <s v="40-793-7235"/>
        <s v="02-034-6209"/>
        <s v="49-570-8214"/>
        <s v="34-538-1180"/>
        <s v="70-854-6891"/>
        <s v="69-468-5468"/>
        <s v="75-029-9003"/>
        <s v="73-561-2867"/>
        <s v="53-080-8252"/>
        <s v="56-635-6764"/>
        <s v="71-074-6292"/>
        <s v="62-100-2245"/>
        <s v="94-697-2396"/>
        <s v="10-555-5971"/>
        <s v="53-805-9523"/>
        <s v="25-349-7974"/>
        <s v="77-312-6317"/>
        <s v="74-818-3306"/>
        <s v="27-474-0056"/>
        <s v="29-092-3453"/>
        <s v="82-977-7752"/>
        <s v="22-621-2774"/>
        <s v="87-675-1506"/>
        <s v="01-903-5373"/>
        <s v="03-043-9933"/>
        <s v="15-144-9413"/>
        <s v="80-039-1261"/>
        <s v="01-439-6231"/>
        <s v="72-780-6006"/>
        <s v="36-296-9609"/>
        <s v="03-940-0630"/>
        <s v="44-480-9446"/>
        <s v="64-418-8356"/>
        <s v="29-205-1132"/>
        <s v="54-109-8062"/>
        <s v="14-305-9690"/>
        <s v="62-777-6010"/>
        <s v="74-711-7160"/>
        <s v="09-101-1740"/>
        <s v="78-956-4737"/>
        <s v="87-013-6488"/>
        <s v="42-495-7698"/>
        <s v="93-571-7294"/>
        <s v="13-980-8804"/>
        <s v="94-658-4945"/>
        <s v="68-973-8812"/>
        <s v="17-236-0566"/>
        <s v="17-504-3699"/>
        <s v="13-962-6263"/>
        <s v="82-041-7211"/>
        <s v="70-871-4536"/>
        <s v="27-262-2437"/>
        <s v="97-040-3822"/>
        <s v="57-861-4379"/>
        <s v="45-402-0421"/>
        <s v="98-858-6323"/>
        <s v="35-621-2546"/>
        <s v="80-375-9075"/>
        <s v="07-858-5487"/>
        <s v="35-835-5591"/>
        <s v="91-257-3672"/>
        <s v="26-535-4727"/>
        <s v="08-725-8156"/>
        <s v="60-343-3288"/>
        <s v="46-255-3073"/>
        <s v="52-797-6961"/>
        <s v="94-355-3070"/>
        <s v="26-456-1992"/>
        <s v="54-830-6971"/>
        <s v="04-453-5485"/>
        <s v="57-903-6434"/>
        <s v="92-362-3567"/>
        <s v="49-199-6836"/>
        <s v="99-048-8310"/>
        <s v="66-627-9752"/>
        <s v="26-010-9519"/>
        <s v="01-144-5960"/>
        <s v="28-824-9017"/>
        <s v="40-462-2952"/>
        <s v="03-061-1344"/>
        <s v="12-342-4482"/>
        <s v="60-644-6596"/>
        <s v="87-791-5803"/>
        <s v="44-538-3366"/>
        <s v="39-479-5147"/>
        <s v="80-072-8774"/>
        <s v="94-020-6982"/>
        <s v="74-666-5671"/>
        <s v="73-010-8323"/>
        <s v="31-255-9616"/>
        <s v="44-112-3331"/>
        <s v="31-403-6234"/>
        <s v="82-342-7339"/>
        <s v="74-562-7431"/>
        <s v="24-986-5091"/>
        <s v="26-031-8070"/>
        <s v="56-668-5370"/>
        <s v="43-153-8268"/>
        <s v="48-289-0604"/>
        <s v="92-837-8839"/>
        <s v="79-569-8856"/>
        <s v="23-395-3157"/>
        <s v="34-075-0371"/>
        <s v="87-997-0228"/>
        <s v="28-505-8317"/>
        <s v="21-993-5632"/>
        <s v="11-766-8738"/>
        <s v="22-329-7791"/>
        <s v="10-137-9759"/>
        <s v="19-854-3663"/>
        <s v="44-637-5512"/>
        <s v="55-522-8242"/>
        <s v="03-149-9760"/>
        <s v="73-567-6194"/>
        <s v="26-134-9069"/>
        <s v="46-632-8420"/>
        <s v="41-526-4036"/>
        <s v="02-920-4829"/>
        <s v="96-503-7712"/>
        <s v="31-627-6025"/>
        <s v="74-943-9034"/>
        <s v="83-108-1174"/>
        <s v="61-317-9944"/>
        <s v="56-657-4387"/>
        <s v="85-510-2915"/>
        <s v="21-650-9319"/>
        <s v="29-896-7926"/>
        <s v="86-273-9377"/>
        <s v="34-547-0827"/>
        <s v="21-809-7115"/>
        <s v="42-220-9305"/>
        <s v="76-854-0095"/>
        <s v="22-141-9798"/>
        <s v="38-417-4656"/>
        <s v="22-319-1377"/>
        <s v="40-683-0283"/>
        <s v="40-003-7322"/>
        <s v="08-396-2704"/>
        <s v="77-937-1108"/>
        <s v="99-894-4351"/>
        <s v="09-618-2842"/>
        <s v="20-225-3930"/>
        <s v="14-681-7035"/>
        <s v="65-282-0419"/>
        <s v="78-689-8958"/>
        <s v="93-166-3169"/>
        <s v="96-334-2593"/>
        <s v="24-009-1208"/>
        <s v="86-482-6451"/>
        <s v="57-394-4703"/>
        <s v="13-409-9040"/>
        <s v="88-183-5781"/>
        <s v="65-235-7676"/>
        <s v="17-274-6898"/>
        <s v="19-610-2236"/>
        <s v="31-746-4951"/>
        <s v="42-674-3917"/>
        <s v="45-992-5653"/>
        <s v="86-978-6666"/>
        <s v="57-101-0060"/>
        <s v="44-634-8292"/>
        <s v="89-922-4773"/>
        <s v="87-104-0187"/>
        <s v="89-181-4523"/>
        <s v="04-758-0410"/>
        <s v="50-329-3360"/>
        <s v="56-303-5256"/>
        <s v="06-340-6856"/>
        <s v="80-441-7249"/>
        <s v="06-655-5498"/>
        <s v="82-231-4245"/>
        <s v="69-674-5387"/>
        <s v="40-997-2786"/>
        <s v="34-131-8805"/>
        <s v="23-265-8144"/>
        <s v="56-894-3733"/>
        <s v="66-806-6051"/>
        <s v="03-441-4252"/>
        <s v="98-546-7398"/>
        <s v="22-760-4605"/>
        <s v="26-161-6692"/>
        <s v="68-761-6907"/>
        <s v="80-988-4653"/>
        <s v="40-021-2400"/>
        <s v="69-287-9113"/>
        <s v="29-823-6004"/>
        <s v="70-534-7796"/>
        <s v="92-652-3737"/>
        <s v="15-846-7959"/>
        <s v="63-897-8088"/>
      </sharedItems>
    </cacheField>
    <cacheField name="Product_Name" numFmtId="0">
      <sharedItems count="121">
        <s v="All-Purpose Flour"/>
        <s v="Almond Flour"/>
        <s v="Anchovies"/>
        <s v="Apple"/>
        <s v="Apricot"/>
        <s v="Arabica Coffee"/>
        <s v="Arborio Rice"/>
        <s v="Asparagus"/>
        <s v="Avocado Oil"/>
        <s v="Banana"/>
        <s v="Basmati Rice"/>
        <s v="Bell Pepper"/>
        <s v="Black Coffee"/>
        <s v="Black Rice"/>
        <s v="Black Tea"/>
        <s v="Blueberries"/>
        <s v="Bread Flour"/>
        <s v="Broccoli"/>
        <s v="Brown Rice"/>
        <s v="Butter"/>
        <s v="Butter Biscuit"/>
        <s v="Buttermilk"/>
        <s v="Cabbage"/>
        <s v="Canola Oil"/>
        <s v="Carrot"/>
        <s v="Cauliflower"/>
        <s v="Cheddar Cheese"/>
        <s v="Cheese"/>
        <s v="Cherry"/>
        <s v="Chocolate Biscuit"/>
        <s v="Coconut"/>
        <s v="Coconut Oil"/>
        <s v="Coconut Sugar"/>
        <s v="Cod"/>
        <s v="Corn Oil"/>
        <s v="Cottage Cheese"/>
        <s v="Cream"/>
        <s v="Cucumber"/>
        <s v="Digestive Biscuit"/>
        <s v="Egg (Chicken)"/>
        <s v="Egg (Duck)"/>
        <s v="Egg (Goose)"/>
        <s v="Egg (Quail)"/>
        <s v="Egg (Turkey)"/>
        <s v="Eggplant"/>
        <s v="Evaporated Milk"/>
        <s v="Feta Cheese"/>
        <s v="Garlic"/>
        <s v="Gouda Cheese"/>
        <s v="Grapes"/>
        <s v="Greek Yogurt"/>
        <s v="Green Beans"/>
        <s v="Green Coffee"/>
        <s v="Green Tea"/>
        <s v="Haddock"/>
        <s v="Halibut"/>
        <s v="Heavy Cream"/>
        <s v="Herbal Tea"/>
        <s v="Jasmine Rice"/>
        <s v="Kale"/>
        <s v="Kiwi"/>
        <s v="Lemon"/>
        <s v="Lettuce"/>
        <s v="Lime"/>
        <s v="Long Grain Rice"/>
        <s v="Mackerel"/>
        <s v="Mango"/>
        <s v="Milk"/>
        <s v="Mozzarella Cheese"/>
        <s v="Multigrain Bread"/>
        <s v="Mushrooms"/>
        <s v="Oatmeal Biscuit"/>
        <s v="Olive Oil"/>
        <s v="Onion"/>
        <s v="Orange"/>
        <s v="Palm Oil"/>
        <s v="Papaya"/>
        <s v="Parmesan Cheese"/>
        <s v="Peach"/>
        <s v="Peanut Oil"/>
        <s v="Pear"/>
        <s v="Peas"/>
        <s v="Pineapple"/>
        <s v="Plum"/>
        <s v="Pomegranate"/>
        <s v="Potato"/>
        <s v="Powdered Sugar"/>
        <s v="Raw Sugar"/>
        <s v="Rice Flour"/>
        <s v="Ricotta Cheese"/>
        <s v="Robusta Coffee"/>
        <s v="Rye Bread"/>
        <s v="Salmon"/>
        <s v="Sardines"/>
        <s v="Sesame Oil"/>
        <s v="Short Grain Rice"/>
        <s v="Sour Cream"/>
        <s v="Sourdough Bread"/>
        <s v="Spinach"/>
        <s v="Strawberries"/>
        <s v="Sunflower Oil"/>
        <s v="Sushi Rice"/>
        <s v="Sweet Potato"/>
        <s v="Swiss Cheese"/>
        <s v="Tilapia"/>
        <s v="Tomato"/>
        <s v="Trout"/>
        <s v="Tuna"/>
        <s v="Vanilla Biscuit"/>
        <s v="Vegetable Oil"/>
        <s v="Watermelon"/>
        <s v="Whipped Cream"/>
        <s v="White Bread"/>
        <s v="White Rice"/>
        <s v="White Sugar"/>
        <s v="White Tea"/>
        <s v="Whole Wheat Bread"/>
        <s v="Whole Wheat Flour"/>
        <s v="Wild Rice"/>
        <s v="Yogurt"/>
        <s v="Zucchini"/>
      </sharedItems>
    </cacheField>
    <cacheField name="Category" numFmtId="0">
      <sharedItems containsBlank="1" count="8">
        <s v="Grains &amp; Pulses"/>
        <s v="Seafood"/>
        <s v="Fruits &amp; Vegetables"/>
        <s v="Beverages"/>
        <s v="Oils &amp; Fats"/>
        <s v="Dairy"/>
        <s v="Bakery"/>
        <m u="1"/>
      </sharedItems>
    </cacheField>
    <cacheField name="Supplier_ID" numFmtId="0">
      <sharedItems/>
    </cacheField>
    <cacheField name="Supplier_Name" numFmtId="0">
      <sharedItems count="350">
        <s v="Dabjam"/>
        <s v="Wikibox"/>
        <s v="Pixonyx"/>
        <s v="Brainverse"/>
        <s v="Eimbee"/>
        <s v="Trudoo"/>
        <s v="Trilia"/>
        <s v="Voonte"/>
        <s v="Thoughtblab"/>
        <s v="Camido"/>
        <s v="Skaboo"/>
        <s v="Shuffledrive"/>
        <s v="Jaxspan"/>
        <s v="Zoonder"/>
        <s v="Flipopia"/>
        <s v="Quatz"/>
        <s v="Mybuzz"/>
        <s v="Skipfire"/>
        <s v="Twitterbridge"/>
        <s v="Voolia"/>
        <s v="Jatri"/>
        <s v="Zoovu"/>
        <s v="Zava"/>
        <s v="Chatterpoint"/>
        <s v="Omba"/>
        <s v="Wikido"/>
        <s v="Geba"/>
        <s v="Jabbersphere"/>
        <s v="Quinu"/>
        <s v="Topiczoom"/>
        <s v="LiveZ"/>
        <s v="Fivebridge"/>
        <s v="Blognation"/>
        <s v="Skinix"/>
        <s v="Feedmix"/>
        <s v="Skivee"/>
        <s v="Voomm"/>
        <s v="Yadel"/>
        <s v="Mynte"/>
        <s v="Youspan"/>
        <s v="Jayo"/>
        <s v="Feedfire"/>
        <s v="Voonyx"/>
        <s v="Rhyzio"/>
        <s v="Rhycero"/>
        <s v="Yotz"/>
        <s v="Jetpulse"/>
        <s v="Zoozzy"/>
        <s v="Realcube"/>
        <s v="Dabtype"/>
        <s v="Talane"/>
        <s v="Feednation"/>
        <s v="Devpoint"/>
        <s v="Realmix"/>
        <s v="Yabox"/>
        <s v="Buzzbean"/>
        <s v="Zoomzone"/>
        <s v="Voonder"/>
        <s v="Vitz"/>
        <s v="Skajo"/>
        <s v="Quamba"/>
        <s v="Twitterwire"/>
        <s v="Voolith"/>
        <s v="Dazzlesphere"/>
        <s v="Vinder"/>
        <s v="Youfeed"/>
        <s v="Edgetag"/>
        <s v="Kanoodle"/>
        <s v="Skidoo"/>
        <s v="Yodo"/>
        <s v="Skimia"/>
        <s v="Yamia"/>
        <s v="Tagtune"/>
        <s v="Linklinks"/>
        <s v="Leenti"/>
        <s v="Tagpad"/>
        <s v="Devcast"/>
        <s v="Fatz"/>
        <s v="Jaxbean"/>
        <s v="Meetz"/>
        <s v="Livetube"/>
        <s v="Realpoint"/>
        <s v="Flipbug"/>
        <s v="Gabspot"/>
        <s v="Aimbu"/>
        <s v="Digitube"/>
        <s v="Skyndu"/>
        <s v="Wikivu"/>
        <s v="Bubblemix"/>
        <s v="Npath"/>
        <s v="Reallinks"/>
        <s v="Shuffletag"/>
        <s v="BlogXS"/>
        <s v="Zazio"/>
        <s v="Wordware"/>
        <s v="Brainbox"/>
        <s v="Topicstorm"/>
        <s v="Ozu"/>
        <s v="Devshare"/>
        <s v="Jaloo"/>
        <s v="Zoombeat"/>
        <s v="Kare"/>
        <s v="DabZ"/>
        <s v="Kayveo"/>
        <s v="Kamba"/>
        <s v="Eidel"/>
        <s v="Browsezoom"/>
        <s v="Mydeo"/>
        <s v="Skynoodle"/>
        <s v="Bubblebox"/>
        <s v="Roomm"/>
        <s v="Realblab"/>
        <s v="Oloo"/>
        <s v="Demizz"/>
        <s v="Avaveo"/>
        <s v="Jazzy"/>
        <s v="Buzzster"/>
        <s v="Skilith"/>
        <s v="Abatz"/>
        <s v="Plajo"/>
        <s v="Oyondu"/>
        <s v="Avamm"/>
        <s v="Youtags"/>
        <s v="Viva"/>
        <s v="Meembee"/>
        <s v="Vipe"/>
        <s v="Bluejam"/>
        <s v="InnoZ"/>
        <s v="Ooba"/>
        <s v="Zoombox"/>
        <s v="Twitterbeat"/>
        <s v="Twitterlist"/>
        <s v="Wordpedia"/>
        <s v="Chatterbridge"/>
        <s v="Meevee"/>
        <s v="Rooxo"/>
        <s v="Topdrive"/>
        <s v="Twitternation"/>
        <s v="Lajo"/>
        <s v="Kimia"/>
        <s v="Katz"/>
        <s v="Tagopia"/>
        <s v="Thoughtmix"/>
        <s v="Gevee"/>
        <s v="Linkbridge"/>
        <s v="Gigashots"/>
        <s v="Gigaclub"/>
        <s v="Shufflester"/>
        <s v="Abata"/>
        <s v="Dynabox"/>
        <s v="Jabberstorm"/>
        <s v="Photobug"/>
        <s v="Cogilith"/>
        <s v="Yakitri"/>
        <s v="Tanoodle"/>
        <s v="Flashspan"/>
        <s v="Oyoba"/>
        <s v="Wordify"/>
        <s v="Oyonder"/>
        <s v="Quaxo"/>
        <s v="Gabcube"/>
        <s v="Oozz"/>
        <s v="Gigazoom"/>
        <s v="Vidoo"/>
        <s v="JumpXS"/>
        <s v="Trunyx"/>
        <s v="Photobean"/>
        <s v="Babbleblab"/>
        <s v="Mydo"/>
        <s v="Skippad"/>
        <s v="Browseblab"/>
        <s v="Eamia"/>
        <s v="Eazzy"/>
        <s v="Mudo"/>
        <s v="Brightdog"/>
        <s v="Tagchat"/>
        <s v="Topiclounge"/>
        <s v="Lazz"/>
        <s v="Devbug"/>
        <s v="Buzzshare"/>
        <s v="Izio"/>
        <s v="Roombo"/>
        <s v="Kwimbee"/>
        <s v="Tagfeed"/>
        <s v="Twinte"/>
        <s v="Youbridge"/>
        <s v="Centizu"/>
        <s v="Midel"/>
        <s v="Divape"/>
        <s v="Riffpedia"/>
        <s v="Trilith"/>
        <s v="Skinte"/>
        <s v="Eire"/>
        <s v="Innojam"/>
        <s v="Flashset"/>
        <s v="Dabvine"/>
        <s v="Vimbo"/>
        <s v="Realfire"/>
        <s v="Kaymbo"/>
        <s v="Einti"/>
        <s v="Babblestorm"/>
        <s v="Zoonoodle"/>
        <s v="Blogtags"/>
        <s v="Yombu"/>
        <s v="Dynazzy"/>
        <s v="Aivee"/>
        <s v="Muxo"/>
        <s v="Dynava"/>
        <s v="Youopia"/>
        <s v="Skalith"/>
        <s v="Gabvine"/>
        <s v="Oba"/>
        <s v="Skyble"/>
        <s v="Vinte"/>
        <s v="Ntags"/>
        <s v="Meejo"/>
        <s v="Bluezoom"/>
        <s v="Gigabox"/>
        <s v="Browsedrive"/>
        <s v="Twimm"/>
        <s v="Browsecat"/>
        <s v="Topicblab"/>
        <s v="Ainyx"/>
        <s v="Blogpad"/>
        <s v="Blogtag"/>
        <s v="Miboo"/>
        <s v="Centimia"/>
        <s v="Demivee"/>
        <s v="Rhynyx"/>
        <s v="Thoughtstorm"/>
        <s v="Tavu"/>
        <s v="Twiyo"/>
        <s v="Layo"/>
        <s v="Rhyloo"/>
        <s v="Kazu"/>
        <s v="Rhynoodle"/>
        <s v="Camimbo"/>
        <s v="Edgewire"/>
        <s v="Aibox"/>
        <s v="Riffwire"/>
        <s v="Meeveo"/>
        <s v="Avamba"/>
        <s v="Fivespan"/>
        <s v="Kwinu"/>
        <s v="Cogibox"/>
        <s v="Oyoyo"/>
        <s v="Livepath"/>
        <s v="Fiveclub"/>
        <s v="Thoughtsphere"/>
        <s v="Babbleopia"/>
        <s v="Buzzdog"/>
        <s v="Feedfish"/>
        <s v="Snaptags"/>
        <s v="Rhybox"/>
        <s v="Linktype"/>
        <s v="Wikizz"/>
        <s v="Yata"/>
        <s v="Tambee"/>
        <s v="Yoveo"/>
        <s v="Myworks"/>
        <s v="Jabbertype"/>
        <s v="Tagcat"/>
        <s v="Kwilith"/>
        <s v="Topicware"/>
        <s v="Babbleset"/>
        <s v="Skyba"/>
        <s v="Yodoo"/>
        <s v="Brightbean"/>
        <s v="Dabshots"/>
        <s v="Zooveo"/>
        <s v="Tazz"/>
        <s v="Avavee"/>
        <s v="Fadeo"/>
        <s v="Meemm"/>
        <s v="Livefish"/>
        <s v="Shufflebeat"/>
        <s v="Janyx"/>
        <s v="Twitterworks"/>
        <s v="Kazio"/>
        <s v="Dabfeed"/>
        <s v="Oyoloo"/>
        <s v="Meezzy"/>
        <s v="Wordtune"/>
        <s v="Jaxnation"/>
        <s v="Devpulse"/>
        <s v="Jabbercube"/>
        <s v="Blogspan"/>
        <s v="Roodel"/>
        <s v="Topicshots"/>
        <s v="Photospace"/>
        <s v="Yakijo"/>
        <s v="Pixope"/>
        <s v="Fliptune"/>
        <s v="Skiba"/>
        <s v="Demimbu"/>
        <s v="Flashdog"/>
        <s v="Zooxo"/>
        <s v="Skibox"/>
        <s v="Browsetype"/>
        <s v="Skipstorm"/>
        <s v="Ntag"/>
        <s v="Feedspan"/>
        <s v="Yakidoo"/>
        <s v="Quire"/>
        <s v="Edgeify"/>
        <s v="Pixoboo"/>
        <s v="Voonix"/>
        <s v="Cogidoo"/>
        <s v="Edgepulse"/>
        <s v="Photolist"/>
        <s v="Meedoo"/>
        <s v="Edgeclub"/>
        <s v="Photojam"/>
        <s v="Brainsphere"/>
        <s v="Yambee"/>
        <s v="Thoughtbeat"/>
        <s v="Browsebug"/>
        <s v="Eare"/>
        <s v="Kwideo"/>
        <s v="Teklist"/>
        <s v="Thoughtbridge"/>
        <s v="Eabox"/>
        <s v="Eadel"/>
        <s v="Photofeed"/>
        <s v="Jetwire"/>
        <s v="Yozio"/>
        <s v="Skiptube"/>
        <s v="Mymm"/>
        <s v="Brainlounge"/>
        <s v="Mycat"/>
        <s v="Fanoodle"/>
        <s v="Eayo"/>
        <s v="Feedbug"/>
        <s v="Divanoodle"/>
        <s v="Jaxworks"/>
        <s v="Skyvu"/>
        <s v="Yodel"/>
        <s v="Zoomlounge"/>
        <s v="Tekfly"/>
        <s v="Latz"/>
        <s v="Trupe"/>
        <s v="Centidel"/>
        <s v="Jamia"/>
        <s v="Realbridge"/>
        <s v="Trudeo"/>
        <s v="Innotype"/>
        <s v="Agivu"/>
        <s v="Podcat"/>
        <s v="Thoughtworks"/>
        <s v="Quimm"/>
      </sharedItems>
    </cacheField>
    <cacheField name="Stock_Quantity" numFmtId="0">
      <sharedItems containsSemiMixedTypes="0" containsString="0" containsNumber="1" containsInteger="1" minValue="10" maxValue="100" count="91">
        <n v="55"/>
        <n v="54"/>
        <n v="50"/>
        <n v="13"/>
        <n v="75"/>
        <n v="76"/>
        <n v="37"/>
        <n v="79"/>
        <n v="74"/>
        <n v="77"/>
        <n v="85"/>
        <n v="12"/>
        <n v="88"/>
        <n v="81"/>
        <n v="60"/>
        <n v="100"/>
        <n v="66"/>
        <n v="83"/>
        <n v="44"/>
        <n v="51"/>
        <n v="86"/>
        <n v="64"/>
        <n v="93"/>
        <n v="43"/>
        <n v="71"/>
        <n v="17"/>
        <n v="84"/>
        <n v="38"/>
        <n v="73"/>
        <n v="89"/>
        <n v="90"/>
        <n v="42"/>
        <n v="45"/>
        <n v="62"/>
        <n v="21"/>
        <n v="97"/>
        <n v="46"/>
        <n v="22"/>
        <n v="36"/>
        <n v="98"/>
        <n v="23"/>
        <n v="65"/>
        <n v="78"/>
        <n v="20"/>
        <n v="95"/>
        <n v="56"/>
        <n v="34"/>
        <n v="68"/>
        <n v="92"/>
        <n v="80"/>
        <n v="18"/>
        <n v="99"/>
        <n v="10"/>
        <n v="53"/>
        <n v="14"/>
        <n v="24"/>
        <n v="30"/>
        <n v="82"/>
        <n v="39"/>
        <n v="15"/>
        <n v="26"/>
        <n v="11"/>
        <n v="96"/>
        <n v="70"/>
        <n v="49"/>
        <n v="94"/>
        <n v="61"/>
        <n v="33"/>
        <n v="40"/>
        <n v="87"/>
        <n v="59"/>
        <n v="19"/>
        <n v="35"/>
        <n v="28"/>
        <n v="27"/>
        <n v="57"/>
        <n v="25"/>
        <n v="63"/>
        <n v="31"/>
        <n v="47"/>
        <n v="48"/>
        <n v="52"/>
        <n v="69"/>
        <n v="91"/>
        <n v="67"/>
        <n v="29"/>
        <n v="16"/>
        <n v="32"/>
        <n v="72"/>
        <n v="41"/>
        <n v="58"/>
      </sharedItems>
    </cacheField>
    <cacheField name="Stock_Value" numFmtId="166">
      <sharedItems containsSemiMixedTypes="0" containsString="0" containsNumber="1" minValue="2" maxValue="5512.08"/>
    </cacheField>
    <cacheField name="Reorder_Level" numFmtId="0">
      <sharedItems containsSemiMixedTypes="0" containsString="0" containsNumber="1" containsInteger="1" minValue="1" maxValue="100"/>
    </cacheField>
    <cacheField name="Reorder_Quantity" numFmtId="0">
      <sharedItems containsSemiMixedTypes="0" containsString="0" containsNumber="1" containsInteger="1" minValue="1" maxValue="100"/>
    </cacheField>
    <cacheField name="Reorder_Value" numFmtId="166">
      <sharedItems containsSemiMixedTypes="0" containsString="0" containsNumber="1" minValue="0.4" maxValue="5807.3700000000008" count="612">
        <n v="24.5"/>
        <n v="119"/>
        <n v="35"/>
        <n v="66.5"/>
        <n v="712.5"/>
        <n v="855"/>
        <n v="19"/>
        <n v="323"/>
        <n v="484.5"/>
        <n v="864.5"/>
        <n v="294.5"/>
        <n v="893"/>
        <n v="874"/>
        <n v="810"/>
        <n v="200"/>
        <n v="360"/>
        <n v="80"/>
        <n v="410"/>
        <n v="390"/>
        <n v="760"/>
        <n v="950"/>
        <n v="960"/>
        <n v="920"/>
        <n v="700"/>
        <n v="157.5"/>
        <n v="346.5"/>
        <n v="59.5"/>
        <n v="45.5"/>
        <n v="322"/>
        <n v="280"/>
        <n v="355"/>
        <n v="370"/>
        <n v="95"/>
        <n v="210"/>
        <n v="260"/>
        <n v="310"/>
        <n v="40"/>
        <n v="1680"/>
        <n v="120"/>
        <n v="378"/>
        <n v="252"/>
        <n v="1980"/>
        <n v="1780"/>
        <n v="525"/>
        <n v="1260"/>
        <n v="100"/>
        <n v="300"/>
        <n v="1480"/>
        <n v="1940"/>
        <n v="820"/>
        <n v="1540"/>
        <n v="799.5"/>
        <n v="333"/>
        <n v="72"/>
        <n v="99"/>
        <n v="432"/>
        <n v="365"/>
        <n v="405"/>
        <n v="460"/>
        <n v="96"/>
        <n v="173.9"/>
        <n v="90"/>
        <n v="195"/>
        <n v="230"/>
        <n v="1000"/>
        <n v="270"/>
        <n v="520"/>
        <n v="5807.3700000000008"/>
        <n v="4897.62"/>
        <n v="949.22"/>
        <n v="251.82"/>
        <n v="180"/>
        <n v="202.4"/>
        <n v="288"/>
        <n v="315.95"/>
        <n v="279"/>
        <n v="320.40000000000003"/>
        <n v="247.5"/>
        <n v="396"/>
        <n v="78.199999999999989"/>
        <n v="121.5"/>
        <n v="189.20000000000002"/>
        <n v="67.5"/>
        <n v="166.5"/>
        <n v="40.5"/>
        <n v="423"/>
        <n v="1320"/>
        <n v="435"/>
        <n v="1140"/>
        <n v="496"/>
        <n v="75"/>
        <n v="387.5"/>
        <n v="1410"/>
        <n v="900"/>
        <n v="342.7"/>
        <n v="498"/>
        <n v="451.4"/>
        <n v="582"/>
        <n v="467.40000000000003"/>
        <n v="487.5"/>
        <n v="43.75"/>
        <n v="622.29999999999995"/>
        <n v="604.79999999999995"/>
        <n v="137.5"/>
        <n v="161.20000000000002"/>
        <n v="258"/>
        <n v="380"/>
        <n v="425"/>
        <n v="85"/>
        <n v="450"/>
        <n v="280.89999999999998"/>
        <n v="420"/>
        <n v="408.90000000000003"/>
        <n v="530"/>
        <n v="540"/>
        <n v="220"/>
        <n v="250"/>
        <n v="440"/>
        <n v="670"/>
        <n v="470"/>
        <n v="132"/>
        <n v="106.5"/>
        <n v="97.5"/>
        <n v="27"/>
        <n v="102"/>
        <n v="34.5"/>
        <n v="61.5"/>
        <n v="138"/>
        <n v="129"/>
        <n v="54"/>
        <n v="42"/>
        <n v="45"/>
        <n v="10.5"/>
        <n v="12"/>
        <n v="145.5"/>
        <n v="184"/>
        <n v="208"/>
        <n v="392"/>
        <n v="112"/>
        <n v="304"/>
        <n v="24"/>
        <n v="344"/>
        <n v="256"/>
        <n v="102.5"/>
        <n v="142.5"/>
        <n v="15"/>
        <n v="135"/>
        <n v="37.5"/>
        <n v="192.5"/>
        <n v="167.5"/>
        <n v="117.5"/>
        <n v="77.5"/>
        <n v="63"/>
        <n v="207.70000000000002"/>
        <n v="101.5"/>
        <n v="366"/>
        <n v="402"/>
        <n v="564"/>
        <n v="168"/>
        <n v="246"/>
        <n v="190"/>
        <n v="129.6"/>
        <n v="171.5"/>
        <n v="170"/>
        <n v="102.9"/>
        <n v="226.95"/>
        <n v="185"/>
        <n v="55"/>
        <n v="49"/>
        <n v="36"/>
        <n v="4525.3999999999996"/>
        <n v="17"/>
        <n v="4"/>
        <n v="10.8"/>
        <n v="133.39999999999998"/>
        <n v="151.79999999999998"/>
        <n v="211.6"/>
        <n v="92"/>
        <n v="62.099999999999994"/>
        <n v="144.89999999999998"/>
        <n v="200.1"/>
        <n v="172.5"/>
        <n v="98.899999999999991"/>
        <n v="147"/>
        <n v="111.64999999999999"/>
        <n v="85.5"/>
        <n v="148.5"/>
        <n v="102.4"/>
        <n v="92.5"/>
        <n v="235"/>
        <n v="60"/>
        <n v="186.14999999999998"/>
        <n v="171.12"/>
        <n v="65"/>
        <n v="25"/>
        <n v="245"/>
        <n v="115"/>
        <n v="147.5"/>
        <n v="873"/>
        <n v="186.9"/>
        <n v="648"/>
        <n v="846"/>
        <n v="284.8"/>
        <n v="315"/>
        <n v="9"/>
        <n v="441"/>
        <n v="801"/>
        <n v="18"/>
        <n v="940.5"/>
        <n v="294.39999999999998"/>
        <n v="387"/>
        <n v="55.199999999999996"/>
        <n v="88"/>
        <n v="472"/>
        <n v="800"/>
        <n v="500"/>
        <n v="240"/>
        <n v="130"/>
        <n v="395"/>
        <n v="350"/>
        <n v="125"/>
        <n v="345"/>
        <n v="30"/>
        <n v="330"/>
        <n v="105"/>
        <n v="696"/>
        <n v="152"/>
        <n v="640"/>
        <n v="416"/>
        <n v="64"/>
        <n v="212.5"/>
        <n v="165"/>
        <n v="32.5"/>
        <n v="57.5"/>
        <n v="177.5"/>
        <n v="5"/>
        <n v="278.39999999999998"/>
        <n v="196.79999999999998"/>
        <n v="4.7"/>
        <n v="126"/>
        <n v="113.75"/>
        <n v="16.2"/>
        <n v="50.75"/>
        <n v="156.6"/>
        <n v="145.80000000000001"/>
        <n v="384"/>
        <n v="228"/>
        <n v="364"/>
        <n v="108"/>
        <n v="336"/>
        <n v="14"/>
        <n v="0.4"/>
        <n v="4.8000000000000007"/>
        <n v="0.8"/>
        <n v="8.8000000000000007"/>
        <n v="3.6"/>
        <n v="8.6"/>
        <n v="41"/>
        <n v="61"/>
        <n v="69"/>
        <n v="77"/>
        <n v="74"/>
        <n v="42.5"/>
        <n v="122.5"/>
        <n v="181.3"/>
        <n v="152.5"/>
        <n v="10"/>
        <n v="90.65"/>
        <n v="124.8"/>
        <n v="2.5"/>
        <n v="64.8"/>
        <n v="70.400000000000006"/>
        <n v="55.2"/>
        <n v="56.800000000000004"/>
        <n v="62.400000000000006"/>
        <n v="72.5"/>
        <n v="207.5"/>
        <n v="141.6"/>
        <n v="54.050000000000004"/>
        <n v="197.5"/>
        <n v="282"/>
        <n v="216"/>
        <n v="189"/>
        <n v="33"/>
        <n v="154"/>
        <n v="172.9"/>
        <n v="148.19999999999999"/>
        <n v="150"/>
        <n v="20"/>
        <n v="194"/>
        <n v="70"/>
        <n v="588"/>
        <n v="560"/>
        <n v="448"/>
        <n v="623"/>
        <n v="140"/>
        <n v="217"/>
        <n v="91"/>
        <n v="686"/>
        <n v="434"/>
        <n v="225.5"/>
        <n v="467.5"/>
        <n v="478.5"/>
        <n v="506"/>
        <n v="533.5"/>
        <n v="423.5"/>
        <n v="341"/>
        <n v="11"/>
        <n v="214.5"/>
        <n v="550"/>
        <n v="5.5"/>
        <n v="236.5"/>
        <n v="294"/>
        <n v="562.87"/>
        <n v="162"/>
        <n v="117"/>
        <n v="979.33999999999992"/>
        <n v="56"/>
        <n v="81.900000000000006"/>
        <n v="82"/>
        <n v="58.800000000000004"/>
        <n v="155.4"/>
        <n v="104"/>
        <n v="412.5"/>
        <n v="1116"/>
        <n v="756"/>
        <n v="888"/>
        <n v="576"/>
        <n v="1250"/>
        <n v="680"/>
        <n v="463.59999999999997"/>
        <n v="178.5"/>
        <n v="792"/>
        <n v="704"/>
        <n v="224"/>
        <n v="657"/>
        <n v="585"/>
        <n v="837"/>
        <n v="486"/>
        <n v="891"/>
        <n v="783"/>
        <n v="567"/>
        <n v="702"/>
        <n v="306"/>
        <n v="1560"/>
        <n v="1400"/>
        <n v="1720"/>
        <n v="1360"/>
        <n v="1920"/>
        <n v="1300"/>
        <n v="292"/>
        <n v="407.40000000000003"/>
        <n v="385.4"/>
        <n v="357"/>
        <n v="2250"/>
        <n v="2511"/>
        <n v="2940"/>
        <n v="365.75"/>
        <n v="28.5"/>
        <n v="351.5"/>
        <n v="389.5"/>
        <n v="346.75"/>
        <n v="114"/>
        <n v="285"/>
        <n v="14.25"/>
        <n v="470.25"/>
        <n v="422.75"/>
        <n v="384.75"/>
        <n v="52.25"/>
        <n v="456"/>
        <n v="376"/>
        <n v="348"/>
        <n v="276"/>
        <n v="356"/>
        <n v="318"/>
        <n v="535.80000000000007"/>
        <n v="63.8"/>
        <n v="110.39999999999999"/>
        <n v="196"/>
        <n v="88.8"/>
        <n v="50"/>
        <n v="169.05"/>
        <n v="2"/>
        <n v="28"/>
        <n v="144"/>
        <n v="182"/>
        <n v="136"/>
        <n v="108.3"/>
        <n v="36.1"/>
        <n v="93"/>
        <n v="145.6"/>
        <n v="48"/>
        <n v="87"/>
        <n v="73.5"/>
        <n v="139.5"/>
        <n v="102.95"/>
        <n v="705"/>
        <n v="22.5"/>
        <n v="480"/>
        <n v="675"/>
        <n v="255"/>
        <n v="297.59999999999997"/>
        <n v="131.6"/>
        <n v="254.8"/>
        <n v="450.8"/>
        <n v="26"/>
        <n v="86"/>
        <n v="88.2"/>
        <n v="93.600000000000009"/>
        <n v="603.5"/>
        <n v="43.2"/>
        <n v="455"/>
        <n v="129.5"/>
        <n v="73.600000000000009"/>
        <n v="161"/>
        <n v="87.5"/>
        <n v="246.4"/>
        <n v="94.5"/>
        <n v="308.75"/>
        <n v="234"/>
        <n v="570"/>
        <n v="489.8"/>
        <n v="390.59999999999997"/>
        <n v="106.25"/>
        <n v="160"/>
        <n v="110"/>
        <n v="215"/>
        <n v="265"/>
        <n v="438"/>
        <n v="156"/>
        <n v="192"/>
        <n v="324"/>
        <n v="146"/>
        <n v="148"/>
        <n v="58"/>
        <n v="84"/>
        <n v="122"/>
        <n v="78"/>
        <n v="213"/>
        <n v="176.9"/>
        <n v="264"/>
        <n v="226.3"/>
        <n v="62.7"/>
        <n v="153.4"/>
        <n v="49.3"/>
        <n v="104.4"/>
        <n v="120.60000000000001"/>
        <n v="151.20000000000002"/>
        <n v="118.8"/>
        <n v="52.2"/>
        <n v="140.4"/>
        <n v="127.60000000000001"/>
        <n v="296.7"/>
        <n v="319.5"/>
        <n v="373.5"/>
        <n v="1020"/>
        <n v="672.6"/>
        <n v="1056"/>
        <n v="1166.2"/>
        <n v="408"/>
        <n v="308"/>
        <n v="272"/>
        <n v="52"/>
        <n v="212"/>
        <n v="320"/>
        <n v="188"/>
        <n v="307.05"/>
        <n v="382.5"/>
        <n v="337.5"/>
        <n v="22.25"/>
        <n v="204"/>
        <n v="6"/>
        <n v="134.55000000000001"/>
        <n v="285.59999999999997"/>
        <n v="241.5"/>
        <n v="203"/>
        <n v="115.5"/>
        <n v="227.5"/>
        <n v="296"/>
        <n v="80.850000000000009"/>
        <n v="241.79999999999998"/>
        <n v="269.09999999999997"/>
        <n v="284.90000000000003"/>
        <n v="128"/>
        <n v="222"/>
        <n v="522"/>
        <n v="516"/>
        <n v="32.4"/>
        <n v="82.8"/>
        <n v="105.6"/>
        <n v="242.5"/>
        <n v="225.6"/>
        <n v="133.5"/>
        <n v="49.5"/>
        <n v="64.5"/>
        <n v="106"/>
        <n v="142"/>
        <n v="98"/>
        <n v="528"/>
        <n v="474"/>
        <n v="594"/>
        <n v="444"/>
        <n v="235.6"/>
        <n v="372"/>
        <n v="970"/>
        <n v="780"/>
        <n v="587.1"/>
        <n v="273"/>
        <n v="44.8"/>
        <n v="630"/>
        <n v="930"/>
        <n v="735"/>
        <n v="1290"/>
        <n v="552"/>
        <n v="354"/>
        <n v="533"/>
        <n v="370.5"/>
        <n v="377"/>
        <n v="611"/>
        <n v="630.5"/>
        <n v="136.5"/>
        <n v="624"/>
        <n v="351"/>
        <n v="16"/>
        <n v="12.299999999999999"/>
        <n v="306.60000000000002"/>
        <n v="176"/>
        <n v="292.5"/>
        <n v="182.4"/>
        <n v="240.10000000000002"/>
        <n v="173.88"/>
        <n v="41.300000000000004"/>
        <n v="534"/>
        <n v="513.30000000000007"/>
        <n v="47.5"/>
        <n v="187.5"/>
        <n v="60.199999999999996"/>
        <n v="157.25"/>
        <n v="256.5"/>
        <n v="225.25"/>
        <n v="124.69999999999999"/>
        <n v="30.449999999999996"/>
        <n v="234.89999999999998"/>
        <n v="584"/>
        <n v="568"/>
        <n v="328"/>
        <n v="352"/>
        <n v="511"/>
        <n v="21"/>
        <n v="442.2"/>
        <n v="616"/>
        <n v="544"/>
        <n v="609"/>
        <n v="145"/>
        <n v="155"/>
        <n v="182.5"/>
        <n v="1152"/>
        <n v="1188"/>
        <n v="195.5"/>
        <n v="912"/>
        <n v="1044"/>
        <n v="1068"/>
        <n v="1728"/>
        <n v="1422"/>
        <n v="738"/>
        <n v="1440"/>
        <n v="1602"/>
        <n v="126.5"/>
        <n v="46"/>
        <n v="38"/>
        <n v="172"/>
        <n v="111"/>
        <n v="51"/>
        <n v="297"/>
        <n v="340"/>
        <n v="32"/>
        <n v="16.399999999999999"/>
        <n v="205"/>
        <n v="112.5"/>
        <n v="237.5"/>
        <n v="100.8"/>
        <n v="59.4"/>
        <n v="164"/>
        <n v="186"/>
        <n v="158"/>
        <n v="34"/>
        <n v="1425"/>
        <n v="2320.5"/>
        <n v="1075"/>
        <n v="1650"/>
        <n v="1467.4"/>
        <n v="600"/>
        <n v="1525"/>
        <n v="1060.5"/>
        <n v="31.5"/>
        <n v="57.75"/>
        <n v="124.55"/>
        <n v="184.25"/>
        <n v="75.600000000000009"/>
        <n v="660"/>
        <n v="507"/>
        <n v="110.25"/>
        <n v="71.75"/>
        <n v="95.2"/>
        <n v="22.75"/>
        <n v="139.4"/>
        <n v="162.75"/>
        <n v="124.25"/>
        <n v="117.25"/>
        <n v="217.5"/>
        <n v="27.5"/>
        <n v="82.5"/>
      </sharedItems>
    </cacheField>
    <cacheField name="Reorder_Frequency" numFmtId="165">
      <sharedItems containsSemiMixedTypes="0" containsString="0" containsNumber="1" minValue="0.11" maxValue="99"/>
    </cacheField>
    <cacheField name="Unit_Price" numFmtId="164">
      <sharedItems containsSemiMixedTypes="0" containsString="0" containsNumber="1" minValue="0.2" maxValue="98.43"/>
    </cacheField>
    <cacheField name="Stock_Coverage_Days" numFmtId="165">
      <sharedItems containsSemiMixedTypes="0" containsString="0" containsNumber="1" minValue="0.1697792869269949" maxValue="1.6977928692699491"/>
    </cacheField>
    <cacheField name="Date_Received" numFmtId="0">
      <sharedItems containsDate="1" containsMixedTypes="1" minDate="2024-01-03T00:00:00" maxDate="2025-12-03T00:00:00"/>
    </cacheField>
    <cacheField name="Last_Order_Date" numFmtId="0">
      <sharedItems containsDate="1" containsMixedTypes="1" minDate="2024-01-03T00:00:00" maxDate="2025-12-03T00:00:00"/>
    </cacheField>
    <cacheField name="Expiration_Date" numFmtId="14">
      <sharedItems containsSemiMixedTypes="0" containsNonDate="0" containsDate="1" containsString="0" minDate="2024-01-10T00:00:00" maxDate="2027-12-06T00:00:00" count="990">
        <d v="2024-09-24T00:00:00"/>
        <d v="2026-02-25T00:00:00"/>
        <d v="2026-12-15T00:00:00"/>
        <d v="2025-01-01T00:00:00"/>
        <d v="2025-05-16T00:00:00"/>
        <d v="2026-10-01T00:00:00"/>
        <d v="2026-02-14T00:00:00"/>
        <d v="2026-03-04T00:00:00"/>
        <d v="2026-08-08T00:00:00"/>
        <d v="2026-09-11T00:00:00"/>
        <d v="2026-11-22T00:00:00"/>
        <d v="2026-12-16T00:00:00"/>
        <d v="2027-12-02T00:00:00"/>
        <d v="2025-03-16T00:00:00"/>
        <d v="2025-11-07T00:00:00"/>
        <d v="2025-11-19T00:00:00"/>
        <d v="2025-12-16T00:00:00"/>
        <d v="2026-01-28T00:00:00"/>
        <d v="2026-04-25T00:00:00"/>
        <d v="2026-09-21T00:00:00"/>
        <d v="2026-10-12T00:00:00"/>
        <d v="2027-02-22T00:00:00"/>
        <d v="2027-02-27T00:00:00"/>
        <d v="2027-08-04T00:00:00"/>
        <d v="2025-12-07T00:00:00"/>
        <d v="2025-09-10T00:00:00"/>
        <d v="2026-09-17T00:00:00"/>
        <d v="2026-12-19T00:00:00"/>
        <d v="2027-10-04T00:00:00"/>
        <d v="2027-04-29T00:00:00"/>
        <d v="2027-05-16T00:00:00"/>
        <d v="2025-06-29T00:00:00"/>
        <d v="2026-01-05T00:00:00"/>
        <d v="2026-06-21T00:00:00"/>
        <d v="2026-09-28T00:00:00"/>
        <d v="2026-10-24T00:00:00"/>
        <d v="2026-11-23T00:00:00"/>
        <d v="2027-03-14T00:00:00"/>
        <d v="2024-09-20T00:00:00"/>
        <d v="2024-07-10T00:00:00"/>
        <d v="2025-07-01T00:00:00"/>
        <d v="2025-01-18T00:00:00"/>
        <d v="2025-03-19T00:00:00"/>
        <d v="2025-06-05T00:00:00"/>
        <d v="2025-08-05T00:00:00"/>
        <d v="2025-12-06T00:00:00"/>
        <d v="2025-08-08T00:00:00"/>
        <d v="2025-03-12T00:00:00"/>
        <d v="2026-01-22T00:00:00"/>
        <d v="2026-11-03T00:00:00"/>
        <d v="2026-01-04T00:00:00"/>
        <d v="2026-07-07T00:00:00"/>
        <d v="2026-10-16T00:00:00"/>
        <d v="2027-06-02T00:00:00"/>
        <d v="2024-05-12T00:00:00"/>
        <d v="2025-01-15T00:00:00"/>
        <d v="2025-11-25T00:00:00"/>
        <d v="2026-08-01T00:00:00"/>
        <d v="2026-05-27T00:00:00"/>
        <d v="2026-08-14T00:00:00"/>
        <d v="2025-04-03T00:00:00"/>
        <d v="2025-09-16T00:00:00"/>
        <d v="2026-04-23T00:00:00"/>
        <d v="2026-05-05T00:00:00"/>
        <d v="2026-07-14T00:00:00"/>
        <d v="2026-07-19T00:00:00"/>
        <d v="2026-12-13T00:00:00"/>
        <d v="2027-04-02T00:00:00"/>
        <d v="2025-01-26T00:00:00"/>
        <d v="2025-03-18T00:00:00"/>
        <d v="2026-06-01T00:00:00"/>
        <d v="2026-04-16T00:00:00"/>
        <d v="2026-03-05T00:00:00"/>
        <d v="2027-05-25T00:00:00"/>
        <d v="2027-04-06T00:00:00"/>
        <d v="2025-10-01T00:00:00"/>
        <d v="2025-10-08T00:00:00"/>
        <d v="2025-10-11T00:00:00"/>
        <d v="2026-08-06T00:00:00"/>
        <d v="2025-03-23T00:00:00"/>
        <d v="2025-06-09T00:00:00"/>
        <d v="2026-04-03T00:00:00"/>
        <d v="2026-05-30T00:00:00"/>
        <d v="2027-08-05T00:00:00"/>
        <d v="2027-05-28T00:00:00"/>
        <d v="2024-01-12T00:00:00"/>
        <d v="2025-08-02T00:00:00"/>
        <d v="2025-09-02T00:00:00"/>
        <d v="2025-05-24T00:00:00"/>
        <d v="2025-07-09T00:00:00"/>
        <d v="2026-01-16T00:00:00"/>
        <d v="2026-06-30T00:00:00"/>
        <d v="2026-08-18T00:00:00"/>
        <d v="2026-06-09T00:00:00"/>
        <d v="2026-09-26T00:00:00"/>
        <d v="2027-04-23T00:00:00"/>
        <d v="2027-04-25T00:00:00"/>
        <d v="2024-10-31T00:00:00"/>
        <d v="2024-11-23T00:00:00"/>
        <d v="2025-01-05T00:00:00"/>
        <d v="2025-11-16T00:00:00"/>
        <d v="2025-11-18T00:00:00"/>
        <d v="2026-11-02T00:00:00"/>
        <d v="2026-01-09T00:00:00"/>
        <d v="2026-10-23T00:00:00"/>
        <d v="2026-10-29T00:00:00"/>
        <d v="2026-01-11T00:00:00"/>
        <d v="2024-09-21T00:00:00"/>
        <d v="2025-11-01T00:00:00"/>
        <d v="2025-01-29T00:00:00"/>
        <d v="2025-01-03T00:00:00"/>
        <d v="2025-05-04T00:00:00"/>
        <d v="2025-07-30T00:00:00"/>
        <d v="2026-06-23T00:00:00"/>
        <d v="2026-04-10T00:00:00"/>
        <d v="2026-09-10T00:00:00"/>
        <d v="2026-11-26T00:00:00"/>
        <d v="2027-01-27T00:00:00"/>
        <d v="2027-03-21T00:00:00"/>
        <d v="2024-11-19T00:00:00"/>
        <d v="2025-03-03T00:00:00"/>
        <d v="2025-11-14T00:00:00"/>
        <d v="2026-06-28T00:00:00"/>
        <d v="2026-07-10T00:00:00"/>
        <d v="2027-02-21T00:00:00"/>
        <d v="2027-03-23T00:00:00"/>
        <d v="2024-12-18T00:00:00"/>
        <d v="2025-04-27T00:00:00"/>
        <d v="2025-05-13T00:00:00"/>
        <d v="2025-05-07T00:00:00"/>
        <d v="2025-06-07T00:00:00"/>
        <d v="2025-07-17T00:00:00"/>
        <d v="2026-07-29T00:00:00"/>
        <d v="2026-10-13T00:00:00"/>
        <d v="2024-05-10T00:00:00"/>
        <d v="2024-04-11T00:00:00"/>
        <d v="2024-12-14T00:00:00"/>
        <d v="2024-12-29T00:00:00"/>
        <d v="2025-01-27T00:00:00"/>
        <d v="2025-02-05T00:00:00"/>
        <d v="2025-11-05T00:00:00"/>
        <d v="2025-05-31T00:00:00"/>
        <d v="2025-08-06T00:00:00"/>
        <d v="2025-07-27T00:00:00"/>
        <d v="2025-10-17T00:00:00"/>
        <d v="2025-11-22T00:00:00"/>
        <d v="2026-02-04T00:00:00"/>
        <d v="2026-07-13T00:00:00"/>
        <d v="2026-09-13T00:00:00"/>
        <d v="2026-11-20T00:00:00"/>
        <d v="2027-04-01T00:00:00"/>
        <d v="2027-06-01T00:00:00"/>
        <d v="2027-03-20T00:00:00"/>
        <d v="2024-11-27T00:00:00"/>
        <d v="2025-04-21T00:00:00"/>
        <d v="2025-09-05T00:00:00"/>
        <d v="2025-01-06T00:00:00"/>
        <d v="2025-11-08T00:00:00"/>
        <d v="2025-07-12T00:00:00"/>
        <d v="2026-01-18T00:00:00"/>
        <d v="2026-09-08T00:00:00"/>
        <d v="2026-10-19T00:00:00"/>
        <d v="2027-04-03T00:00:00"/>
        <d v="2025-06-18T00:00:00"/>
        <d v="2026-04-22T00:00:00"/>
        <d v="2026-06-07T00:00:00"/>
        <d v="2026-04-08T00:00:00"/>
        <d v="2026-08-09T00:00:00"/>
        <d v="2026-09-18T00:00:00"/>
        <d v="2026-11-19T00:00:00"/>
        <d v="2027-05-02T00:00:00"/>
        <d v="2027-04-15T00:00:00"/>
        <d v="2024-01-11T00:00:00"/>
        <d v="2025-05-30T00:00:00"/>
        <d v="2025-07-10T00:00:00"/>
        <d v="2025-11-13T00:00:00"/>
        <d v="2026-02-17T00:00:00"/>
        <d v="2024-08-12T00:00:00"/>
        <d v="2025-07-31T00:00:00"/>
        <d v="2025-01-11T00:00:00"/>
        <d v="2026-02-09T00:00:00"/>
        <d v="2026-11-18T00:00:00"/>
        <d v="2027-02-25T00:00:00"/>
        <d v="2025-01-02T00:00:00"/>
        <d v="2025-06-19T00:00:00"/>
        <d v="2025-11-28T00:00:00"/>
        <d v="2026-05-21T00:00:00"/>
        <d v="2026-02-07T00:00:00"/>
        <d v="2026-07-17T00:00:00"/>
        <d v="2027-03-02T00:00:00"/>
        <d v="2024-12-10T00:00:00"/>
        <d v="2026-02-02T00:00:00"/>
        <d v="2026-02-22T00:00:00"/>
        <d v="2026-03-07T00:00:00"/>
        <d v="2026-05-08T00:00:00"/>
        <d v="2026-11-16T00:00:00"/>
        <d v="2026-04-12T00:00:00"/>
        <d v="2027-03-06T00:00:00"/>
        <d v="2025-01-25T00:00:00"/>
        <d v="2025-04-24T00:00:00"/>
        <d v="2025-04-26T00:00:00"/>
        <d v="2026-02-15T00:00:00"/>
        <d v="2026-02-16T00:00:00"/>
        <d v="2026-12-20T00:00:00"/>
        <d v="2027-01-31T00:00:00"/>
        <d v="2027-07-02T00:00:00"/>
        <d v="2027-04-26T00:00:00"/>
        <d v="2024-11-18T00:00:00"/>
        <d v="2025-10-06T00:00:00"/>
        <d v="2025-08-18T00:00:00"/>
        <d v="2026-01-20T00:00:00"/>
        <d v="2026-03-08T00:00:00"/>
        <d v="2026-12-27T00:00:00"/>
        <d v="2027-04-05T00:00:00"/>
        <d v="2025-01-24T00:00:00"/>
        <d v="2025-07-14T00:00:00"/>
        <d v="2025-09-24T00:00:00"/>
        <d v="2025-12-30T00:00:00"/>
        <d v="2026-09-01T00:00:00"/>
        <d v="2026-10-03T00:00:00"/>
        <d v="2026-03-13T00:00:00"/>
        <d v="2026-03-23T00:00:00"/>
        <d v="2026-04-13T00:00:00"/>
        <d v="2026-04-20T00:00:00"/>
        <d v="2026-04-24T00:00:00"/>
        <d v="2026-05-15T00:00:00"/>
        <d v="2026-05-18T00:00:00"/>
        <d v="2026-12-11T00:00:00"/>
        <d v="2027-05-04T00:00:00"/>
        <d v="2025-02-24T00:00:00"/>
        <d v="2025-03-17T00:00:00"/>
        <d v="2025-08-29T00:00:00"/>
        <d v="2025-10-31T00:00:00"/>
        <d v="2025-12-11T00:00:00"/>
        <d v="2026-03-03T00:00:00"/>
        <d v="2026-12-10T00:00:00"/>
        <d v="2027-01-19T00:00:00"/>
        <d v="2027-05-19T00:00:00"/>
        <d v="2027-02-06T00:00:00"/>
        <d v="2024-12-20T00:00:00"/>
        <d v="2025-05-25T00:00:00"/>
        <d v="2025-09-06T00:00:00"/>
        <d v="2025-07-22T00:00:00"/>
        <d v="2025-04-08T00:00:00"/>
        <d v="2025-12-28T00:00:00"/>
        <d v="2026-01-15T00:00:00"/>
        <d v="2026-05-17T00:00:00"/>
        <d v="2026-10-06T00:00:00"/>
        <d v="2027-01-23T00:00:00"/>
        <d v="2027-01-02T00:00:00"/>
        <d v="2024-12-19T00:00:00"/>
        <d v="2025-03-31T00:00:00"/>
        <d v="2025-05-17T00:00:00"/>
        <d v="2025-12-20T00:00:00"/>
        <d v="2026-03-31T00:00:00"/>
        <d v="2026-04-17T00:00:00"/>
        <d v="2026-06-10T00:00:00"/>
        <d v="2027-01-16T00:00:00"/>
        <d v="2027-03-30T00:00:00"/>
        <d v="2025-08-01T00:00:00"/>
        <d v="2025-02-25T00:00:00"/>
        <d v="2025-05-29T00:00:00"/>
        <d v="2025-04-09T00:00:00"/>
        <d v="2025-10-18T00:00:00"/>
        <d v="2026-09-16T00:00:00"/>
        <d v="2027-01-24T00:00:00"/>
        <d v="2025-08-10T00:00:00"/>
        <d v="2026-05-16T00:00:00"/>
        <d v="2026-04-09T00:00:00"/>
        <d v="2027-02-28T00:00:00"/>
        <d v="2025-07-20T00:00:00"/>
        <d v="2025-09-15T00:00:00"/>
        <d v="2025-10-12T00:00:00"/>
        <d v="2026-02-23T00:00:00"/>
        <d v="2027-01-05T00:00:00"/>
        <d v="2025-09-01T00:00:00"/>
        <d v="2025-11-02T00:00:00"/>
        <d v="2025-03-21T00:00:00"/>
        <d v="2025-08-13T00:00:00"/>
        <d v="2025-10-14T00:00:00"/>
        <d v="2027-01-14T00:00:00"/>
        <d v="2027-05-03T00:00:00"/>
        <d v="2024-09-25T00:00:00"/>
        <d v="2024-07-12T00:00:00"/>
        <d v="2025-12-25T00:00:00"/>
        <d v="2026-01-29T00:00:00"/>
        <d v="2026-03-06T00:00:00"/>
        <d v="2026-03-09T00:00:00"/>
        <d v="2026-10-14T00:00:00"/>
        <d v="2027-02-16T00:00:00"/>
        <d v="2027-04-24T00:00:00"/>
        <d v="2024-12-30T00:00:00"/>
        <d v="2025-09-30T00:00:00"/>
        <d v="2025-10-26T00:00:00"/>
        <d v="2025-12-24T00:00:00"/>
        <d v="2024-10-12T00:00:00"/>
        <d v="2025-03-13T00:00:00"/>
        <d v="2025-09-14T00:00:00"/>
        <d v="2026-02-18T00:00:00"/>
        <d v="2026-06-13T00:00:00"/>
        <d v="2027-04-28T00:00:00"/>
        <d v="2024-10-19T00:00:00"/>
        <d v="2024-11-25T00:00:00"/>
        <d v="2024-12-15T00:00:00"/>
        <d v="2025-02-19T00:00:00"/>
        <d v="2025-11-04T00:00:00"/>
        <d v="2025-06-22T00:00:00"/>
        <d v="2026-05-12T00:00:00"/>
        <d v="2027-01-18T00:00:00"/>
        <d v="2027-02-17T00:00:00"/>
        <d v="2027-03-16T00:00:00"/>
        <d v="2027-04-21T00:00:00"/>
        <d v="2025-05-05T00:00:00"/>
        <d v="2025-05-14T00:00:00"/>
        <d v="2025-06-27T00:00:00"/>
        <d v="2025-06-28T00:00:00"/>
        <d v="2026-03-01T00:00:00"/>
        <d v="2026-01-31T00:00:00"/>
        <d v="2026-03-29T00:00:00"/>
        <d v="2026-01-10T00:00:00"/>
        <d v="2027-09-01T00:00:00"/>
        <d v="2027-04-27T00:00:00"/>
        <d v="2026-05-26T00:00:00"/>
        <d v="2026-05-07T00:00:00"/>
        <d v="2026-08-23T00:00:00"/>
        <d v="2026-09-27T00:00:00"/>
        <d v="2027-09-02T00:00:00"/>
        <d v="2027-10-05T00:00:00"/>
        <d v="2027-05-14T00:00:00"/>
        <d v="2024-09-28T00:00:00"/>
        <d v="2025-05-19T00:00:00"/>
        <d v="2025-08-11T00:00:00"/>
        <d v="2025-08-12T00:00:00"/>
        <d v="2026-08-03T00:00:00"/>
        <d v="2026-04-14T00:00:00"/>
        <d v="2026-06-19T00:00:00"/>
        <d v="2026-07-18T00:00:00"/>
        <d v="2027-01-04T00:00:00"/>
        <d v="2024-09-26T00:00:00"/>
        <d v="2025-04-14T00:00:00"/>
        <d v="2025-05-22T00:00:00"/>
        <d v="2025-10-16T00:00:00"/>
        <d v="2025-11-21T00:00:00"/>
        <d v="2026-07-01T00:00:00"/>
        <d v="2026-10-02T00:00:00"/>
        <d v="2026-07-22T00:00:00"/>
        <d v="2026-06-08T00:00:00"/>
        <d v="2026-08-21T00:00:00"/>
        <d v="2026-11-10T00:00:00"/>
        <d v="2026-10-28T00:00:00"/>
        <d v="2027-01-13T00:00:00"/>
        <d v="2024-10-15T00:00:00"/>
        <d v="2025-12-19T00:00:00"/>
        <d v="2026-09-04T00:00:00"/>
        <d v="2026-05-24T00:00:00"/>
        <d v="2026-06-25T00:00:00"/>
        <d v="2027-02-20T00:00:00"/>
        <d v="2025-02-26T00:00:00"/>
        <d v="2025-08-03T00:00:00"/>
        <d v="2025-08-21T00:00:00"/>
        <d v="2025-08-30T00:00:00"/>
        <d v="2026-01-01T00:00:00"/>
        <d v="2026-03-14T00:00:00"/>
        <d v="2026-11-04T00:00:00"/>
        <d v="2026-11-14T00:00:00"/>
        <d v="2026-12-30T00:00:00"/>
        <d v="2027-12-04T00:00:00"/>
        <d v="2024-11-28T00:00:00"/>
        <d v="2024-12-22T00:00:00"/>
        <d v="2025-02-20T00:00:00"/>
        <d v="2025-07-25T00:00:00"/>
        <d v="2025-01-09T00:00:00"/>
        <d v="2025-10-09T00:00:00"/>
        <d v="2025-12-13T00:00:00"/>
        <d v="2026-10-04T00:00:00"/>
        <d v="2026-06-05T00:00:00"/>
        <d v="2027-05-22T00:00:00"/>
        <d v="2025-01-07T00:00:00"/>
        <d v="2025-11-09T00:00:00"/>
        <d v="2026-04-01T00:00:00"/>
        <d v="2026-04-30T00:00:00"/>
        <d v="2026-05-09T00:00:00"/>
        <d v="2026-12-22T00:00:00"/>
        <d v="2027-01-21T00:00:00"/>
        <d v="2027-04-17T00:00:00"/>
        <d v="2024-04-10T00:00:00"/>
        <d v="2025-03-05T00:00:00"/>
        <d v="2025-05-06T00:00:00"/>
        <d v="2025-05-10T00:00:00"/>
        <d v="2025-10-30T00:00:00"/>
        <d v="2026-09-30T00:00:00"/>
        <d v="2024-12-23T00:00:00"/>
        <d v="2025-02-21T00:00:00"/>
        <d v="2025-09-26T00:00:00"/>
        <d v="2026-04-19T00:00:00"/>
        <d v="2025-01-28T00:00:00"/>
        <d v="2025-03-30T00:00:00"/>
        <d v="2025-05-15T00:00:00"/>
        <d v="2025-03-08T00:00:00"/>
        <d v="2026-11-08T00:00:00"/>
        <d v="2026-06-11T00:00:00"/>
        <d v="2027-02-26T00:00:00"/>
        <d v="2025-06-13T00:00:00"/>
        <d v="2025-07-26T00:00:00"/>
        <d v="2025-02-08T00:00:00"/>
        <d v="2025-09-08T00:00:00"/>
        <d v="2025-12-14T00:00:00"/>
        <d v="2026-01-30T00:00:00"/>
        <d v="2026-02-03T00:00:00"/>
        <d v="2026-03-26T00:00:00"/>
        <d v="2026-07-04T00:00:00"/>
        <d v="2026-07-05T00:00:00"/>
        <d v="2026-05-31T00:00:00"/>
        <d v="2026-06-14T00:00:00"/>
        <d v="2026-11-12T00:00:00"/>
        <d v="2026-12-24T00:00:00"/>
        <d v="2024-09-27T00:00:00"/>
        <d v="2025-01-30T00:00:00"/>
        <d v="2025-04-15T00:00:00"/>
        <d v="2025-04-23T00:00:00"/>
        <d v="2025-07-15T00:00:00"/>
        <d v="2026-03-17T00:00:00"/>
        <d v="2026-08-19T00:00:00"/>
        <d v="2024-11-10T00:00:00"/>
        <d v="2025-12-08T00:00:00"/>
        <d v="2025-10-24T00:00:00"/>
        <d v="2026-09-15T00:00:00"/>
        <d v="2027-02-24T00:00:00"/>
        <d v="2027-03-17T00:00:00"/>
        <d v="2027-03-24T00:00:00"/>
        <d v="2027-11-04T00:00:00"/>
        <d v="2024-12-11T00:00:00"/>
        <d v="2025-12-03T00:00:00"/>
        <d v="2025-07-24T00:00:00"/>
        <d v="2025-09-22T00:00:00"/>
        <d v="2026-02-20T00:00:00"/>
        <d v="2026-01-03T00:00:00"/>
        <d v="2026-04-29T00:00:00"/>
        <d v="2026-06-15T00:00:00"/>
        <d v="2025-12-02T00:00:00"/>
        <d v="2025-03-15T00:00:00"/>
        <d v="2025-02-07T00:00:00"/>
        <d v="2025-09-27T00:00:00"/>
        <d v="2025-09-28T00:00:00"/>
        <d v="2025-09-29T00:00:00"/>
        <d v="2025-12-29T00:00:00"/>
        <d v="2026-06-17T00:00:00"/>
        <d v="2026-06-24T00:00:00"/>
        <d v="2027-05-23T00:00:00"/>
        <d v="2024-10-23T00:00:00"/>
        <d v="2025-04-04T00:00:00"/>
        <d v="2025-05-18T00:00:00"/>
        <d v="2025-07-16T00:00:00"/>
        <d v="2025-10-21T00:00:00"/>
        <d v="2025-11-17T00:00:00"/>
        <d v="2026-02-28T00:00:00"/>
        <d v="2026-04-27T00:00:00"/>
        <d v="2026-04-07T00:00:00"/>
        <d v="2026-09-14T00:00:00"/>
        <d v="2026-08-11T00:00:00"/>
        <d v="2027-08-02T00:00:00"/>
        <d v="2027-03-03T00:00:00"/>
        <d v="2027-03-31T00:00:00"/>
        <d v="2025-06-24T00:00:00"/>
        <d v="2025-07-28T00:00:00"/>
        <d v="2025-08-26T00:00:00"/>
        <d v="2026-12-18T00:00:00"/>
        <d v="2027-01-17T00:00:00"/>
        <d v="2027-08-03T00:00:00"/>
        <d v="2027-03-13T00:00:00"/>
        <d v="2027-05-20T00:00:00"/>
        <d v="2024-11-30T00:00:00"/>
        <d v="2025-01-22T00:00:00"/>
        <d v="2025-03-07T00:00:00"/>
        <d v="2025-06-08T00:00:00"/>
        <d v="2025-12-23T00:00:00"/>
        <d v="2026-05-28T00:00:00"/>
        <d v="2026-06-27T00:00:00"/>
        <d v="2026-11-11T00:00:00"/>
        <d v="2026-11-28T00:00:00"/>
        <d v="2024-10-22T00:00:00"/>
        <d v="2025-02-27T00:00:00"/>
        <d v="2025-12-05T00:00:00"/>
        <d v="2026-02-27T00:00:00"/>
        <d v="2026-11-06T00:00:00"/>
        <d v="2026-12-14T00:00:00"/>
        <d v="2024-12-24T00:00:00"/>
        <d v="2025-03-04T00:00:00"/>
        <d v="2026-03-22T00:00:00"/>
        <d v="2026-03-24T00:00:00"/>
        <d v="2026-10-08T00:00:00"/>
        <d v="2026-08-25T00:00:00"/>
        <d v="2026-10-25T00:00:00"/>
        <d v="2026-11-17T00:00:00"/>
        <d v="2027-02-14T00:00:00"/>
        <d v="2027-09-03T00:00:00"/>
        <d v="2027-10-03T00:00:00"/>
        <d v="2027-04-14T00:00:00"/>
        <d v="2027-05-27T00:00:00"/>
        <d v="2025-10-05T00:00:00"/>
        <d v="2025-09-25T00:00:00"/>
        <d v="2026-01-21T00:00:00"/>
        <d v="2026-10-21T00:00:00"/>
        <d v="2027-03-04T00:00:00"/>
        <d v="2024-05-11T00:00:00"/>
        <d v="2025-04-05T00:00:00"/>
        <d v="2025-05-28T00:00:00"/>
        <d v="2025-07-19T00:00:00"/>
        <d v="2026-12-05T00:00:00"/>
        <d v="2026-06-22T00:00:00"/>
        <d v="2024-10-30T00:00:00"/>
        <d v="2025-02-01T00:00:00"/>
        <d v="2025-07-05T00:00:00"/>
        <d v="2025-05-08T00:00:00"/>
        <d v="2025-11-20T00:00:00"/>
        <d v="2025-04-12T00:00:00"/>
        <d v="2025-06-12T00:00:00"/>
        <d v="2026-05-22T00:00:00"/>
        <d v="2027-06-05T00:00:00"/>
        <d v="2025-04-01T00:00:00"/>
        <d v="2026-07-09T00:00:00"/>
        <d v="2026-03-10T00:00:00"/>
        <d v="2027-01-01T00:00:00"/>
        <d v="2025-07-04T00:00:00"/>
        <d v="2025-04-25T00:00:00"/>
        <d v="2026-08-22T00:00:00"/>
        <d v="2026-05-11T00:00:00"/>
        <d v="2026-11-13T00:00:00"/>
        <d v="2026-07-12T00:00:00"/>
        <d v="2027-05-24T00:00:00"/>
        <d v="2024-09-22T00:00:00"/>
        <d v="2024-09-29T00:00:00"/>
        <d v="2024-03-11T00:00:00"/>
        <d v="2025-07-02T00:00:00"/>
        <d v="2025-08-16T00:00:00"/>
        <d v="2025-08-17T00:00:00"/>
        <d v="2025-09-18T00:00:00"/>
        <d v="2025-11-15T00:00:00"/>
        <d v="2027-04-18T00:00:00"/>
        <d v="2025-05-21T00:00:00"/>
        <d v="2025-11-10T00:00:00"/>
        <d v="2025-11-24T00:00:00"/>
        <d v="2025-12-27T00:00:00"/>
        <d v="2026-08-04T00:00:00"/>
        <d v="2026-10-20T00:00:00"/>
        <d v="2027-01-20T00:00:00"/>
        <d v="2024-10-29T00:00:00"/>
        <d v="2024-06-11T00:00:00"/>
        <d v="2024-04-12T00:00:00"/>
        <d v="2025-07-03T00:00:00"/>
        <d v="2025-08-25T00:00:00"/>
        <d v="2026-04-26T00:00:00"/>
        <d v="2026-04-05T00:00:00"/>
        <d v="2026-07-26T00:00:00"/>
        <d v="2027-11-01T00:00:00"/>
        <d v="2027-02-03T00:00:00"/>
        <d v="2027-02-04T00:00:00"/>
        <d v="2025-06-06T00:00:00"/>
        <d v="2025-07-23T00:00:00"/>
        <d v="2026-01-23T00:00:00"/>
        <d v="2026-02-21T00:00:00"/>
        <d v="2026-07-25T00:00:00"/>
        <d v="2024-11-26T00:00:00"/>
        <d v="2025-03-28T00:00:00"/>
        <d v="2025-04-28T00:00:00"/>
        <d v="2026-05-02T00:00:00"/>
        <d v="2026-05-06T00:00:00"/>
        <d v="2026-08-27T00:00:00"/>
        <d v="2027-07-04T00:00:00"/>
        <d v="2024-02-11T00:00:00"/>
        <d v="2024-12-27T00:00:00"/>
        <d v="2025-10-04T00:00:00"/>
        <d v="2025-03-11T00:00:00"/>
        <d v="2026-12-09T00:00:00"/>
        <d v="2027-08-01T00:00:00"/>
        <d v="2027-04-16T00:00:00"/>
        <d v="2027-07-05T00:00:00"/>
        <d v="2024-10-16T00:00:00"/>
        <d v="2025-04-13T00:00:00"/>
        <d v="2025-04-20T00:00:00"/>
        <d v="2025-06-20T00:00:00"/>
        <d v="2025-10-10T00:00:00"/>
        <d v="2026-06-06T00:00:00"/>
        <d v="2026-12-23T00:00:00"/>
        <d v="2027-04-13T00:00:00"/>
        <d v="2024-10-17T00:00:00"/>
        <d v="2025-03-14T00:00:00"/>
        <d v="2025-12-31T00:00:00"/>
        <d v="2026-03-02T00:00:00"/>
        <d v="2026-12-04T00:00:00"/>
        <d v="2026-07-27T00:00:00"/>
        <d v="2024-10-21T00:00:00"/>
        <d v="2024-11-17T00:00:00"/>
        <d v="2024-11-21T00:00:00"/>
        <d v="2025-12-04T00:00:00"/>
        <d v="2025-06-15T00:00:00"/>
        <d v="2026-11-30T00:00:00"/>
        <d v="2024-10-24T00:00:00"/>
        <d v="2024-02-12T00:00:00"/>
        <d v="2025-09-07T00:00:00"/>
        <d v="2025-09-19T00:00:00"/>
        <d v="2026-01-13T00:00:00"/>
        <d v="2026-07-06T00:00:00"/>
        <d v="2026-08-31T00:00:00"/>
        <d v="2026-07-11T00:00:00"/>
        <d v="2026-12-25T00:00:00"/>
        <d v="2027-01-22T00:00:00"/>
        <d v="2027-02-18T00:00:00"/>
        <d v="2027-12-05T00:00:00"/>
        <d v="2024-09-11T00:00:00"/>
        <d v="2024-11-15T00:00:00"/>
        <d v="2025-02-02T00:00:00"/>
        <d v="2025-02-03T00:00:00"/>
        <d v="2025-05-27T00:00:00"/>
        <d v="2025-09-09T00:00:00"/>
        <d v="2026-04-15T00:00:00"/>
        <d v="2026-09-05T00:00:00"/>
        <d v="2026-11-09T00:00:00"/>
        <d v="2026-04-11T00:00:00"/>
        <d v="2027-03-01T00:00:00"/>
        <d v="2024-12-21T00:00:00"/>
        <d v="2025-05-03T00:00:00"/>
        <d v="2025-07-06T00:00:00"/>
        <d v="2025-06-21T00:00:00"/>
        <d v="2026-05-13T00:00:00"/>
        <d v="2026-08-13T00:00:00"/>
        <d v="2026-09-23T00:00:00"/>
        <d v="2026-11-21T00:00:00"/>
        <d v="2025-04-07T00:00:00"/>
        <d v="2025-10-15T00:00:00"/>
        <d v="2025-10-22T00:00:00"/>
        <d v="2026-03-18T00:00:00"/>
        <d v="2026-03-27T00:00:00"/>
        <d v="2026-06-26T00:00:00"/>
        <d v="2026-10-10T00:00:00"/>
        <d v="2027-05-06T00:00:00"/>
        <d v="2024-10-13T00:00:00"/>
        <d v="2025-11-23T00:00:00"/>
        <d v="2026-01-07T00:00:00"/>
        <d v="2026-10-07T00:00:00"/>
        <d v="2026-12-28T00:00:00"/>
        <d v="2027-06-03T00:00:00"/>
        <d v="2027-03-25T00:00:00"/>
        <d v="2027-04-22T00:00:00"/>
        <d v="2027-05-29T00:00:00"/>
        <d v="2025-01-14T00:00:00"/>
        <d v="2025-04-16T00:00:00"/>
        <d v="2025-05-20T00:00:00"/>
        <d v="2025-03-10T00:00:00"/>
        <d v="2026-01-19T00:00:00"/>
        <d v="2026-12-29T00:00:00"/>
        <d v="2027-05-01T00:00:00"/>
        <d v="2027-10-01T00:00:00"/>
        <d v="2027-11-03T00:00:00"/>
        <d v="2024-12-17T00:00:00"/>
        <d v="2025-05-01T00:00:00"/>
        <d v="2025-03-29T00:00:00"/>
        <d v="2025-08-19T00:00:00"/>
        <d v="2026-12-02T00:00:00"/>
        <d v="2026-11-05T00:00:00"/>
        <d v="2026-09-20T00:00:00"/>
        <d v="2027-02-02T00:00:00"/>
        <d v="2027-04-30T00:00:00"/>
        <d v="2024-10-18T00:00:00"/>
        <d v="2024-11-20T00:00:00"/>
        <d v="2025-01-19T00:00:00"/>
        <d v="2025-01-21T00:00:00"/>
        <d v="2025-04-06T00:00:00"/>
        <d v="2025-02-10T00:00:00"/>
        <d v="2026-02-06T00:00:00"/>
        <d v="2026-02-11T00:00:00"/>
        <d v="2027-01-25T00:00:00"/>
        <d v="2024-09-12T00:00:00"/>
        <d v="2025-06-17T00:00:00"/>
        <d v="2025-04-11T00:00:00"/>
        <d v="2026-02-13T00:00:00"/>
        <d v="2026-03-15T00:00:00"/>
        <d v="2027-05-18T00:00:00"/>
        <d v="2024-10-20T00:00:00"/>
        <d v="2024-10-26T00:00:00"/>
        <d v="2024-10-11T00:00:00"/>
        <d v="2025-01-13T00:00:00"/>
        <d v="2025-10-02T00:00:00"/>
        <d v="2025-05-09T00:00:00"/>
        <d v="2026-07-02T00:00:00"/>
        <d v="2026-12-03T00:00:00"/>
        <d v="2026-12-07T00:00:00"/>
        <d v="2026-12-26T00:00:00"/>
        <d v="2024-09-23T00:00:00"/>
        <d v="2024-02-10T00:00:00"/>
        <d v="2025-01-16T00:00:00"/>
        <d v="2025-07-07T00:00:00"/>
        <d v="2025-09-12T00:00:00"/>
        <d v="2026-03-25T00:00:00"/>
        <d v="2026-05-14T00:00:00"/>
        <d v="2026-10-17T00:00:00"/>
        <d v="2027-12-01T00:00:00"/>
        <d v="2027-05-17T00:00:00"/>
        <d v="2025-12-01T00:00:00"/>
        <d v="2025-03-02T00:00:00"/>
        <d v="2025-01-04T00:00:00"/>
        <d v="2025-08-04T00:00:00"/>
        <d v="2025-08-20T00:00:00"/>
        <d v="2025-05-11T00:00:00"/>
        <d v="2025-11-12T00:00:00"/>
        <d v="2026-05-04T00:00:00"/>
        <d v="2026-04-28T00:00:00"/>
        <d v="2026-01-08T00:00:00"/>
        <d v="2026-11-29T00:00:00"/>
        <d v="2026-09-12T00:00:00"/>
        <d v="2027-01-15T00:00:00"/>
        <d v="2027-03-19T00:00:00"/>
        <d v="2027-04-04T00:00:00"/>
        <d v="2024-06-12T00:00:00"/>
        <d v="2025-09-21T00:00:00"/>
        <d v="2026-10-27T00:00:00"/>
        <d v="2026-01-12T00:00:00"/>
        <d v="2027-11-05T00:00:00"/>
        <d v="2025-02-16T00:00:00"/>
        <d v="2025-09-23T00:00:00"/>
        <d v="2025-01-12T00:00:00"/>
        <d v="2026-03-21T00:00:00"/>
        <d v="2026-07-24T00:00:00"/>
        <d v="2026-09-22T00:00:00"/>
        <d v="2027-03-18T00:00:00"/>
        <d v="2027-06-04T00:00:00"/>
        <d v="2027-05-30T00:00:00"/>
        <d v="2024-10-14T00:00:00"/>
        <d v="2025-10-20T00:00:00"/>
        <d v="2025-12-12T00:00:00"/>
        <d v="2026-04-06T00:00:00"/>
        <d v="2027-07-01T00:00:00"/>
        <d v="2024-12-25T00:00:00"/>
        <d v="2025-06-02T00:00:00"/>
        <d v="2025-03-06T00:00:00"/>
        <d v="2025-05-12T00:00:00"/>
        <d v="2026-06-02T00:00:00"/>
        <d v="2026-09-19T00:00:00"/>
        <d v="2026-12-17T00:00:00"/>
        <d v="2024-11-22T00:00:00"/>
        <d v="2024-12-28T00:00:00"/>
        <d v="2025-10-19T00:00:00"/>
        <d v="2025-10-27T00:00:00"/>
        <d v="2025-02-11T00:00:00"/>
        <d v="2025-12-21T00:00:00"/>
        <d v="2026-06-03T00:00:00"/>
        <d v="2026-09-29T00:00:00"/>
        <d v="2027-01-30T00:00:00"/>
        <d v="2025-10-03T00:00:00"/>
        <d v="2025-09-04T00:00:00"/>
        <d v="2025-06-16T00:00:00"/>
        <d v="2025-10-28T00:00:00"/>
        <d v="2026-04-04T00:00:00"/>
        <d v="2026-07-30T00:00:00"/>
        <d v="2026-08-26T00:00:00"/>
        <d v="2026-09-25T00:00:00"/>
        <d v="2024-01-10T00:00:00"/>
        <d v="2025-03-22T00:00:00"/>
        <d v="2025-06-04T00:00:00"/>
        <d v="2025-08-27T00:00:00"/>
        <d v="2026-12-01T00:00:00"/>
        <d v="2026-03-30T00:00:00"/>
        <d v="2026-06-16T00:00:00"/>
        <d v="2026-10-09T00:00:00"/>
        <d v="2025-09-20T00:00:00"/>
        <d v="2025-12-26T00:00:00"/>
        <d v="2026-05-23T00:00:00"/>
        <d v="2026-11-07T00:00:00"/>
        <d v="2026-08-29T00:00:00"/>
        <d v="2026-02-10T00:00:00"/>
        <d v="2026-10-18T00:00:00"/>
        <d v="2026-11-27T00:00:00"/>
        <d v="2024-11-16T00:00:00"/>
        <d v="2024-03-12T00:00:00"/>
        <d v="2024-12-12T00:00:00"/>
        <d v="2025-06-01T00:00:00"/>
        <d v="2025-02-13T00:00:00"/>
        <d v="2026-03-19T00:00:00"/>
        <d v="2026-10-05T00:00:00"/>
        <d v="2025-02-28T00:00:00"/>
        <d v="2025-09-13T00:00:00"/>
        <d v="2025-10-23T00:00:00"/>
        <d v="2026-01-27T00:00:00"/>
        <d v="2026-09-02T00:00:00"/>
        <d v="2026-02-24T00:00:00"/>
        <d v="2026-03-20T00:00:00"/>
        <d v="2026-08-05T00:00:00"/>
        <d v="2026-08-16T00:00:00"/>
        <d v="2026-10-22T00:00:00"/>
        <d v="2027-01-03T00:00:00"/>
        <d v="2027-07-03T00:00:00"/>
        <d v="2024-10-28T00:00:00"/>
        <d v="2024-08-11T00:00:00"/>
        <d v="2025-02-15T00:00:00"/>
        <d v="2025-11-06T00:00:00"/>
        <d v="2026-12-06T00:00:00"/>
        <d v="2026-06-29T00:00:00"/>
        <d v="2027-05-13T00:00:00"/>
        <d v="2025-05-02T00:00:00"/>
        <d v="2025-08-28T00:00:00"/>
        <d v="2025-11-29T00:00:00"/>
        <d v="2026-07-08T00:00:00"/>
        <d v="2026-11-25T00:00:00"/>
        <d v="2027-09-05T00:00:00"/>
        <d v="2024-07-11T00:00:00"/>
        <d v="2024-11-14T00:00:00"/>
        <d v="2025-01-20T00:00:00"/>
        <d v="2025-02-14T00:00:00"/>
        <d v="2025-03-25T00:00:00"/>
        <d v="2025-07-29T00:00:00"/>
        <d v="2025-10-25T00:00:00"/>
        <d v="2026-01-14T00:00:00"/>
        <d v="2026-04-02T00:00:00"/>
        <d v="2026-12-12T00:00:00"/>
        <d v="2027-05-31T00:00:00"/>
        <d v="2024-09-10T00:00:00"/>
        <d v="2024-11-12T00:00:00"/>
        <d v="2026-06-20T00:00:00"/>
        <d v="2026-07-28T00:00:00"/>
        <d v="2027-03-05T00:00:00"/>
        <d v="2027-01-06T00:00:00"/>
        <d v="2024-03-10T00:00:00"/>
        <d v="2025-04-19T00:00:00"/>
        <d v="2025-07-18T00:00:00"/>
        <d v="2025-08-22T00:00:00"/>
        <d v="2026-03-16T00:00:00"/>
        <d v="2026-10-15T00:00:00"/>
        <d v="2025-02-04T00:00:00"/>
        <d v="2025-02-09T00:00:00"/>
        <d v="2026-01-24T00:00:00"/>
        <d v="2026-08-17T00:00:00"/>
        <d v="2026-02-12T00:00:00"/>
        <d v="2027-09-04T00:00:00"/>
        <d v="2024-09-19T00:00:00"/>
        <d v="2024-10-25T00:00:00"/>
        <d v="2025-01-17T00:00:00"/>
        <d v="2025-04-18T00:00:00"/>
        <d v="2025-02-06T00:00:00"/>
        <d v="2025-10-13T00:00:00"/>
        <d v="2026-03-28T00:00:00"/>
        <d v="2026-05-25T00:00:00"/>
        <d v="2026-05-29T00:00:00"/>
        <d v="2026-06-18T00:00:00"/>
        <d v="2025-06-10T00:00:00"/>
        <d v="2025-09-11T00:00:00"/>
        <d v="2026-11-24T00:00:00"/>
        <d v="2027-11-02T00:00:00"/>
        <d v="2027-03-28T00:00:00"/>
        <d v="2027-05-05T00:00:00"/>
        <d v="2024-06-10T00:00:00"/>
        <d v="2024-12-16T00:00:00"/>
        <d v="2025-02-17T00:00:00"/>
        <d v="2025-06-03T00:00:00"/>
        <d v="2025-06-23T00:00:00"/>
        <d v="2025-08-31T00:00:00"/>
        <d v="2025-11-11T00:00:00"/>
        <d v="2026-01-02T00:00:00"/>
        <d v="2026-04-18T00:00:00"/>
        <d v="2026-01-06T00:00:00"/>
        <d v="2025-03-01T00:00:00"/>
        <d v="2025-06-14T00:00:00"/>
        <d v="2025-06-30T00:00:00"/>
        <d v="2025-01-08T00:00:00"/>
        <d v="2025-10-29T00:00:00"/>
        <d v="2025-02-12T00:00:00"/>
        <d v="2026-12-08T00:00:00"/>
        <d v="2026-03-11T00:00:00"/>
        <d v="2026-12-21T00:00:00"/>
        <d v="2027-05-26T00:00:00"/>
        <d v="2025-07-21T00:00:00"/>
        <d v="2025-08-15T00:00:00"/>
        <d v="2026-10-11T00:00:00"/>
        <d v="2026-08-12T00:00:00"/>
        <d v="2026-12-31T00:00:00"/>
        <d v="2024-10-10T00:00:00"/>
        <d v="2024-11-29T00:00:00"/>
        <d v="2025-03-20T00:00:00"/>
        <d v="2025-06-25T00:00:00"/>
        <d v="2025-08-24T00:00:00"/>
        <d v="2026-07-03T00:00:00"/>
        <d v="2027-02-19T00:00:00"/>
        <d v="2027-03-15T00:00:00"/>
        <d v="2025-01-31T00:00:00"/>
        <d v="2025-04-02T00:00:00"/>
        <d v="2025-02-18T00:00:00"/>
        <d v="2025-04-29T00:00:00"/>
        <d v="2025-10-07T00:00:00"/>
        <d v="2025-11-30T00:00:00"/>
        <d v="2026-05-20T00:00:00"/>
        <d v="2026-09-24T00:00:00"/>
        <d v="2026-06-12T00:00:00"/>
        <d v="2027-02-05T00:00:00"/>
        <d v="2025-08-09T00:00:00"/>
        <d v="2026-02-01T00:00:00"/>
        <d v="2027-03-27T00:00:00"/>
        <d v="2025-02-22T00:00:00"/>
        <d v="2025-06-26T00:00:00"/>
        <d v="2025-12-22T00:00:00"/>
        <d v="2026-05-19T00:00:00"/>
        <d v="2026-08-24T00:00:00"/>
        <d v="2026-10-31T00:00:00"/>
        <d v="2027-03-29T00:00:00"/>
        <d v="2025-11-03T00:00:00"/>
        <d v="2025-07-13T00:00:00"/>
        <d v="2025-07-11T00:00:00"/>
        <d v="2025-12-15T00:00:00"/>
        <d v="2026-11-01T00:00:00"/>
        <d v="2026-01-25T00:00:00"/>
        <d v="2026-04-21T00:00:00"/>
        <d v="2026-07-31T00:00:00"/>
        <d v="2026-08-10T00:00:00"/>
        <d v="2024-12-31T00:00:00"/>
        <d v="2025-02-23T00:00:00"/>
        <d v="2025-12-09T00:00:00"/>
        <d v="2025-12-18T00:00:00"/>
        <d v="2026-02-26T00:00:00"/>
        <d v="2026-08-07T00:00:00"/>
        <d v="2024-11-11T00:00:00"/>
        <d v="2025-03-27T00:00:00"/>
        <d v="2025-04-22T00:00:00"/>
        <d v="2025-07-08T00:00:00"/>
        <d v="2026-09-03T00:00:00"/>
        <d v="2026-07-20T00:00:00"/>
        <d v="2026-02-08T00:00:00"/>
        <d v="2026-08-20T00:00:00"/>
        <d v="2027-04-19T00:00:00"/>
        <d v="2025-01-23T00:00:00"/>
        <d v="2026-09-07T00:00:00"/>
        <d v="2026-07-23T00:00:00"/>
        <d v="2027-12-03T00:00:00"/>
        <d v="2024-09-30T00:00:00"/>
        <d v="2024-08-10T00:00:00"/>
        <d v="2024-12-13T00:00:00"/>
        <d v="2025-03-24T00:00:00"/>
        <d v="2025-08-14T00:00:00"/>
        <d v="2025-11-27T00:00:00"/>
        <d v="2026-08-02T00:00:00"/>
        <d v="2026-08-15T00:00:00"/>
        <d v="2026-03-12T00:00:00"/>
        <d v="2027-04-20T00:00:00"/>
        <d v="2027-05-21T00:00:00"/>
        <d v="2024-11-24T00:00:00"/>
        <d v="2025-03-26T00:00:00"/>
        <d v="2025-04-17T00:00:00"/>
        <d v="2025-04-30T00:00:00"/>
        <d v="2025-03-09T00:00:00"/>
        <d v="2026-05-01T00:00:00"/>
        <d v="2026-01-17T00:00:00"/>
        <d v="2026-05-03T00:00:00"/>
        <d v="2026-08-30T00:00:00"/>
        <d v="2026-11-15T00:00:00"/>
        <d v="2025-12-10T00:00:00"/>
        <d v="2025-11-26T00:00:00"/>
        <d v="2026-10-30T00:00:00"/>
        <d v="2027-01-29T00:00:00"/>
        <d v="2025-09-03T00:00:00"/>
        <d v="2026-02-05T00:00:00"/>
        <d v="2026-08-28T00:00:00"/>
        <d v="2026-09-09T00:00:00"/>
        <d v="2026-05-10T00:00:00"/>
        <d v="2027-01-28T00:00:00"/>
        <d v="2027-10-02T00:00:00"/>
        <d v="2027-03-22T00:00:00"/>
        <d v="2025-09-17T00:00:00"/>
        <d v="2025-01-10T00:00:00"/>
        <d v="2026-07-15T00:00:00"/>
        <d v="2026-07-21T00:00:00"/>
        <d v="2026-10-26T00:00:00"/>
        <d v="2027-02-13T00:00:00"/>
        <d v="2027-02-23T00:00:00"/>
        <d v="2027-05-15T00:00:00"/>
        <d v="2025-08-07T00:00:00"/>
        <d v="2025-04-10T00:00:00"/>
        <d v="2025-06-11T00:00:00"/>
        <d v="2025-12-17T00:00:00"/>
        <d v="2026-01-26T00:00:00"/>
        <d v="2026-06-04T00:00:00"/>
        <d v="2026-07-16T00:00:00"/>
        <d v="2027-02-01T00:00:00"/>
        <d v="2027-01-26T00:00:00"/>
        <d v="2024-10-27T00:00:00"/>
        <d v="2024-11-13T00:00:00"/>
        <d v="2024-12-26T00:00:00"/>
        <d v="2025-05-23T00:00:00"/>
        <d v="2025-05-26T00:00:00"/>
        <d v="2025-08-23T00:00:00"/>
        <d v="2026-02-19T00:00:00"/>
        <d v="2026-09-06T00:00:00"/>
        <d v="2027-02-15T00:00:00"/>
        <d v="2027-03-26T00:00:00"/>
      </sharedItems>
      <fieldGroup par="25"/>
    </cacheField>
    <cacheField name="Warehouse_Location" numFmtId="0">
      <sharedItems/>
    </cacheField>
    <cacheField name="Sales_Volume" numFmtId="0">
      <sharedItems containsSemiMixedTypes="0" containsString="0" containsNumber="1" containsInteger="1" minValue="20" maxValue="100"/>
    </cacheField>
    <cacheField name="Inventory_Turnover_Rate" numFmtId="0">
      <sharedItems containsSemiMixedTypes="0" containsString="0" containsNumber="1" containsInteger="1" minValue="1" maxValue="100"/>
    </cacheField>
    <cacheField name="Status" numFmtId="0">
      <sharedItems count="3">
        <s v="Discontinued"/>
        <s v="Active"/>
        <s v="Backordered"/>
      </sharedItems>
    </cacheField>
    <cacheField name="Stock_Value2" numFmtId="164">
      <sharedItems containsSemiMixedTypes="0" containsString="0" containsNumber="1" minValue="2" maxValue="5512.08"/>
    </cacheField>
    <cacheField name="Reorder_Status" numFmtId="0">
      <sharedItems count="3">
        <s v="INACTIVE"/>
        <s v="OK"/>
        <s v="REORDER"/>
      </sharedItems>
    </cacheField>
    <cacheField name="Expiry_Status" numFmtId="0">
      <sharedItems count="2">
        <s v="Expired"/>
        <s v="Valid"/>
      </sharedItems>
    </cacheField>
    <cacheField name="Months (Expiration_Date)" numFmtId="0" databaseField="0">
      <fieldGroup base="15">
        <rangePr groupBy="months" startDate="2024-01-10T00:00:00" endDate="2027-12-06T00:00:00"/>
        <groupItems count="14">
          <s v="&lt;10/01/2024"/>
          <s v="Jan"/>
          <s v="Feb"/>
          <s v="Mar"/>
          <s v="Apr"/>
          <s v="May"/>
          <s v="Jun"/>
          <s v="Jul"/>
          <s v="Aug"/>
          <s v="Sep"/>
          <s v="Oct"/>
          <s v="Nov"/>
          <s v="Dec"/>
          <s v="&gt;6/12/2027"/>
        </groupItems>
      </fieldGroup>
    </cacheField>
    <cacheField name="Quarters (Expiration_Date)" numFmtId="0" databaseField="0">
      <fieldGroup base="15">
        <rangePr groupBy="quarters" startDate="2024-01-10T00:00:00" endDate="2027-12-06T00:00:00"/>
        <groupItems count="6">
          <s v="&lt;10/01/2024"/>
          <s v="Qtr1"/>
          <s v="Qtr2"/>
          <s v="Qtr3"/>
          <s v="Qtr4"/>
          <s v="&gt;6/12/2027"/>
        </groupItems>
      </fieldGroup>
    </cacheField>
    <cacheField name="Years (Expiration_Date)" numFmtId="0" databaseField="0">
      <fieldGroup base="15">
        <rangePr groupBy="years" startDate="2024-01-10T00:00:00" endDate="2027-12-06T00:00:00"/>
        <groupItems count="6">
          <s v="&lt;10/01/2024"/>
          <s v="2024"/>
          <s v="2025"/>
          <s v="2026"/>
          <s v="2027"/>
          <s v="&gt;6/12/2027"/>
        </groupItems>
      </fieldGroup>
    </cacheField>
  </cacheFields>
  <extLst>
    <ext xmlns:x14="http://schemas.microsoft.com/office/spreadsheetml/2009/9/main" uri="{725AE2AE-9491-48be-B2B4-4EB974FC3084}">
      <x14:pivotCacheDefinition pivotCacheId="1359367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x v="0"/>
    <x v="0"/>
    <x v="0"/>
    <s v="86-292-4587"/>
    <x v="0"/>
    <x v="0"/>
    <n v="96.25"/>
    <n v="33"/>
    <n v="14"/>
    <x v="0"/>
    <n v="3.9285714285714284"/>
    <n v="1.75"/>
    <n v="0.93378607809847203"/>
    <d v="2024-03-12T00:00:00"/>
    <s v="5/26/2024"/>
    <x v="0"/>
    <s v="050 Mcbride Avenue"/>
    <n v="34"/>
    <n v="62"/>
    <x v="0"/>
    <n v="96.25"/>
    <x v="0"/>
    <x v="0"/>
  </r>
  <r>
    <x v="1"/>
    <x v="0"/>
    <x v="0"/>
    <s v="28-436-5158"/>
    <x v="1"/>
    <x v="1"/>
    <n v="94.5"/>
    <n v="69"/>
    <n v="68"/>
    <x v="1"/>
    <n v="0.79411764705882348"/>
    <n v="1.75"/>
    <n v="0.91680814940577249"/>
    <s v="7/24/2024"/>
    <d v="2024-05-11T00:00:00"/>
    <x v="1"/>
    <s v="21629 Burrows Pass"/>
    <n v="77"/>
    <n v="56"/>
    <x v="0"/>
    <n v="94.5"/>
    <x v="0"/>
    <x v="1"/>
  </r>
  <r>
    <x v="2"/>
    <x v="0"/>
    <x v="0"/>
    <s v="78-092-4768"/>
    <x v="2"/>
    <x v="2"/>
    <n v="87.5"/>
    <n v="42"/>
    <n v="20"/>
    <x v="2"/>
    <n v="2.5"/>
    <n v="1.75"/>
    <n v="0.84889643463497455"/>
    <d v="2024-06-11T00:00:00"/>
    <s v="2/19/2025"/>
    <x v="2"/>
    <s v="336 Old Shore Lane"/>
    <n v="87"/>
    <n v="59"/>
    <x v="1"/>
    <n v="87.5"/>
    <x v="1"/>
    <x v="1"/>
  </r>
  <r>
    <x v="3"/>
    <x v="1"/>
    <x v="0"/>
    <s v="16-419-1419"/>
    <x v="3"/>
    <x v="3"/>
    <n v="123.5"/>
    <n v="88"/>
    <n v="7"/>
    <x v="3"/>
    <n v="1.8571428571428572"/>
    <n v="9.5"/>
    <n v="0.22071307300509338"/>
    <s v="7/28/2024"/>
    <s v="5/15/2024"/>
    <x v="3"/>
    <s v="1468 Meadow Vale Court"/>
    <n v="24"/>
    <n v="21"/>
    <x v="2"/>
    <n v="123.5"/>
    <x v="2"/>
    <x v="0"/>
  </r>
  <r>
    <x v="4"/>
    <x v="1"/>
    <x v="0"/>
    <s v="89-226-5813"/>
    <x v="4"/>
    <x v="4"/>
    <n v="712.5"/>
    <n v="46"/>
    <n v="75"/>
    <x v="4"/>
    <n v="1"/>
    <n v="9.5"/>
    <n v="1.2733446519524618"/>
    <s v="8/26/2024"/>
    <s v="9/30/2024"/>
    <x v="4"/>
    <s v="5426 Fordem Pass"/>
    <n v="43"/>
    <n v="77"/>
    <x v="2"/>
    <n v="712.5"/>
    <x v="1"/>
    <x v="0"/>
  </r>
  <r>
    <x v="5"/>
    <x v="1"/>
    <x v="0"/>
    <s v="18-065-8014"/>
    <x v="2"/>
    <x v="1"/>
    <n v="513"/>
    <n v="17"/>
    <n v="90"/>
    <x v="5"/>
    <n v="0.6"/>
    <n v="9.5"/>
    <n v="0.91680814940577249"/>
    <s v="1/23/2025"/>
    <d v="2024-07-08T00:00:00"/>
    <x v="5"/>
    <s v="879 Amoth Terrace"/>
    <n v="60"/>
    <n v="20"/>
    <x v="1"/>
    <n v="513"/>
    <x v="1"/>
    <x v="1"/>
  </r>
  <r>
    <x v="6"/>
    <x v="1"/>
    <x v="0"/>
    <s v="67-541-7091"/>
    <x v="5"/>
    <x v="5"/>
    <n v="722"/>
    <n v="8"/>
    <n v="2"/>
    <x v="6"/>
    <n v="38"/>
    <n v="9.5"/>
    <n v="1.2903225806451613"/>
    <d v="2024-04-10T00:00:00"/>
    <d v="2024-08-11T00:00:00"/>
    <x v="6"/>
    <s v="4627 Amoth Circle"/>
    <n v="24"/>
    <n v="53"/>
    <x v="1"/>
    <n v="722"/>
    <x v="1"/>
    <x v="1"/>
  </r>
  <r>
    <x v="7"/>
    <x v="1"/>
    <x v="0"/>
    <s v="03-257-4437"/>
    <x v="6"/>
    <x v="6"/>
    <n v="351.5"/>
    <n v="47"/>
    <n v="34"/>
    <x v="7"/>
    <n v="1.088235294117647"/>
    <n v="9.5"/>
    <n v="0.6281833616298812"/>
    <s v="7/30/2024"/>
    <s v="10/31/2024"/>
    <x v="7"/>
    <s v="153 Caliangt Plaza"/>
    <n v="38"/>
    <n v="89"/>
    <x v="2"/>
    <n v="351.5"/>
    <x v="2"/>
    <x v="1"/>
  </r>
  <r>
    <x v="8"/>
    <x v="1"/>
    <x v="0"/>
    <s v="42-579-7177"/>
    <x v="7"/>
    <x v="7"/>
    <n v="750.5"/>
    <n v="47"/>
    <n v="51"/>
    <x v="8"/>
    <n v="1.5490196078431373"/>
    <n v="9.5"/>
    <n v="1.3412563667232598"/>
    <s v="7/19/2024"/>
    <s v="2/16/2025"/>
    <x v="8"/>
    <s v="65 Merry Circle"/>
    <n v="83"/>
    <n v="69"/>
    <x v="0"/>
    <n v="750.5"/>
    <x v="0"/>
    <x v="1"/>
  </r>
  <r>
    <x v="9"/>
    <x v="1"/>
    <x v="0"/>
    <s v="64-674-3902"/>
    <x v="8"/>
    <x v="8"/>
    <n v="703"/>
    <n v="22"/>
    <n v="91"/>
    <x v="9"/>
    <n v="0.81318681318681318"/>
    <n v="9.5"/>
    <n v="1.2563667232597624"/>
    <s v="8/25/2024"/>
    <s v="1/22/2025"/>
    <x v="9"/>
    <s v="6 Acker Street"/>
    <n v="24"/>
    <n v="12"/>
    <x v="1"/>
    <n v="703"/>
    <x v="1"/>
    <x v="1"/>
  </r>
  <r>
    <x v="10"/>
    <x v="1"/>
    <x v="0"/>
    <s v="55-269-1746"/>
    <x v="9"/>
    <x v="9"/>
    <n v="731.5"/>
    <n v="19"/>
    <n v="31"/>
    <x v="10"/>
    <n v="2.4838709677419355"/>
    <n v="9.5"/>
    <n v="1.3073005093378609"/>
    <s v="10/29/2024"/>
    <s v="1/23/2025"/>
    <x v="10"/>
    <s v="16 Fair Oaks Pass"/>
    <n v="27"/>
    <n v="25"/>
    <x v="2"/>
    <n v="731.5"/>
    <x v="1"/>
    <x v="1"/>
  </r>
  <r>
    <x v="11"/>
    <x v="1"/>
    <x v="0"/>
    <s v="83-172-5527"/>
    <x v="10"/>
    <x v="10"/>
    <n v="807.5"/>
    <n v="12"/>
    <n v="94"/>
    <x v="11"/>
    <n v="0.9042553191489362"/>
    <n v="9.5"/>
    <n v="1.4431239388794568"/>
    <s v="3/24/2024"/>
    <s v="10/25/2024"/>
    <x v="11"/>
    <s v="2 Columbus Drive"/>
    <n v="26"/>
    <n v="32"/>
    <x v="0"/>
    <n v="807.5"/>
    <x v="0"/>
    <x v="1"/>
  </r>
  <r>
    <x v="12"/>
    <x v="1"/>
    <x v="0"/>
    <s v="49-559-7092"/>
    <x v="11"/>
    <x v="11"/>
    <n v="114"/>
    <n v="56"/>
    <n v="92"/>
    <x v="12"/>
    <n v="0.13043478260869565"/>
    <n v="9.5"/>
    <n v="0.2037351443123939"/>
    <d v="2024-08-05T00:00:00"/>
    <s v="12/15/2024"/>
    <x v="12"/>
    <s v="2 Veith Crossing"/>
    <n v="56"/>
    <n v="6"/>
    <x v="1"/>
    <n v="114"/>
    <x v="2"/>
    <x v="1"/>
  </r>
  <r>
    <x v="13"/>
    <x v="2"/>
    <x v="1"/>
    <s v="96-001-5429"/>
    <x v="12"/>
    <x v="12"/>
    <n v="880"/>
    <n v="56"/>
    <n v="81"/>
    <x v="13"/>
    <n v="1.0864197530864197"/>
    <n v="10"/>
    <n v="1.4940577249575553"/>
    <d v="2024-10-05T00:00:00"/>
    <d v="2024-10-03T00:00:00"/>
    <x v="13"/>
    <s v="5 Forest Run Way"/>
    <n v="98"/>
    <n v="86"/>
    <x v="0"/>
    <n v="880"/>
    <x v="0"/>
    <x v="0"/>
  </r>
  <r>
    <x v="14"/>
    <x v="2"/>
    <x v="1"/>
    <s v="00-900-0119"/>
    <x v="13"/>
    <x v="13"/>
    <n v="810"/>
    <n v="22"/>
    <n v="20"/>
    <x v="14"/>
    <n v="4.05"/>
    <n v="10"/>
    <n v="1.3752122241086588"/>
    <d v="2024-01-06T00:00:00"/>
    <s v="2/23/2025"/>
    <x v="14"/>
    <s v="86 Porter Junction"/>
    <n v="95"/>
    <n v="77"/>
    <x v="0"/>
    <n v="810"/>
    <x v="0"/>
    <x v="0"/>
  </r>
  <r>
    <x v="15"/>
    <x v="2"/>
    <x v="1"/>
    <s v="19-418-7213"/>
    <x v="9"/>
    <x v="14"/>
    <n v="600"/>
    <n v="64"/>
    <n v="36"/>
    <x v="15"/>
    <n v="1.6666666666666667"/>
    <n v="10"/>
    <n v="1.0186757215619695"/>
    <d v="2024-02-09T00:00:00"/>
    <s v="2/25/2024"/>
    <x v="15"/>
    <s v="709 Vidon Avenue"/>
    <n v="34"/>
    <n v="48"/>
    <x v="0"/>
    <n v="600"/>
    <x v="0"/>
    <x v="0"/>
  </r>
  <r>
    <x v="16"/>
    <x v="2"/>
    <x v="1"/>
    <s v="89-959-2254"/>
    <x v="14"/>
    <x v="15"/>
    <n v="1000"/>
    <n v="99"/>
    <n v="8"/>
    <x v="16"/>
    <n v="12.5"/>
    <n v="10"/>
    <n v="1.6977928692699491"/>
    <s v="2/19/2025"/>
    <s v="10/26/2024"/>
    <x v="16"/>
    <s v="498 Delladonna Drive"/>
    <n v="54"/>
    <n v="92"/>
    <x v="0"/>
    <n v="1000"/>
    <x v="0"/>
    <x v="1"/>
  </r>
  <r>
    <x v="17"/>
    <x v="2"/>
    <x v="1"/>
    <s v="26-135-6134"/>
    <x v="15"/>
    <x v="16"/>
    <n v="660"/>
    <n v="49"/>
    <n v="41"/>
    <x v="17"/>
    <n v="1.6097560975609757"/>
    <n v="10"/>
    <n v="1.1205432937181663"/>
    <s v="6/27/2024"/>
    <d v="2024-08-10T00:00:00"/>
    <x v="17"/>
    <s v="290 Rusk Avenue"/>
    <n v="27"/>
    <n v="37"/>
    <x v="0"/>
    <n v="660"/>
    <x v="0"/>
    <x v="1"/>
  </r>
  <r>
    <x v="18"/>
    <x v="2"/>
    <x v="1"/>
    <s v="82-470-7146"/>
    <x v="16"/>
    <x v="17"/>
    <n v="830"/>
    <n v="17"/>
    <n v="39"/>
    <x v="18"/>
    <n v="2.1282051282051282"/>
    <n v="10"/>
    <n v="1.4091680814940577"/>
    <d v="2024-03-06T00:00:00"/>
    <d v="2024-11-07T00:00:00"/>
    <x v="18"/>
    <s v="31 Loomis Park"/>
    <n v="33"/>
    <n v="20"/>
    <x v="1"/>
    <n v="830"/>
    <x v="1"/>
    <x v="1"/>
  </r>
  <r>
    <x v="19"/>
    <x v="2"/>
    <x v="1"/>
    <s v="99-553-6838"/>
    <x v="17"/>
    <x v="18"/>
    <n v="440"/>
    <n v="97"/>
    <n v="76"/>
    <x v="19"/>
    <n v="0.57894736842105265"/>
    <n v="10"/>
    <n v="0.74702886247877764"/>
    <s v="5/27/2024"/>
    <d v="2024-10-04T00:00:00"/>
    <x v="19"/>
    <s v="959 Dorton Pass"/>
    <n v="80"/>
    <n v="33"/>
    <x v="0"/>
    <n v="440"/>
    <x v="0"/>
    <x v="1"/>
  </r>
  <r>
    <x v="20"/>
    <x v="2"/>
    <x v="1"/>
    <s v="76-797-9430"/>
    <x v="18"/>
    <x v="19"/>
    <n v="510"/>
    <n v="35"/>
    <n v="95"/>
    <x v="20"/>
    <n v="0.5368421052631579"/>
    <n v="10"/>
    <n v="0.86587436332767409"/>
    <s v="10/22/2024"/>
    <d v="2024-08-05T00:00:00"/>
    <x v="20"/>
    <s v="5521 Wayridge Center"/>
    <n v="80"/>
    <n v="89"/>
    <x v="2"/>
    <n v="510"/>
    <x v="1"/>
    <x v="1"/>
  </r>
  <r>
    <x v="21"/>
    <x v="2"/>
    <x v="1"/>
    <s v="38-603-6412"/>
    <x v="19"/>
    <x v="20"/>
    <n v="860"/>
    <n v="55"/>
    <n v="96"/>
    <x v="21"/>
    <n v="0.89583333333333337"/>
    <n v="10"/>
    <n v="1.4601018675721562"/>
    <s v="12/19/2024"/>
    <d v="2024-09-07T00:00:00"/>
    <x v="21"/>
    <s v="7 Harper Drive"/>
    <n v="37"/>
    <n v="53"/>
    <x v="2"/>
    <n v="860"/>
    <x v="1"/>
    <x v="1"/>
  </r>
  <r>
    <x v="22"/>
    <x v="2"/>
    <x v="1"/>
    <s v="44-760-4337"/>
    <x v="20"/>
    <x v="21"/>
    <n v="640"/>
    <n v="1"/>
    <n v="92"/>
    <x v="22"/>
    <n v="0.69565217391304346"/>
    <n v="10"/>
    <n v="1.0865874363327674"/>
    <d v="2024-05-04T00:00:00"/>
    <s v="4/23/2024"/>
    <x v="22"/>
    <s v="4 Doe Crossing Avenue"/>
    <n v="49"/>
    <n v="15"/>
    <x v="1"/>
    <n v="640"/>
    <x v="1"/>
    <x v="1"/>
  </r>
  <r>
    <x v="23"/>
    <x v="2"/>
    <x v="1"/>
    <s v="60-309-5783"/>
    <x v="21"/>
    <x v="22"/>
    <n v="930"/>
    <n v="51"/>
    <n v="70"/>
    <x v="23"/>
    <n v="1.3285714285714285"/>
    <n v="10"/>
    <n v="1.5789473684210527"/>
    <s v="4/22/2024"/>
    <d v="2024-12-06T00:00:00"/>
    <x v="23"/>
    <s v="4 Stang Place"/>
    <n v="81"/>
    <n v="18"/>
    <x v="1"/>
    <n v="930"/>
    <x v="1"/>
    <x v="1"/>
  </r>
  <r>
    <x v="24"/>
    <x v="3"/>
    <x v="2"/>
    <s v="42-746-2717"/>
    <x v="22"/>
    <x v="13"/>
    <n v="283.5"/>
    <n v="74"/>
    <n v="45"/>
    <x v="24"/>
    <n v="1.8"/>
    <n v="3.5"/>
    <n v="1.3752122241086588"/>
    <s v="1/20/2025"/>
    <s v="1/27/2025"/>
    <x v="24"/>
    <s v="42 Mallory Court"/>
    <n v="42"/>
    <n v="23"/>
    <x v="0"/>
    <n v="283.5"/>
    <x v="0"/>
    <x v="1"/>
  </r>
  <r>
    <x v="25"/>
    <x v="3"/>
    <x v="2"/>
    <s v="59-629-0798"/>
    <x v="23"/>
    <x v="23"/>
    <n v="150.5"/>
    <n v="63"/>
    <n v="99"/>
    <x v="25"/>
    <n v="0.43434343434343436"/>
    <n v="3.5"/>
    <n v="0.7300509337860781"/>
    <d v="2024-08-11T00:00:00"/>
    <s v="12/13/2024"/>
    <x v="25"/>
    <s v="39 Dahle Alley"/>
    <n v="39"/>
    <n v="77"/>
    <x v="0"/>
    <n v="150.5"/>
    <x v="0"/>
    <x v="0"/>
  </r>
  <r>
    <x v="26"/>
    <x v="3"/>
    <x v="2"/>
    <s v="32-497-0478"/>
    <x v="24"/>
    <x v="24"/>
    <n v="248.5"/>
    <n v="36"/>
    <n v="45"/>
    <x v="24"/>
    <n v="1.5777777777777777"/>
    <n v="3.5"/>
    <n v="1.2054329371816639"/>
    <s v="1/29/2025"/>
    <s v="11/17/2024"/>
    <x v="26"/>
    <s v="5 Eggendart Parkway"/>
    <n v="87"/>
    <n v="2"/>
    <x v="2"/>
    <n v="248.5"/>
    <x v="1"/>
    <x v="1"/>
  </r>
  <r>
    <x v="27"/>
    <x v="3"/>
    <x v="2"/>
    <s v="75-448-1356"/>
    <x v="25"/>
    <x v="25"/>
    <n v="59.5"/>
    <n v="14"/>
    <n v="17"/>
    <x v="26"/>
    <n v="1"/>
    <n v="3.5"/>
    <n v="0.28862478777589134"/>
    <s v="3/24/2024"/>
    <d v="2024-05-10T00:00:00"/>
    <x v="27"/>
    <s v="2 Northridge Street"/>
    <n v="36"/>
    <n v="64"/>
    <x v="0"/>
    <n v="59.5"/>
    <x v="0"/>
    <x v="1"/>
  </r>
  <r>
    <x v="28"/>
    <x v="3"/>
    <x v="2"/>
    <s v="39-412-7454"/>
    <x v="26"/>
    <x v="9"/>
    <n v="269.5"/>
    <n v="58"/>
    <n v="13"/>
    <x v="27"/>
    <n v="5.9230769230769234"/>
    <n v="3.5"/>
    <n v="1.3073005093378609"/>
    <s v="6/22/2024"/>
    <s v="5/23/2024"/>
    <x v="28"/>
    <s v="6225 Westend Pass"/>
    <n v="63"/>
    <n v="28"/>
    <x v="0"/>
    <n v="269.5"/>
    <x v="0"/>
    <x v="1"/>
  </r>
  <r>
    <x v="29"/>
    <x v="3"/>
    <x v="2"/>
    <s v="82-157-4299"/>
    <x v="27"/>
    <x v="18"/>
    <n v="154"/>
    <n v="92"/>
    <n v="92"/>
    <x v="28"/>
    <n v="0.47826086956521741"/>
    <n v="3.5"/>
    <n v="0.74702886247877764"/>
    <d v="2024-08-03T00:00:00"/>
    <d v="2025-11-01T00:00:00"/>
    <x v="29"/>
    <s v="2 Hooker Terrace"/>
    <n v="41"/>
    <n v="61"/>
    <x v="1"/>
    <n v="154"/>
    <x v="2"/>
    <x v="1"/>
  </r>
  <r>
    <x v="30"/>
    <x v="3"/>
    <x v="2"/>
    <s v="18-490-4140"/>
    <x v="10"/>
    <x v="26"/>
    <n v="294"/>
    <n v="46"/>
    <n v="80"/>
    <x v="29"/>
    <n v="1.05"/>
    <n v="3.5"/>
    <n v="1.4261460101867574"/>
    <s v="5/18/2024"/>
    <d v="2024-02-10T00:00:00"/>
    <x v="30"/>
    <s v="82955 Dayton Street"/>
    <n v="66"/>
    <n v="84"/>
    <x v="0"/>
    <n v="294"/>
    <x v="0"/>
    <x v="1"/>
  </r>
  <r>
    <x v="31"/>
    <x v="4"/>
    <x v="2"/>
    <s v="24-603-5521"/>
    <x v="28"/>
    <x v="27"/>
    <n v="190"/>
    <n v="22"/>
    <n v="71"/>
    <x v="30"/>
    <n v="0.53521126760563376"/>
    <n v="5"/>
    <n v="0.64516129032258063"/>
    <d v="2024-07-10T00:00:00"/>
    <s v="5/16/2024"/>
    <x v="31"/>
    <s v="701 Logan Court"/>
    <n v="33"/>
    <n v="62"/>
    <x v="1"/>
    <n v="190"/>
    <x v="1"/>
    <x v="0"/>
  </r>
  <r>
    <x v="32"/>
    <x v="4"/>
    <x v="2"/>
    <s v="15-062-6342"/>
    <x v="29"/>
    <x v="28"/>
    <n v="365"/>
    <n v="83"/>
    <n v="74"/>
    <x v="31"/>
    <n v="0.98648648648648651"/>
    <n v="5"/>
    <n v="1.2393887945670627"/>
    <s v="3/29/2024"/>
    <d v="2025-05-02T00:00:00"/>
    <x v="32"/>
    <s v="8 Hanover Center"/>
    <n v="87"/>
    <n v="10"/>
    <x v="0"/>
    <n v="365"/>
    <x v="0"/>
    <x v="1"/>
  </r>
  <r>
    <x v="33"/>
    <x v="4"/>
    <x v="2"/>
    <s v="02-997-1489"/>
    <x v="30"/>
    <x v="29"/>
    <n v="445"/>
    <n v="35"/>
    <n v="19"/>
    <x v="32"/>
    <n v="4.6842105263157894"/>
    <n v="5"/>
    <n v="1.5110356536502547"/>
    <s v="1/31/2025"/>
    <d v="2024-08-10T00:00:00"/>
    <x v="33"/>
    <s v="38 Dawn Street"/>
    <n v="49"/>
    <n v="55"/>
    <x v="0"/>
    <n v="445"/>
    <x v="0"/>
    <x v="1"/>
  </r>
  <r>
    <x v="34"/>
    <x v="4"/>
    <x v="2"/>
    <s v="95-241-9348"/>
    <x v="31"/>
    <x v="0"/>
    <n v="275"/>
    <n v="96"/>
    <n v="40"/>
    <x v="14"/>
    <n v="1.375"/>
    <n v="5"/>
    <n v="0.93378607809847203"/>
    <s v="5/16/2024"/>
    <d v="2024-11-05T00:00:00"/>
    <x v="34"/>
    <s v="0 Lerdahl Parkway"/>
    <n v="23"/>
    <n v="47"/>
    <x v="0"/>
    <n v="275"/>
    <x v="0"/>
    <x v="1"/>
  </r>
  <r>
    <x v="35"/>
    <x v="4"/>
    <x v="2"/>
    <s v="73-830-9633"/>
    <x v="32"/>
    <x v="30"/>
    <n v="450"/>
    <n v="30"/>
    <n v="42"/>
    <x v="33"/>
    <n v="2.1428571428571428"/>
    <n v="5"/>
    <n v="1.5280135823429541"/>
    <s v="8/19/2024"/>
    <s v="7/29/2024"/>
    <x v="35"/>
    <s v="2633 Shasta Alley"/>
    <n v="76"/>
    <n v="69"/>
    <x v="2"/>
    <n v="450"/>
    <x v="1"/>
    <x v="1"/>
  </r>
  <r>
    <x v="36"/>
    <x v="4"/>
    <x v="2"/>
    <s v="48-176-1622"/>
    <x v="33"/>
    <x v="31"/>
    <n v="210"/>
    <n v="61"/>
    <n v="52"/>
    <x v="34"/>
    <n v="0.80769230769230771"/>
    <n v="5"/>
    <n v="0.71307300509337868"/>
    <d v="2024-02-12T00:00:00"/>
    <s v="1/31/2025"/>
    <x v="36"/>
    <s v="36687 Maple Avenue"/>
    <n v="86"/>
    <n v="99"/>
    <x v="2"/>
    <n v="210"/>
    <x v="2"/>
    <x v="1"/>
  </r>
  <r>
    <x v="37"/>
    <x v="4"/>
    <x v="2"/>
    <s v="60-959-6355"/>
    <x v="13"/>
    <x v="30"/>
    <n v="450"/>
    <n v="91"/>
    <n v="62"/>
    <x v="35"/>
    <n v="1.4516129032258065"/>
    <n v="5"/>
    <n v="1.5280135823429541"/>
    <s v="11/24/2024"/>
    <s v="11/27/2024"/>
    <x v="37"/>
    <s v="537 Maple Alley"/>
    <n v="34"/>
    <n v="72"/>
    <x v="1"/>
    <n v="450"/>
    <x v="2"/>
    <x v="1"/>
  </r>
  <r>
    <x v="38"/>
    <x v="5"/>
    <x v="3"/>
    <s v="54-470-2479"/>
    <x v="34"/>
    <x v="32"/>
    <n v="900"/>
    <n v="77"/>
    <n v="2"/>
    <x v="36"/>
    <n v="22.5"/>
    <n v="20"/>
    <n v="0.76400679117147707"/>
    <d v="2024-01-11T00:00:00"/>
    <s v="5/29/2024"/>
    <x v="38"/>
    <s v="36 3rd Place"/>
    <n v="85"/>
    <n v="1"/>
    <x v="0"/>
    <n v="900"/>
    <x v="0"/>
    <x v="0"/>
  </r>
  <r>
    <x v="39"/>
    <x v="5"/>
    <x v="3"/>
    <s v="10-060-8515"/>
    <x v="35"/>
    <x v="0"/>
    <n v="1100"/>
    <n v="93"/>
    <n v="84"/>
    <x v="37"/>
    <n v="0.65476190476190477"/>
    <n v="20"/>
    <n v="0.93378607809847203"/>
    <s v="5/29/2024"/>
    <d v="2024-08-11T00:00:00"/>
    <x v="39"/>
    <s v="17780 Lindbergh Junction"/>
    <n v="46"/>
    <n v="84"/>
    <x v="1"/>
    <n v="1100"/>
    <x v="2"/>
    <x v="0"/>
  </r>
  <r>
    <x v="40"/>
    <x v="5"/>
    <x v="3"/>
    <s v="83-104-8425"/>
    <x v="36"/>
    <x v="33"/>
    <n v="1240"/>
    <n v="89"/>
    <n v="6"/>
    <x v="38"/>
    <n v="10.333333333333334"/>
    <n v="20"/>
    <n v="1.0526315789473684"/>
    <d v="2024-08-09T00:00:00"/>
    <d v="2024-06-06T00:00:00"/>
    <x v="40"/>
    <s v="993 Kensington Drive"/>
    <n v="23"/>
    <n v="11"/>
    <x v="0"/>
    <n v="1240"/>
    <x v="0"/>
    <x v="0"/>
  </r>
  <r>
    <x v="41"/>
    <x v="5"/>
    <x v="3"/>
    <s v="73-625-5112"/>
    <x v="37"/>
    <x v="8"/>
    <n v="1554"/>
    <n v="72"/>
    <n v="18"/>
    <x v="39"/>
    <n v="4.1111111111111107"/>
    <n v="21"/>
    <n v="1.2563667232597624"/>
    <s v="11/15/2024"/>
    <s v="2/27/2024"/>
    <x v="41"/>
    <s v="988 Southridge Way"/>
    <n v="83"/>
    <n v="54"/>
    <x v="1"/>
    <n v="1554"/>
    <x v="1"/>
    <x v="0"/>
  </r>
  <r>
    <x v="42"/>
    <x v="5"/>
    <x v="3"/>
    <s v="41-628-8713"/>
    <x v="34"/>
    <x v="34"/>
    <n v="441"/>
    <n v="87"/>
    <n v="12"/>
    <x v="40"/>
    <n v="1.75"/>
    <n v="21"/>
    <n v="0.35653650254668934"/>
    <s v="11/17/2024"/>
    <d v="2024-02-09T00:00:00"/>
    <x v="42"/>
    <s v="298 Corry Plaza"/>
    <n v="20"/>
    <n v="38"/>
    <x v="0"/>
    <n v="441"/>
    <x v="0"/>
    <x v="0"/>
  </r>
  <r>
    <x v="43"/>
    <x v="5"/>
    <x v="3"/>
    <s v="68-200-8955"/>
    <x v="38"/>
    <x v="35"/>
    <n v="1940"/>
    <n v="77"/>
    <n v="99"/>
    <x v="41"/>
    <n v="0.97979797979797978"/>
    <n v="20"/>
    <n v="1.6468590831918506"/>
    <s v="11/22/2024"/>
    <s v="4/24/2024"/>
    <x v="43"/>
    <s v="43024 Elka Avenue"/>
    <n v="74"/>
    <n v="98"/>
    <x v="2"/>
    <n v="1940"/>
    <x v="1"/>
    <x v="0"/>
  </r>
  <r>
    <x v="44"/>
    <x v="5"/>
    <x v="3"/>
    <s v="90-718-2724"/>
    <x v="39"/>
    <x v="36"/>
    <n v="920"/>
    <n v="31"/>
    <n v="89"/>
    <x v="42"/>
    <n v="0.5168539325842697"/>
    <n v="20"/>
    <n v="0.78098471986417661"/>
    <d v="2025-04-01T00:00:00"/>
    <s v="3/21/2024"/>
    <x v="44"/>
    <s v="292 Charing Cross Terrace"/>
    <n v="59"/>
    <n v="65"/>
    <x v="2"/>
    <n v="920"/>
    <x v="1"/>
    <x v="0"/>
  </r>
  <r>
    <x v="45"/>
    <x v="5"/>
    <x v="3"/>
    <s v="50-378-4320"/>
    <x v="23"/>
    <x v="37"/>
    <n v="462"/>
    <n v="89"/>
    <n v="25"/>
    <x v="43"/>
    <n v="0.88"/>
    <n v="21"/>
    <n v="0.37351443123938882"/>
    <s v="2/25/2024"/>
    <s v="11/27/2024"/>
    <x v="45"/>
    <s v="7 Sloan Park"/>
    <n v="30"/>
    <n v="62"/>
    <x v="0"/>
    <n v="462"/>
    <x v="0"/>
    <x v="1"/>
  </r>
  <r>
    <x v="46"/>
    <x v="5"/>
    <x v="3"/>
    <s v="87-840-7803"/>
    <x v="40"/>
    <x v="38"/>
    <n v="720"/>
    <n v="64"/>
    <n v="63"/>
    <x v="44"/>
    <n v="0.5714285714285714"/>
    <n v="20"/>
    <n v="0.61120543293718166"/>
    <s v="3/15/2024"/>
    <s v="2/18/2025"/>
    <x v="46"/>
    <s v="5818 Twin Pines Place"/>
    <n v="91"/>
    <n v="35"/>
    <x v="2"/>
    <n v="720"/>
    <x v="2"/>
    <x v="0"/>
  </r>
  <r>
    <x v="47"/>
    <x v="5"/>
    <x v="3"/>
    <s v="91-788-3177"/>
    <x v="41"/>
    <x v="39"/>
    <n v="1960"/>
    <n v="83"/>
    <n v="5"/>
    <x v="45"/>
    <n v="19.600000000000001"/>
    <n v="20"/>
    <n v="1.66383701188455"/>
    <d v="2024-06-07T00:00:00"/>
    <s v="1/31/2025"/>
    <x v="47"/>
    <s v="321 Barby Parkway"/>
    <n v="39"/>
    <n v="79"/>
    <x v="1"/>
    <n v="1960"/>
    <x v="1"/>
    <x v="0"/>
  </r>
  <r>
    <x v="48"/>
    <x v="5"/>
    <x v="3"/>
    <s v="45-903-0036"/>
    <x v="42"/>
    <x v="40"/>
    <n v="460"/>
    <n v="13"/>
    <n v="15"/>
    <x v="46"/>
    <n v="1.5333333333333334"/>
    <n v="20"/>
    <n v="0.39049235993208831"/>
    <s v="3/27/2024"/>
    <s v="5/21/2024"/>
    <x v="48"/>
    <s v="60094 Goodland Junction"/>
    <n v="31"/>
    <n v="28"/>
    <x v="2"/>
    <n v="460"/>
    <x v="1"/>
    <x v="1"/>
  </r>
  <r>
    <x v="49"/>
    <x v="5"/>
    <x v="3"/>
    <s v="04-866-2231"/>
    <x v="43"/>
    <x v="8"/>
    <n v="1480"/>
    <n v="10"/>
    <n v="74"/>
    <x v="47"/>
    <n v="1"/>
    <n v="20"/>
    <n v="1.2563667232597624"/>
    <s v="7/27/2024"/>
    <d v="2024-02-10T00:00:00"/>
    <x v="49"/>
    <s v="5 Killdeer Trail"/>
    <n v="100"/>
    <n v="66"/>
    <x v="2"/>
    <n v="1480"/>
    <x v="1"/>
    <x v="1"/>
  </r>
  <r>
    <x v="50"/>
    <x v="5"/>
    <x v="3"/>
    <s v="64-361-4238"/>
    <x v="44"/>
    <x v="32"/>
    <n v="900"/>
    <n v="36"/>
    <n v="97"/>
    <x v="48"/>
    <n v="0.46391752577319589"/>
    <n v="20"/>
    <n v="0.76400679117147707"/>
    <s v="12/27/2024"/>
    <s v="5/26/2024"/>
    <x v="50"/>
    <s v="760 Butternut Plaza"/>
    <n v="36"/>
    <n v="6"/>
    <x v="1"/>
    <n v="900"/>
    <x v="1"/>
    <x v="1"/>
  </r>
  <r>
    <x v="51"/>
    <x v="5"/>
    <x v="3"/>
    <s v="33-466-7894"/>
    <x v="45"/>
    <x v="41"/>
    <n v="1300"/>
    <n v="63"/>
    <n v="41"/>
    <x v="49"/>
    <n v="1.5853658536585367"/>
    <n v="20"/>
    <n v="1.1035653650254669"/>
    <d v="2024-02-04T00:00:00"/>
    <d v="2025-07-01T00:00:00"/>
    <x v="51"/>
    <s v="96 Westridge Junction"/>
    <n v="28"/>
    <n v="26"/>
    <x v="2"/>
    <n v="1300"/>
    <x v="1"/>
    <x v="1"/>
  </r>
  <r>
    <x v="52"/>
    <x v="5"/>
    <x v="3"/>
    <s v="01-900-4509"/>
    <x v="46"/>
    <x v="3"/>
    <n v="260"/>
    <n v="55"/>
    <n v="77"/>
    <x v="50"/>
    <n v="0.16883116883116883"/>
    <n v="20"/>
    <n v="0.22071307300509338"/>
    <s v="10/17/2024"/>
    <s v="12/16/2024"/>
    <x v="52"/>
    <s v="2 7th Center"/>
    <n v="67"/>
    <n v="68"/>
    <x v="2"/>
    <n v="260"/>
    <x v="2"/>
    <x v="1"/>
  </r>
  <r>
    <x v="53"/>
    <x v="5"/>
    <x v="3"/>
    <s v="39-055-1703"/>
    <x v="47"/>
    <x v="42"/>
    <n v="1599"/>
    <n v="34"/>
    <n v="39"/>
    <x v="51"/>
    <n v="2"/>
    <n v="20.5"/>
    <n v="1.3242784380305603"/>
    <s v="11/13/2024"/>
    <s v="8/26/2024"/>
    <x v="53"/>
    <s v="697 Hoepker Center"/>
    <n v="62"/>
    <n v="2"/>
    <x v="1"/>
    <n v="1599"/>
    <x v="1"/>
    <x v="1"/>
  </r>
  <r>
    <x v="54"/>
    <x v="6"/>
    <x v="0"/>
    <s v="23-319-2681"/>
    <x v="34"/>
    <x v="43"/>
    <n v="90"/>
    <n v="34"/>
    <n v="74"/>
    <x v="52"/>
    <n v="0.27027027027027029"/>
    <n v="4.5"/>
    <n v="0.3395585738539898"/>
    <s v="9/21/2024"/>
    <s v="10/24/2024"/>
    <x v="54"/>
    <s v="05433 Towne Terrace"/>
    <n v="50"/>
    <n v="83"/>
    <x v="0"/>
    <n v="90"/>
    <x v="0"/>
    <x v="0"/>
  </r>
  <r>
    <x v="55"/>
    <x v="6"/>
    <x v="0"/>
    <s v="75-867-3635"/>
    <x v="48"/>
    <x v="44"/>
    <n v="427.5"/>
    <n v="93"/>
    <n v="16"/>
    <x v="53"/>
    <n v="5.9375"/>
    <n v="4.5"/>
    <n v="1.6129032258064517"/>
    <s v="11/26/2024"/>
    <d v="2024-06-09T00:00:00"/>
    <x v="55"/>
    <s v="03416 Valley Edge Circle"/>
    <n v="60"/>
    <n v="19"/>
    <x v="1"/>
    <n v="427.5"/>
    <x v="1"/>
    <x v="0"/>
  </r>
  <r>
    <x v="56"/>
    <x v="6"/>
    <x v="0"/>
    <s v="61-867-3019"/>
    <x v="49"/>
    <x v="45"/>
    <n v="252"/>
    <n v="4"/>
    <n v="74"/>
    <x v="52"/>
    <n v="0.7567567567567568"/>
    <n v="4.5"/>
    <n v="0.95076400679117146"/>
    <s v="3/15/2024"/>
    <d v="2024-04-07T00:00:00"/>
    <x v="56"/>
    <s v="21625 Schlimgen Park"/>
    <n v="61"/>
    <n v="73"/>
    <x v="1"/>
    <n v="252"/>
    <x v="1"/>
    <x v="1"/>
  </r>
  <r>
    <x v="57"/>
    <x v="6"/>
    <x v="0"/>
    <s v="75-365-7696"/>
    <x v="50"/>
    <x v="20"/>
    <n v="387"/>
    <n v="80"/>
    <n v="80"/>
    <x v="15"/>
    <n v="1.075"/>
    <n v="4.5"/>
    <n v="1.4601018675721562"/>
    <s v="3/18/2024"/>
    <s v="5/13/2024"/>
    <x v="57"/>
    <s v="87 Corben Street"/>
    <n v="22"/>
    <n v="67"/>
    <x v="0"/>
    <n v="387"/>
    <x v="0"/>
    <x v="1"/>
  </r>
  <r>
    <x v="58"/>
    <x v="6"/>
    <x v="0"/>
    <s v="43-575-2151"/>
    <x v="26"/>
    <x v="46"/>
    <n v="153"/>
    <n v="32"/>
    <n v="22"/>
    <x v="54"/>
    <n v="1.5454545454545454"/>
    <n v="4.5"/>
    <n v="0.57724957555178269"/>
    <d v="2024-02-05T00:00:00"/>
    <d v="2024-02-11T00:00:00"/>
    <x v="58"/>
    <s v="31 Sullivan Hill"/>
    <n v="42"/>
    <n v="27"/>
    <x v="1"/>
    <n v="153"/>
    <x v="1"/>
    <x v="1"/>
  </r>
  <r>
    <x v="59"/>
    <x v="6"/>
    <x v="0"/>
    <s v="21-416-3796"/>
    <x v="51"/>
    <x v="19"/>
    <n v="229.5"/>
    <n v="19"/>
    <n v="96"/>
    <x v="55"/>
    <n v="0.53125"/>
    <n v="4.5"/>
    <n v="0.86587436332767409"/>
    <s v="11/23/2024"/>
    <d v="2025-09-02T00:00:00"/>
    <x v="59"/>
    <s v="6748 Mitchell Road"/>
    <n v="73"/>
    <n v="42"/>
    <x v="1"/>
    <n v="229.5"/>
    <x v="1"/>
    <x v="1"/>
  </r>
  <r>
    <x v="60"/>
    <x v="7"/>
    <x v="2"/>
    <s v="23-052-4744"/>
    <x v="52"/>
    <x v="37"/>
    <n v="110"/>
    <n v="40"/>
    <n v="7"/>
    <x v="2"/>
    <n v="3.1428571428571428"/>
    <n v="5"/>
    <n v="0.37351443123938882"/>
    <d v="2024-12-09T00:00:00"/>
    <s v="12/31/2024"/>
    <x v="60"/>
    <s v="5 Transport Pass"/>
    <n v="98"/>
    <n v="60"/>
    <x v="1"/>
    <n v="110"/>
    <x v="2"/>
    <x v="0"/>
  </r>
  <r>
    <x v="61"/>
    <x v="7"/>
    <x v="2"/>
    <s v="64-528-9996"/>
    <x v="53"/>
    <x v="47"/>
    <n v="340"/>
    <n v="12"/>
    <n v="73"/>
    <x v="56"/>
    <n v="0.93150684931506844"/>
    <n v="5"/>
    <n v="1.1544991511035654"/>
    <d v="2024-05-08T00:00:00"/>
    <d v="2025-11-01T00:00:00"/>
    <x v="61"/>
    <s v="2696 Katie Road"/>
    <n v="84"/>
    <n v="95"/>
    <x v="2"/>
    <n v="340"/>
    <x v="1"/>
    <x v="0"/>
  </r>
  <r>
    <x v="62"/>
    <x v="7"/>
    <x v="2"/>
    <s v="61-424-7670"/>
    <x v="54"/>
    <x v="48"/>
    <n v="460"/>
    <n v="3"/>
    <n v="81"/>
    <x v="57"/>
    <n v="1.1358024691358024"/>
    <n v="5"/>
    <n v="1.5619694397283532"/>
    <d v="2024-05-04T00:00:00"/>
    <s v="2/25/2024"/>
    <x v="62"/>
    <s v="0282 Emmet Hill"/>
    <n v="62"/>
    <n v="20"/>
    <x v="2"/>
    <n v="460"/>
    <x v="1"/>
    <x v="1"/>
  </r>
  <r>
    <x v="63"/>
    <x v="7"/>
    <x v="2"/>
    <s v="26-920-6626"/>
    <x v="55"/>
    <x v="49"/>
    <n v="400"/>
    <n v="6"/>
    <n v="92"/>
    <x v="58"/>
    <n v="0.86956521739130432"/>
    <n v="5"/>
    <n v="1.3582342954159592"/>
    <s v="1/14/2025"/>
    <s v="1/20/2025"/>
    <x v="63"/>
    <s v="49770 Hoffman Court"/>
    <n v="26"/>
    <n v="71"/>
    <x v="0"/>
    <n v="400"/>
    <x v="0"/>
    <x v="1"/>
  </r>
  <r>
    <x v="64"/>
    <x v="7"/>
    <x v="2"/>
    <s v="86-879-7811"/>
    <x v="56"/>
    <x v="36"/>
    <n v="220.79999999999998"/>
    <n v="88"/>
    <n v="20"/>
    <x v="59"/>
    <n v="2.2999999999999998"/>
    <n v="4.8"/>
    <n v="0.78098471986417661"/>
    <d v="2024-08-10T00:00:00"/>
    <d v="2024-08-12T00:00:00"/>
    <x v="64"/>
    <s v="1519 Delaware Court"/>
    <n v="59"/>
    <n v="79"/>
    <x v="2"/>
    <n v="220.79999999999998"/>
    <x v="2"/>
    <x v="1"/>
  </r>
  <r>
    <x v="65"/>
    <x v="7"/>
    <x v="2"/>
    <s v="14-414-1945"/>
    <x v="57"/>
    <x v="42"/>
    <n v="366.6"/>
    <n v="16"/>
    <n v="37"/>
    <x v="60"/>
    <n v="2.1081081081081079"/>
    <n v="4.7"/>
    <n v="1.3242784380305603"/>
    <d v="2024-12-10T00:00:00"/>
    <d v="2024-04-12T00:00:00"/>
    <x v="65"/>
    <s v="64 1st Plaza"/>
    <n v="25"/>
    <n v="96"/>
    <x v="2"/>
    <n v="366.6"/>
    <x v="1"/>
    <x v="1"/>
  </r>
  <r>
    <x v="66"/>
    <x v="7"/>
    <x v="2"/>
    <s v="67-596-1997"/>
    <x v="58"/>
    <x v="46"/>
    <n v="170"/>
    <n v="95"/>
    <n v="18"/>
    <x v="61"/>
    <n v="1.8888888888888888"/>
    <n v="5"/>
    <n v="0.57724957555178269"/>
    <s v="10/14/2024"/>
    <s v="10/17/2024"/>
    <x v="66"/>
    <s v="856 School Plaza"/>
    <n v="41"/>
    <n v="26"/>
    <x v="0"/>
    <n v="170"/>
    <x v="0"/>
    <x v="1"/>
  </r>
  <r>
    <x v="67"/>
    <x v="7"/>
    <x v="2"/>
    <s v="39-506-2186"/>
    <x v="12"/>
    <x v="50"/>
    <n v="90"/>
    <n v="3"/>
    <n v="39"/>
    <x v="62"/>
    <n v="0.46153846153846156"/>
    <n v="5"/>
    <n v="0.30560271646859083"/>
    <s v="10/18/2024"/>
    <s v="2/16/2025"/>
    <x v="67"/>
    <s v="25 Drewry Alley"/>
    <n v="58"/>
    <n v="61"/>
    <x v="2"/>
    <n v="90"/>
    <x v="1"/>
    <x v="1"/>
  </r>
  <r>
    <x v="68"/>
    <x v="8"/>
    <x v="4"/>
    <s v="26-411-9126"/>
    <x v="59"/>
    <x v="51"/>
    <n v="990"/>
    <n v="96"/>
    <n v="39"/>
    <x v="18"/>
    <n v="2.5384615384615383"/>
    <n v="10"/>
    <n v="1.6808149405772497"/>
    <s v="6/22/2024"/>
    <s v="6/19/2024"/>
    <x v="68"/>
    <s v="042 Di Loreto Court"/>
    <n v="94"/>
    <n v="89"/>
    <x v="2"/>
    <n v="990"/>
    <x v="1"/>
    <x v="0"/>
  </r>
  <r>
    <x v="69"/>
    <x v="8"/>
    <x v="4"/>
    <s v="93-619-6639"/>
    <x v="60"/>
    <x v="52"/>
    <n v="100"/>
    <n v="86"/>
    <n v="23"/>
    <x v="63"/>
    <n v="0.43478260869565216"/>
    <n v="10"/>
    <n v="0.1697792869269949"/>
    <s v="6/29/2024"/>
    <s v="11/26/2024"/>
    <x v="69"/>
    <s v="0 Oxford Crossing"/>
    <n v="24"/>
    <n v="52"/>
    <x v="2"/>
    <n v="100"/>
    <x v="2"/>
    <x v="0"/>
  </r>
  <r>
    <x v="70"/>
    <x v="8"/>
    <x v="4"/>
    <s v="42-523-1857"/>
    <x v="61"/>
    <x v="2"/>
    <n v="500"/>
    <n v="36"/>
    <n v="81"/>
    <x v="13"/>
    <n v="0.61728395061728392"/>
    <n v="10"/>
    <n v="0.84889643463497455"/>
    <s v="9/26/2024"/>
    <d v="2024-12-05T00:00:00"/>
    <x v="70"/>
    <s v="938 Garrison Court"/>
    <n v="27"/>
    <n v="6"/>
    <x v="0"/>
    <n v="500"/>
    <x v="0"/>
    <x v="1"/>
  </r>
  <r>
    <x v="71"/>
    <x v="8"/>
    <x v="4"/>
    <s v="54-919-9424"/>
    <x v="49"/>
    <x v="53"/>
    <n v="530"/>
    <n v="89"/>
    <n v="100"/>
    <x v="64"/>
    <n v="0.53"/>
    <n v="10"/>
    <n v="0.89983022071307306"/>
    <d v="2024-01-07T00:00:00"/>
    <d v="2024-06-04T00:00:00"/>
    <x v="71"/>
    <s v="3622 Anhalt Lane"/>
    <n v="22"/>
    <n v="83"/>
    <x v="2"/>
    <n v="530"/>
    <x v="2"/>
    <x v="1"/>
  </r>
  <r>
    <x v="72"/>
    <x v="8"/>
    <x v="4"/>
    <s v="17-494-5505"/>
    <x v="0"/>
    <x v="54"/>
    <n v="140"/>
    <n v="75"/>
    <n v="10"/>
    <x v="45"/>
    <n v="1.4"/>
    <n v="10"/>
    <n v="0.23769100169779286"/>
    <d v="2024-04-10T00:00:00"/>
    <s v="1/25/2025"/>
    <x v="72"/>
    <s v="591 Maple Junction"/>
    <n v="65"/>
    <n v="62"/>
    <x v="1"/>
    <n v="140"/>
    <x v="2"/>
    <x v="1"/>
  </r>
  <r>
    <x v="73"/>
    <x v="8"/>
    <x v="4"/>
    <s v="87-159-6467"/>
    <x v="62"/>
    <x v="55"/>
    <n v="240"/>
    <n v="89"/>
    <n v="27"/>
    <x v="65"/>
    <n v="0.88888888888888884"/>
    <n v="10"/>
    <n v="0.40747028862478779"/>
    <d v="2024-10-04T00:00:00"/>
    <s v="10/15/2024"/>
    <x v="73"/>
    <s v="8 Thackeray Drive"/>
    <n v="99"/>
    <n v="1"/>
    <x v="0"/>
    <n v="240"/>
    <x v="0"/>
    <x v="1"/>
  </r>
  <r>
    <x v="74"/>
    <x v="8"/>
    <x v="4"/>
    <s v="77-783-4107"/>
    <x v="63"/>
    <x v="56"/>
    <n v="300"/>
    <n v="48"/>
    <n v="52"/>
    <x v="66"/>
    <n v="0.57692307692307687"/>
    <n v="10"/>
    <n v="0.50933786078098475"/>
    <d v="2024-11-06T00:00:00"/>
    <d v="2024-07-12T00:00:00"/>
    <x v="74"/>
    <s v="00616 Manitowish Parkway"/>
    <n v="22"/>
    <n v="78"/>
    <x v="1"/>
    <n v="300"/>
    <x v="2"/>
    <x v="1"/>
  </r>
  <r>
    <x v="75"/>
    <x v="9"/>
    <x v="2"/>
    <s v="73-717-0190"/>
    <x v="64"/>
    <x v="45"/>
    <n v="5512.08"/>
    <n v="12"/>
    <n v="59"/>
    <x v="67"/>
    <n v="0.94915254237288138"/>
    <n v="98.43"/>
    <n v="0.95076400679117146"/>
    <s v="9/17/2024"/>
    <s v="8/27/2024"/>
    <x v="75"/>
    <s v="8 Heffernan Point"/>
    <n v="35"/>
    <n v="16"/>
    <x v="1"/>
    <n v="5512.08"/>
    <x v="1"/>
    <x v="0"/>
  </r>
  <r>
    <x v="76"/>
    <x v="9"/>
    <x v="2"/>
    <s v="40-817-2222"/>
    <x v="65"/>
    <x v="44"/>
    <n v="5112.8999999999996"/>
    <n v="25"/>
    <n v="91"/>
    <x v="68"/>
    <n v="1.043956043956044"/>
    <n v="53.82"/>
    <n v="1.6129032258064517"/>
    <d v="2024-04-09T00:00:00"/>
    <s v="4/24/2024"/>
    <x v="76"/>
    <s v="3825 Raven Avenue"/>
    <n v="87"/>
    <n v="5"/>
    <x v="0"/>
    <n v="5112.8999999999996"/>
    <x v="0"/>
    <x v="0"/>
  </r>
  <r>
    <x v="77"/>
    <x v="9"/>
    <x v="2"/>
    <s v="38-790-7081"/>
    <x v="33"/>
    <x v="57"/>
    <n v="1255.42"/>
    <n v="29"/>
    <n v="62"/>
    <x v="69"/>
    <n v="1.3225806451612903"/>
    <n v="15.31"/>
    <n v="1.3921901528013583"/>
    <d v="2024-08-08T00:00:00"/>
    <s v="3/18/2024"/>
    <x v="77"/>
    <s v="154 Delladonna Hill"/>
    <n v="77"/>
    <n v="27"/>
    <x v="2"/>
    <n v="1255.42"/>
    <x v="1"/>
    <x v="0"/>
  </r>
  <r>
    <x v="78"/>
    <x v="9"/>
    <x v="2"/>
    <s v="61-807-0746"/>
    <x v="66"/>
    <x v="58"/>
    <n v="545.61"/>
    <n v="19"/>
    <n v="18"/>
    <x v="70"/>
    <n v="2.1666666666666665"/>
    <n v="13.99"/>
    <n v="0.66213921901528017"/>
    <s v="3/30/2024"/>
    <s v="7/18/2024"/>
    <x v="78"/>
    <s v="07359 Porter Park"/>
    <n v="58"/>
    <n v="90"/>
    <x v="1"/>
    <n v="545.61"/>
    <x v="1"/>
    <x v="1"/>
  </r>
  <r>
    <x v="79"/>
    <x v="10"/>
    <x v="0"/>
    <s v="29-112-1577"/>
    <x v="6"/>
    <x v="45"/>
    <n v="252"/>
    <n v="53"/>
    <n v="77"/>
    <x v="25"/>
    <n v="0.72727272727272729"/>
    <n v="4.5"/>
    <n v="0.95076400679117146"/>
    <d v="2024-12-07T00:00:00"/>
    <s v="7/24/2024"/>
    <x v="79"/>
    <s v="1959 Marcy Center"/>
    <n v="69"/>
    <n v="69"/>
    <x v="1"/>
    <n v="252"/>
    <x v="1"/>
    <x v="0"/>
  </r>
  <r>
    <x v="80"/>
    <x v="10"/>
    <x v="0"/>
    <s v="52-062-2916"/>
    <x v="67"/>
    <x v="59"/>
    <n v="67.5"/>
    <n v="49"/>
    <n v="40"/>
    <x v="71"/>
    <n v="0.375"/>
    <n v="4.5"/>
    <n v="0.25466893039049238"/>
    <d v="2024-06-12T00:00:00"/>
    <s v="6/14/2024"/>
    <x v="80"/>
    <s v="6500 Raven Drive"/>
    <n v="68"/>
    <n v="74"/>
    <x v="0"/>
    <n v="67.5"/>
    <x v="0"/>
    <x v="0"/>
  </r>
  <r>
    <x v="81"/>
    <x v="10"/>
    <x v="0"/>
    <s v="64-396-5538"/>
    <x v="68"/>
    <x v="60"/>
    <n v="114.4"/>
    <n v="67"/>
    <n v="46"/>
    <x v="72"/>
    <n v="0.56521739130434778"/>
    <n v="4.4000000000000004"/>
    <n v="0.44142614601018676"/>
    <d v="2024-08-12T00:00:00"/>
    <d v="2024-12-09T00:00:00"/>
    <x v="81"/>
    <s v="4784 Farmco Alley"/>
    <n v="54"/>
    <n v="46"/>
    <x v="2"/>
    <n v="114.4"/>
    <x v="2"/>
    <x v="1"/>
  </r>
  <r>
    <x v="82"/>
    <x v="10"/>
    <x v="0"/>
    <s v="79-656-1990"/>
    <x v="69"/>
    <x v="61"/>
    <n v="49.5"/>
    <n v="87"/>
    <n v="64"/>
    <x v="73"/>
    <n v="0.171875"/>
    <n v="4.5"/>
    <n v="0.18675721561969441"/>
    <s v="8/30/2024"/>
    <d v="2024-08-06T00:00:00"/>
    <x v="82"/>
    <s v="28 Boyd Pass"/>
    <n v="29"/>
    <n v="6"/>
    <x v="1"/>
    <n v="49.5"/>
    <x v="2"/>
    <x v="1"/>
  </r>
  <r>
    <x v="83"/>
    <x v="10"/>
    <x v="0"/>
    <s v="85-823-7428"/>
    <x v="70"/>
    <x v="0"/>
    <n v="244.75"/>
    <n v="13"/>
    <n v="71"/>
    <x v="74"/>
    <n v="0.77464788732394363"/>
    <n v="4.45"/>
    <n v="0.93378607809847203"/>
    <s v="4/26/2024"/>
    <s v="10/22/2024"/>
    <x v="83"/>
    <s v="98 Bartillon Trail"/>
    <n v="37"/>
    <n v="4"/>
    <x v="2"/>
    <n v="244.75"/>
    <x v="1"/>
    <x v="1"/>
  </r>
  <r>
    <x v="84"/>
    <x v="10"/>
    <x v="0"/>
    <s v="86-841-4440"/>
    <x v="71"/>
    <x v="24"/>
    <n v="319.5"/>
    <n v="60"/>
    <n v="62"/>
    <x v="75"/>
    <n v="1.1451612903225807"/>
    <n v="4.5"/>
    <n v="1.2054329371816639"/>
    <s v="8/27/2024"/>
    <s v="3/25/2024"/>
    <x v="84"/>
    <s v="308 Doe Crossing Pass"/>
    <n v="60"/>
    <n v="63"/>
    <x v="0"/>
    <n v="319.5"/>
    <x v="0"/>
    <x v="1"/>
  </r>
  <r>
    <x v="85"/>
    <x v="11"/>
    <x v="2"/>
    <s v="14-724-4622"/>
    <x v="72"/>
    <x v="62"/>
    <n v="427.20000000000005"/>
    <n v="33"/>
    <n v="72"/>
    <x v="76"/>
    <n v="1.3333333333333333"/>
    <n v="4.45"/>
    <n v="1.6298811544991512"/>
    <d v="2024-10-03T00:00:00"/>
    <s v="5/16/2024"/>
    <x v="85"/>
    <s v="459 Gateway Pass"/>
    <n v="74"/>
    <n v="100"/>
    <x v="1"/>
    <n v="427.20000000000005"/>
    <x v="1"/>
    <x v="0"/>
  </r>
  <r>
    <x v="86"/>
    <x v="11"/>
    <x v="2"/>
    <s v="76-671-7104"/>
    <x v="73"/>
    <x v="63"/>
    <n v="315"/>
    <n v="31"/>
    <n v="55"/>
    <x v="77"/>
    <n v="1.2727272727272727"/>
    <n v="4.5"/>
    <n v="1.1884550084889645"/>
    <s v="7/31/2024"/>
    <s v="7/27/2024"/>
    <x v="86"/>
    <s v="6 Swallow Crossing"/>
    <n v="23"/>
    <n v="80"/>
    <x v="0"/>
    <n v="315"/>
    <x v="0"/>
    <x v="0"/>
  </r>
  <r>
    <x v="87"/>
    <x v="11"/>
    <x v="2"/>
    <s v="21-932-5200"/>
    <x v="70"/>
    <x v="2"/>
    <n v="225"/>
    <n v="3"/>
    <n v="88"/>
    <x v="78"/>
    <n v="0.56818181818181823"/>
    <n v="4.5"/>
    <n v="0.84889643463497455"/>
    <s v="7/21/2024"/>
    <s v="6/30/2024"/>
    <x v="87"/>
    <s v="33424 Express Avenue"/>
    <n v="69"/>
    <n v="73"/>
    <x v="0"/>
    <n v="225"/>
    <x v="0"/>
    <x v="0"/>
  </r>
  <r>
    <x v="88"/>
    <x v="11"/>
    <x v="2"/>
    <s v="43-348-2450"/>
    <x v="4"/>
    <x v="36"/>
    <n v="211.6"/>
    <n v="64"/>
    <n v="17"/>
    <x v="79"/>
    <n v="2.7058823529411766"/>
    <n v="4.5999999999999996"/>
    <n v="0.78098471986417661"/>
    <d v="2024-01-03T00:00:00"/>
    <d v="2025-06-01T00:00:00"/>
    <x v="88"/>
    <s v="20 Pennsylvania Parkway"/>
    <n v="96"/>
    <n v="55"/>
    <x v="0"/>
    <n v="211.6"/>
    <x v="0"/>
    <x v="0"/>
  </r>
  <r>
    <x v="89"/>
    <x v="11"/>
    <x v="2"/>
    <s v="14-427-6604"/>
    <x v="74"/>
    <x v="4"/>
    <n v="337.5"/>
    <n v="85"/>
    <n v="27"/>
    <x v="80"/>
    <n v="2.7777777777777777"/>
    <n v="4.5"/>
    <n v="1.2733446519524618"/>
    <s v="5/30/2024"/>
    <d v="2024-09-06T00:00:00"/>
    <x v="89"/>
    <s v="42397 Knutson Place"/>
    <n v="26"/>
    <n v="68"/>
    <x v="0"/>
    <n v="337.5"/>
    <x v="0"/>
    <x v="0"/>
  </r>
  <r>
    <x v="90"/>
    <x v="11"/>
    <x v="2"/>
    <s v="68-596-5506"/>
    <x v="75"/>
    <x v="60"/>
    <n v="114.4"/>
    <n v="12"/>
    <n v="43"/>
    <x v="81"/>
    <n v="0.60465116279069764"/>
    <n v="4.4000000000000004"/>
    <n v="0.44142614601018676"/>
    <s v="1/17/2025"/>
    <s v="9/16/2024"/>
    <x v="90"/>
    <s v="4 6th Plaza"/>
    <n v="73"/>
    <n v="20"/>
    <x v="2"/>
    <n v="114.4"/>
    <x v="1"/>
    <x v="1"/>
  </r>
  <r>
    <x v="91"/>
    <x v="11"/>
    <x v="2"/>
    <s v="64-584-7898"/>
    <x v="22"/>
    <x v="64"/>
    <n v="220.5"/>
    <n v="93"/>
    <n v="15"/>
    <x v="82"/>
    <n v="3.2666666666666666"/>
    <n v="4.5"/>
    <n v="0.83191850594227501"/>
    <s v="4/27/2024"/>
    <d v="2024-01-05T00:00:00"/>
    <x v="91"/>
    <s v="81503 Graedel Plaza"/>
    <n v="52"/>
    <n v="31"/>
    <x v="2"/>
    <n v="220.5"/>
    <x v="2"/>
    <x v="1"/>
  </r>
  <r>
    <x v="92"/>
    <x v="11"/>
    <x v="2"/>
    <s v="53-718-1768"/>
    <x v="76"/>
    <x v="26"/>
    <n v="378"/>
    <n v="26"/>
    <n v="37"/>
    <x v="83"/>
    <n v="2.2702702702702702"/>
    <n v="4.5"/>
    <n v="1.4261460101867574"/>
    <s v="4/15/2024"/>
    <s v="2/27/2024"/>
    <x v="92"/>
    <s v="9327 Hanover Way"/>
    <n v="46"/>
    <n v="67"/>
    <x v="2"/>
    <n v="378"/>
    <x v="1"/>
    <x v="1"/>
  </r>
  <r>
    <x v="93"/>
    <x v="11"/>
    <x v="2"/>
    <s v="60-508-7567"/>
    <x v="77"/>
    <x v="30"/>
    <n v="405"/>
    <n v="22"/>
    <n v="20"/>
    <x v="61"/>
    <n v="4.5"/>
    <n v="4.5"/>
    <n v="1.5280135823429541"/>
    <s v="6/30/2024"/>
    <s v="2/22/2025"/>
    <x v="93"/>
    <s v="5 Warner Court"/>
    <n v="81"/>
    <n v="88"/>
    <x v="2"/>
    <n v="405"/>
    <x v="1"/>
    <x v="1"/>
  </r>
  <r>
    <x v="94"/>
    <x v="11"/>
    <x v="2"/>
    <s v="53-497-9614"/>
    <x v="78"/>
    <x v="39"/>
    <n v="441"/>
    <n v="43"/>
    <n v="9"/>
    <x v="84"/>
    <n v="10.888888888888889"/>
    <n v="4.5"/>
    <n v="1.66383701188455"/>
    <s v="6/25/2024"/>
    <d v="2024-06-03T00:00:00"/>
    <x v="94"/>
    <s v="06584 Mendota Avenue"/>
    <n v="86"/>
    <n v="62"/>
    <x v="2"/>
    <n v="441"/>
    <x v="1"/>
    <x v="1"/>
  </r>
  <r>
    <x v="95"/>
    <x v="11"/>
    <x v="2"/>
    <s v="63-969-9608"/>
    <x v="79"/>
    <x v="29"/>
    <n v="400.5"/>
    <n v="96"/>
    <n v="94"/>
    <x v="85"/>
    <n v="0.94680851063829785"/>
    <n v="4.5"/>
    <n v="1.5110356536502547"/>
    <d v="2024-10-06T00:00:00"/>
    <d v="2025-06-01T00:00:00"/>
    <x v="95"/>
    <s v="521 Burning Wood Trail"/>
    <n v="38"/>
    <n v="96"/>
    <x v="0"/>
    <n v="400.5"/>
    <x v="0"/>
    <x v="1"/>
  </r>
  <r>
    <x v="96"/>
    <x v="11"/>
    <x v="2"/>
    <s v="17-167-4304"/>
    <x v="80"/>
    <x v="65"/>
    <n v="423"/>
    <n v="18"/>
    <n v="84"/>
    <x v="39"/>
    <n v="1.1190476190476191"/>
    <n v="4.5"/>
    <n v="1.5959252971137521"/>
    <d v="2025-04-01T00:00:00"/>
    <s v="10/15/2024"/>
    <x v="96"/>
    <s v="1666 Dayton Terrace"/>
    <n v="44"/>
    <n v="49"/>
    <x v="0"/>
    <n v="423"/>
    <x v="0"/>
    <x v="1"/>
  </r>
  <r>
    <x v="97"/>
    <x v="12"/>
    <x v="3"/>
    <s v="68-482-4786"/>
    <x v="81"/>
    <x v="26"/>
    <n v="1260"/>
    <n v="13"/>
    <n v="88"/>
    <x v="86"/>
    <n v="0.95454545454545459"/>
    <n v="15"/>
    <n v="1.4261460101867574"/>
    <s v="1/26/2025"/>
    <d v="2024-04-12T00:00:00"/>
    <x v="97"/>
    <s v="564 Hazelcrest Crossing"/>
    <n v="25"/>
    <n v="34"/>
    <x v="2"/>
    <n v="1260"/>
    <x v="1"/>
    <x v="0"/>
  </r>
  <r>
    <x v="98"/>
    <x v="12"/>
    <x v="3"/>
    <s v="90-534-2165"/>
    <x v="82"/>
    <x v="66"/>
    <n v="915"/>
    <n v="43"/>
    <n v="29"/>
    <x v="87"/>
    <n v="2.103448275862069"/>
    <n v="15"/>
    <n v="1.0356536502546689"/>
    <d v="2025-03-02T00:00:00"/>
    <s v="10/25/2024"/>
    <x v="98"/>
    <s v="40643 Sullivan Lane"/>
    <n v="67"/>
    <n v="6"/>
    <x v="0"/>
    <n v="915"/>
    <x v="0"/>
    <x v="0"/>
  </r>
  <r>
    <x v="99"/>
    <x v="12"/>
    <x v="3"/>
    <s v="22-644-6447"/>
    <x v="60"/>
    <x v="6"/>
    <n v="555"/>
    <n v="94"/>
    <n v="76"/>
    <x v="88"/>
    <n v="0.48684210526315791"/>
    <n v="15"/>
    <n v="0.6281833616298812"/>
    <s v="6/17/2024"/>
    <s v="1/19/2025"/>
    <x v="99"/>
    <s v="00 6th Parkway"/>
    <n v="94"/>
    <n v="66"/>
    <x v="2"/>
    <n v="555"/>
    <x v="2"/>
    <x v="0"/>
  </r>
  <r>
    <x v="100"/>
    <x v="12"/>
    <x v="3"/>
    <s v="33-523-9077"/>
    <x v="83"/>
    <x v="55"/>
    <n v="372"/>
    <n v="77"/>
    <n v="32"/>
    <x v="89"/>
    <n v="0.75"/>
    <n v="15.5"/>
    <n v="0.40747028862478779"/>
    <s v="3/18/2024"/>
    <d v="2024-10-06T00:00:00"/>
    <x v="100"/>
    <s v="094 Carberry Lane"/>
    <n v="80"/>
    <n v="42"/>
    <x v="0"/>
    <n v="372"/>
    <x v="0"/>
    <x v="0"/>
  </r>
  <r>
    <x v="101"/>
    <x v="12"/>
    <x v="3"/>
    <s v="14-713-5795"/>
    <x v="65"/>
    <x v="61"/>
    <n v="165"/>
    <n v="72"/>
    <n v="5"/>
    <x v="90"/>
    <n v="2.2000000000000002"/>
    <n v="15"/>
    <n v="0.18675721561969441"/>
    <d v="2024-08-07T00:00:00"/>
    <d v="2024-11-10T00:00:00"/>
    <x v="101"/>
    <s v="5 Anderson Trail"/>
    <n v="89"/>
    <n v="4"/>
    <x v="1"/>
    <n v="165"/>
    <x v="2"/>
    <x v="0"/>
  </r>
  <r>
    <x v="102"/>
    <x v="12"/>
    <x v="3"/>
    <s v="35-370-7603"/>
    <x v="84"/>
    <x v="33"/>
    <n v="961"/>
    <n v="23"/>
    <n v="25"/>
    <x v="91"/>
    <n v="2.48"/>
    <n v="15.5"/>
    <n v="1.0526315789473684"/>
    <s v="7/23/2024"/>
    <s v="4/29/2024"/>
    <x v="102"/>
    <s v="0 Oneill Hill"/>
    <n v="34"/>
    <n v="68"/>
    <x v="0"/>
    <n v="961"/>
    <x v="0"/>
    <x v="1"/>
  </r>
  <r>
    <x v="103"/>
    <x v="12"/>
    <x v="3"/>
    <s v="21-450-5520"/>
    <x v="85"/>
    <x v="42"/>
    <n v="1170"/>
    <n v="38"/>
    <n v="27"/>
    <x v="57"/>
    <n v="2.8888888888888888"/>
    <n v="15"/>
    <n v="1.3242784380305603"/>
    <d v="2024-06-04T00:00:00"/>
    <d v="2024-09-07T00:00:00"/>
    <x v="103"/>
    <s v="0023 Upham Road"/>
    <n v="54"/>
    <n v="42"/>
    <x v="1"/>
    <n v="1170"/>
    <x v="1"/>
    <x v="1"/>
  </r>
  <r>
    <x v="104"/>
    <x v="12"/>
    <x v="3"/>
    <s v="34-824-0575"/>
    <x v="3"/>
    <x v="67"/>
    <n v="495"/>
    <n v="22"/>
    <n v="94"/>
    <x v="92"/>
    <n v="0.35106382978723405"/>
    <n v="15"/>
    <n v="0.56027164685908315"/>
    <s v="11/28/2024"/>
    <s v="9/24/2024"/>
    <x v="104"/>
    <s v="797 Mcbride Lane"/>
    <n v="96"/>
    <n v="56"/>
    <x v="0"/>
    <n v="495"/>
    <x v="0"/>
    <x v="1"/>
  </r>
  <r>
    <x v="105"/>
    <x v="12"/>
    <x v="3"/>
    <s v="31-676-5646"/>
    <x v="86"/>
    <x v="68"/>
    <n v="600"/>
    <n v="30"/>
    <n v="60"/>
    <x v="93"/>
    <n v="0.66666666666666663"/>
    <n v="15"/>
    <n v="0.6791171477079796"/>
    <d v="2024-05-09T00:00:00"/>
    <s v="10/23/2024"/>
    <x v="105"/>
    <s v="57 Di Loreto Circle"/>
    <n v="33"/>
    <n v="84"/>
    <x v="1"/>
    <n v="600"/>
    <x v="1"/>
    <x v="1"/>
  </r>
  <r>
    <x v="106"/>
    <x v="12"/>
    <x v="3"/>
    <s v="79-955-6260"/>
    <x v="75"/>
    <x v="69"/>
    <n v="1296.3"/>
    <n v="91"/>
    <n v="23"/>
    <x v="94"/>
    <n v="3.7826086956521738"/>
    <n v="14.9"/>
    <n v="1.4770797962648556"/>
    <s v="12/29/2024"/>
    <s v="5/23/2024"/>
    <x v="106"/>
    <s v="68 Dakota Center"/>
    <n v="90"/>
    <n v="75"/>
    <x v="2"/>
    <n v="1296.3"/>
    <x v="2"/>
    <x v="1"/>
  </r>
  <r>
    <x v="107"/>
    <x v="13"/>
    <x v="0"/>
    <s v="54-031-2945"/>
    <x v="64"/>
    <x v="56"/>
    <n v="180"/>
    <n v="38"/>
    <n v="83"/>
    <x v="95"/>
    <n v="0.36144578313253012"/>
    <n v="6"/>
    <n v="0.50933786078098475"/>
    <d v="2024-03-08T00:00:00"/>
    <d v="2024-10-06T00:00:00"/>
    <x v="107"/>
    <s v="3296 Walton Court"/>
    <n v="31"/>
    <n v="34"/>
    <x v="2"/>
    <n v="180"/>
    <x v="2"/>
    <x v="0"/>
  </r>
  <r>
    <x v="108"/>
    <x v="13"/>
    <x v="0"/>
    <s v="11-098-3982"/>
    <x v="87"/>
    <x v="20"/>
    <n v="524.6"/>
    <n v="100"/>
    <n v="74"/>
    <x v="96"/>
    <n v="1.1621621621621621"/>
    <n v="6.1"/>
    <n v="1.4601018675721562"/>
    <s v="3/25/2024"/>
    <s v="1/17/2025"/>
    <x v="108"/>
    <s v="451 Grim Hill"/>
    <n v="80"/>
    <n v="94"/>
    <x v="1"/>
    <n v="524.6"/>
    <x v="2"/>
    <x v="0"/>
  </r>
  <r>
    <x v="109"/>
    <x v="13"/>
    <x v="0"/>
    <s v="39-339-3869"/>
    <x v="88"/>
    <x v="7"/>
    <n v="474"/>
    <n v="98"/>
    <n v="97"/>
    <x v="97"/>
    <n v="0.81443298969072164"/>
    <n v="6"/>
    <n v="1.3412563667232598"/>
    <d v="2024-10-12T00:00:00"/>
    <s v="1/17/2025"/>
    <x v="109"/>
    <s v="92321 Nelson Trail"/>
    <n v="26"/>
    <n v="21"/>
    <x v="2"/>
    <n v="474"/>
    <x v="2"/>
    <x v="0"/>
  </r>
  <r>
    <x v="110"/>
    <x v="13"/>
    <x v="0"/>
    <s v="05-100-7102"/>
    <x v="89"/>
    <x v="46"/>
    <n v="209.10000000000002"/>
    <n v="96"/>
    <n v="76"/>
    <x v="98"/>
    <n v="0.44736842105263158"/>
    <n v="6.15"/>
    <n v="0.57724957555178269"/>
    <d v="2024-03-10T00:00:00"/>
    <d v="2024-06-12T00:00:00"/>
    <x v="110"/>
    <s v="6382 Anniversary Pass"/>
    <n v="90"/>
    <n v="34"/>
    <x v="0"/>
    <n v="209.10000000000002"/>
    <x v="0"/>
    <x v="0"/>
  </r>
  <r>
    <x v="111"/>
    <x v="13"/>
    <x v="0"/>
    <s v="41-399-9203"/>
    <x v="90"/>
    <x v="47"/>
    <n v="408"/>
    <n v="68"/>
    <n v="97"/>
    <x v="97"/>
    <n v="0.7010309278350515"/>
    <n v="6"/>
    <n v="1.1544991511035654"/>
    <d v="2024-08-07T00:00:00"/>
    <s v="7/15/2024"/>
    <x v="111"/>
    <s v="2446 Anhalt Way"/>
    <n v="37"/>
    <n v="31"/>
    <x v="0"/>
    <n v="408"/>
    <x v="0"/>
    <x v="0"/>
  </r>
  <r>
    <x v="112"/>
    <x v="13"/>
    <x v="0"/>
    <s v="69-861-0313"/>
    <x v="36"/>
    <x v="10"/>
    <n v="552.5"/>
    <n v="4"/>
    <n v="75"/>
    <x v="99"/>
    <n v="1.1333333333333333"/>
    <n v="6.5"/>
    <n v="1.4431239388794568"/>
    <s v="8/18/2024"/>
    <d v="2024-03-04T00:00:00"/>
    <x v="112"/>
    <s v="57598 Russell Center"/>
    <n v="95"/>
    <n v="70"/>
    <x v="2"/>
    <n v="552.5"/>
    <x v="1"/>
    <x v="0"/>
  </r>
  <r>
    <x v="113"/>
    <x v="13"/>
    <x v="0"/>
    <s v="91-417-6283"/>
    <x v="91"/>
    <x v="64"/>
    <n v="306.25"/>
    <n v="3"/>
    <n v="7"/>
    <x v="100"/>
    <n v="7"/>
    <n v="6.25"/>
    <n v="0.83191850594227501"/>
    <s v="9/19/2024"/>
    <s v="10/31/2024"/>
    <x v="113"/>
    <s v="46989 Crescent Oaks Junction"/>
    <n v="75"/>
    <n v="46"/>
    <x v="2"/>
    <n v="306.25"/>
    <x v="1"/>
    <x v="1"/>
  </r>
  <r>
    <x v="114"/>
    <x v="13"/>
    <x v="0"/>
    <s v="87-570-0273"/>
    <x v="32"/>
    <x v="39"/>
    <n v="622.29999999999995"/>
    <n v="41"/>
    <n v="98"/>
    <x v="101"/>
    <n v="1"/>
    <n v="6.35"/>
    <n v="1.66383701188455"/>
    <d v="2025-05-01T00:00:00"/>
    <s v="8/31/2024"/>
    <x v="114"/>
    <s v="75054 Ramsey Parkway"/>
    <n v="70"/>
    <n v="75"/>
    <x v="2"/>
    <n v="622.29999999999995"/>
    <x v="1"/>
    <x v="1"/>
  </r>
  <r>
    <x v="115"/>
    <x v="13"/>
    <x v="0"/>
    <s v="64-800-4141"/>
    <x v="92"/>
    <x v="56"/>
    <n v="189"/>
    <n v="34"/>
    <n v="96"/>
    <x v="102"/>
    <n v="0.3125"/>
    <n v="6.3"/>
    <n v="0.50933786078098475"/>
    <d v="2024-04-11T00:00:00"/>
    <s v="12/19/2024"/>
    <x v="115"/>
    <s v="752 Mccormick Way"/>
    <n v="61"/>
    <n v="13"/>
    <x v="2"/>
    <n v="189"/>
    <x v="2"/>
    <x v="1"/>
  </r>
  <r>
    <x v="116"/>
    <x v="13"/>
    <x v="0"/>
    <s v="84-869-9980"/>
    <x v="93"/>
    <x v="48"/>
    <n v="575"/>
    <n v="48"/>
    <n v="22"/>
    <x v="103"/>
    <n v="4.1818181818181817"/>
    <n v="6.25"/>
    <n v="1.5619694397283532"/>
    <s v="11/29/2024"/>
    <d v="2024-01-12T00:00:00"/>
    <x v="116"/>
    <s v="38436 Anthes Way"/>
    <n v="38"/>
    <n v="61"/>
    <x v="2"/>
    <n v="575"/>
    <x v="1"/>
    <x v="1"/>
  </r>
  <r>
    <x v="117"/>
    <x v="13"/>
    <x v="0"/>
    <s v="66-684-1941"/>
    <x v="94"/>
    <x v="61"/>
    <n v="68.2"/>
    <n v="58"/>
    <n v="26"/>
    <x v="104"/>
    <n v="0.42307692307692307"/>
    <n v="6.2"/>
    <n v="0.18675721561969441"/>
    <d v="2024-06-06T00:00:00"/>
    <d v="2024-03-12T00:00:00"/>
    <x v="117"/>
    <s v="662 Vernon Point"/>
    <n v="49"/>
    <n v="34"/>
    <x v="1"/>
    <n v="68.2"/>
    <x v="2"/>
    <x v="1"/>
  </r>
  <r>
    <x v="118"/>
    <x v="13"/>
    <x v="0"/>
    <s v="98-791-5014"/>
    <x v="57"/>
    <x v="50"/>
    <n v="108"/>
    <n v="78"/>
    <n v="43"/>
    <x v="105"/>
    <n v="0.41860465116279072"/>
    <n v="6"/>
    <n v="0.30560271646859083"/>
    <d v="2025-04-01T00:00:00"/>
    <d v="2024-05-07T00:00:00"/>
    <x v="118"/>
    <s v="7 Ridge Oak Pass"/>
    <n v="85"/>
    <n v="97"/>
    <x v="1"/>
    <n v="108"/>
    <x v="2"/>
    <x v="1"/>
  </r>
  <r>
    <x v="119"/>
    <x v="14"/>
    <x v="3"/>
    <s v="50-314-5433"/>
    <x v="95"/>
    <x v="36"/>
    <n v="230"/>
    <n v="27"/>
    <n v="76"/>
    <x v="106"/>
    <n v="0.60526315789473684"/>
    <n v="5"/>
    <n v="0.78098471986417661"/>
    <s v="9/15/2024"/>
    <s v="9/23/2024"/>
    <x v="119"/>
    <s v="79 Cardinal Court"/>
    <n v="64"/>
    <n v="96"/>
    <x v="1"/>
    <n v="230"/>
    <x v="1"/>
    <x v="0"/>
  </r>
  <r>
    <x v="120"/>
    <x v="14"/>
    <x v="3"/>
    <s v="92-830-6986"/>
    <x v="96"/>
    <x v="45"/>
    <n v="280"/>
    <n v="12"/>
    <n v="85"/>
    <x v="107"/>
    <n v="0.6588235294117647"/>
    <n v="5"/>
    <n v="0.95076400679117146"/>
    <d v="2024-10-12T00:00:00"/>
    <s v="3/20/2024"/>
    <x v="120"/>
    <s v="87417 Forest Pass"/>
    <n v="52"/>
    <n v="46"/>
    <x v="1"/>
    <n v="280"/>
    <x v="1"/>
    <x v="0"/>
  </r>
  <r>
    <x v="121"/>
    <x v="14"/>
    <x v="3"/>
    <s v="55-773-9118"/>
    <x v="97"/>
    <x v="70"/>
    <n v="295"/>
    <n v="20"/>
    <n v="17"/>
    <x v="108"/>
    <n v="3.4705882352941178"/>
    <n v="5"/>
    <n v="1.0016977928692701"/>
    <d v="2024-06-12T00:00:00"/>
    <s v="6/30/2024"/>
    <x v="121"/>
    <s v="96 American Ash Center"/>
    <n v="45"/>
    <n v="15"/>
    <x v="0"/>
    <n v="295"/>
    <x v="0"/>
    <x v="0"/>
  </r>
  <r>
    <x v="122"/>
    <x v="14"/>
    <x v="3"/>
    <s v="66-227-1125"/>
    <x v="98"/>
    <x v="71"/>
    <n v="95"/>
    <n v="78"/>
    <n v="90"/>
    <x v="109"/>
    <n v="0.21111111111111111"/>
    <n v="5"/>
    <n v="0.32258064516129031"/>
    <s v="12/24/2024"/>
    <s v="4/15/2024"/>
    <x v="122"/>
    <s v="44662 American Plaza"/>
    <n v="72"/>
    <n v="84"/>
    <x v="0"/>
    <n v="95"/>
    <x v="0"/>
    <x v="1"/>
  </r>
  <r>
    <x v="123"/>
    <x v="14"/>
    <x v="3"/>
    <s v="50-747-2259"/>
    <x v="99"/>
    <x v="50"/>
    <n v="95.399999999999991"/>
    <n v="36"/>
    <n v="53"/>
    <x v="110"/>
    <n v="0.33962264150943394"/>
    <n v="5.3"/>
    <n v="0.30560271646859083"/>
    <d v="2024-12-05T00:00:00"/>
    <d v="2024-01-05T00:00:00"/>
    <x v="123"/>
    <s v="0920 Monica Pass"/>
    <n v="65"/>
    <n v="100"/>
    <x v="1"/>
    <n v="95.399999999999991"/>
    <x v="2"/>
    <x v="1"/>
  </r>
  <r>
    <x v="124"/>
    <x v="14"/>
    <x v="3"/>
    <s v="79-366-7207"/>
    <x v="100"/>
    <x v="32"/>
    <n v="225"/>
    <n v="58"/>
    <n v="84"/>
    <x v="111"/>
    <n v="0.5357142857142857"/>
    <n v="5"/>
    <n v="0.76400679117147707"/>
    <d v="2025-06-01T00:00:00"/>
    <s v="3/21/2024"/>
    <x v="124"/>
    <s v="22555 Macpherson Plaza"/>
    <n v="90"/>
    <n v="67"/>
    <x v="1"/>
    <n v="225"/>
    <x v="2"/>
    <x v="1"/>
  </r>
  <r>
    <x v="125"/>
    <x v="14"/>
    <x v="3"/>
    <s v="44-646-7502"/>
    <x v="101"/>
    <x v="72"/>
    <n v="164.5"/>
    <n v="88"/>
    <n v="87"/>
    <x v="112"/>
    <n v="0.40229885057471265"/>
    <n v="4.7"/>
    <n v="0.59422750424448223"/>
    <d v="2024-05-04T00:00:00"/>
    <d v="2024-12-10T00:00:00"/>
    <x v="125"/>
    <s v="24 South Trail"/>
    <n v="39"/>
    <n v="62"/>
    <x v="1"/>
    <n v="164.5"/>
    <x v="2"/>
    <x v="1"/>
  </r>
  <r>
    <x v="126"/>
    <x v="15"/>
    <x v="2"/>
    <s v="23-178-8962"/>
    <x v="99"/>
    <x v="16"/>
    <n v="660"/>
    <n v="40"/>
    <n v="96"/>
    <x v="21"/>
    <n v="0.6875"/>
    <n v="10"/>
    <n v="1.1205432937181663"/>
    <s v="2/28/2024"/>
    <s v="6/22/2024"/>
    <x v="126"/>
    <s v="22782 Oriole Way"/>
    <n v="24"/>
    <n v="61"/>
    <x v="1"/>
    <n v="660"/>
    <x v="1"/>
    <x v="0"/>
  </r>
  <r>
    <x v="127"/>
    <x v="15"/>
    <x v="2"/>
    <s v="18-880-7910"/>
    <x v="102"/>
    <x v="31"/>
    <n v="420"/>
    <n v="4"/>
    <n v="53"/>
    <x v="113"/>
    <n v="0.79245283018867929"/>
    <n v="10"/>
    <n v="0.71307300509337868"/>
    <d v="2025-10-01T00:00:00"/>
    <d v="2024-05-07T00:00:00"/>
    <x v="127"/>
    <s v="8 Dakota Avenue"/>
    <n v="37"/>
    <n v="53"/>
    <x v="1"/>
    <n v="420"/>
    <x v="1"/>
    <x v="0"/>
  </r>
  <r>
    <x v="128"/>
    <x v="15"/>
    <x v="2"/>
    <s v="86-760-5412"/>
    <x v="73"/>
    <x v="40"/>
    <n v="230"/>
    <n v="38"/>
    <n v="54"/>
    <x v="114"/>
    <n v="0.42592592592592593"/>
    <n v="10"/>
    <n v="0.39049235993208831"/>
    <s v="1/17/2025"/>
    <s v="7/14/2024"/>
    <x v="128"/>
    <s v="57150 Del Sol Alley"/>
    <n v="40"/>
    <n v="15"/>
    <x v="1"/>
    <n v="230"/>
    <x v="2"/>
    <x v="0"/>
  </r>
  <r>
    <x v="129"/>
    <x v="15"/>
    <x v="2"/>
    <s v="90-554-0576"/>
    <x v="103"/>
    <x v="29"/>
    <n v="890"/>
    <n v="15"/>
    <n v="22"/>
    <x v="115"/>
    <n v="4.0454545454545459"/>
    <n v="10"/>
    <n v="1.5110356536502547"/>
    <s v="11/17/2024"/>
    <d v="2025-11-02T00:00:00"/>
    <x v="129"/>
    <s v="9 Karstens Center"/>
    <n v="79"/>
    <n v="42"/>
    <x v="0"/>
    <n v="890"/>
    <x v="0"/>
    <x v="0"/>
  </r>
  <r>
    <x v="130"/>
    <x v="15"/>
    <x v="2"/>
    <s v="43-605-2448"/>
    <x v="104"/>
    <x v="53"/>
    <n v="530"/>
    <n v="98"/>
    <n v="25"/>
    <x v="116"/>
    <n v="2.12"/>
    <n v="10"/>
    <n v="0.89983022071307306"/>
    <s v="9/23/2024"/>
    <d v="2024-04-09T00:00:00"/>
    <x v="130"/>
    <s v="052 Northland Trail"/>
    <n v="55"/>
    <n v="51"/>
    <x v="1"/>
    <n v="530"/>
    <x v="2"/>
    <x v="0"/>
  </r>
  <r>
    <x v="131"/>
    <x v="15"/>
    <x v="2"/>
    <s v="00-635-4638"/>
    <x v="105"/>
    <x v="73"/>
    <n v="280"/>
    <n v="86"/>
    <n v="44"/>
    <x v="117"/>
    <n v="0.63636363636363635"/>
    <n v="10"/>
    <n v="0.47538200339558573"/>
    <s v="5/23/2024"/>
    <s v="11/18/2024"/>
    <x v="131"/>
    <s v="53 Caliangt Junction"/>
    <n v="48"/>
    <n v="12"/>
    <x v="2"/>
    <n v="280"/>
    <x v="2"/>
    <x v="0"/>
  </r>
  <r>
    <x v="132"/>
    <x v="15"/>
    <x v="2"/>
    <s v="15-365-5585"/>
    <x v="82"/>
    <x v="69"/>
    <n v="870"/>
    <n v="51"/>
    <n v="67"/>
    <x v="118"/>
    <n v="1.2985074626865671"/>
    <n v="10"/>
    <n v="1.4770797962648556"/>
    <d v="2025-07-01T00:00:00"/>
    <d v="2024-05-06T00:00:00"/>
    <x v="132"/>
    <s v="88678 Bayside Park"/>
    <n v="55"/>
    <n v="100"/>
    <x v="2"/>
    <n v="870"/>
    <x v="1"/>
    <x v="1"/>
  </r>
  <r>
    <x v="133"/>
    <x v="15"/>
    <x v="2"/>
    <s v="20-532-0144"/>
    <x v="55"/>
    <x v="68"/>
    <n v="400"/>
    <n v="61"/>
    <n v="47"/>
    <x v="119"/>
    <n v="0.85106382978723405"/>
    <n v="10"/>
    <n v="0.6791171477079796"/>
    <s v="8/28/2024"/>
    <d v="2024-11-06T00:00:00"/>
    <x v="133"/>
    <s v="3 Bunting Point"/>
    <n v="76"/>
    <n v="10"/>
    <x v="0"/>
    <n v="400"/>
    <x v="0"/>
    <x v="1"/>
  </r>
  <r>
    <x v="134"/>
    <x v="16"/>
    <x v="0"/>
    <s v="29-689-5014"/>
    <x v="38"/>
    <x v="74"/>
    <n v="40.5"/>
    <n v="93"/>
    <n v="88"/>
    <x v="120"/>
    <n v="0.30681818181818182"/>
    <n v="1.5"/>
    <n v="0.45840407470288624"/>
    <s v="11/16/2024"/>
    <d v="2024-09-03T00:00:00"/>
    <x v="134"/>
    <s v="52691 8th Drive"/>
    <n v="66"/>
    <n v="13"/>
    <x v="1"/>
    <n v="40.5"/>
    <x v="2"/>
    <x v="0"/>
  </r>
  <r>
    <x v="135"/>
    <x v="16"/>
    <x v="0"/>
    <s v="41-772-6271"/>
    <x v="106"/>
    <x v="54"/>
    <n v="21"/>
    <n v="74"/>
    <n v="71"/>
    <x v="121"/>
    <n v="0.19718309859154928"/>
    <n v="1.5"/>
    <n v="0.23769100169779286"/>
    <s v="8/18/2024"/>
    <s v="11/22/2024"/>
    <x v="135"/>
    <s v="8 Surrey Pass"/>
    <n v="37"/>
    <n v="22"/>
    <x v="0"/>
    <n v="21"/>
    <x v="0"/>
    <x v="0"/>
  </r>
  <r>
    <x v="136"/>
    <x v="16"/>
    <x v="0"/>
    <s v="54-188-1006"/>
    <x v="107"/>
    <x v="34"/>
    <n v="31.5"/>
    <n v="63"/>
    <n v="65"/>
    <x v="122"/>
    <n v="0.32307692307692309"/>
    <n v="1.5"/>
    <n v="0.35653650254668934"/>
    <d v="2024-08-10T00:00:00"/>
    <d v="2024-10-11T00:00:00"/>
    <x v="136"/>
    <s v="81878 Nobel Point"/>
    <n v="38"/>
    <n v="73"/>
    <x v="0"/>
    <n v="31.5"/>
    <x v="0"/>
    <x v="0"/>
  </r>
  <r>
    <x v="137"/>
    <x v="16"/>
    <x v="0"/>
    <s v="00-131-9278"/>
    <x v="108"/>
    <x v="26"/>
    <n v="126"/>
    <n v="92"/>
    <n v="18"/>
    <x v="123"/>
    <n v="4.666666666666667"/>
    <n v="1.5"/>
    <n v="1.4261460101867574"/>
    <s v="10/29/2024"/>
    <s v="12/29/2024"/>
    <x v="137"/>
    <s v="978 Shasta Lane"/>
    <n v="92"/>
    <n v="69"/>
    <x v="1"/>
    <n v="126"/>
    <x v="2"/>
    <x v="0"/>
  </r>
  <r>
    <x v="138"/>
    <x v="16"/>
    <x v="0"/>
    <s v="55-952-9832"/>
    <x v="105"/>
    <x v="46"/>
    <n v="51"/>
    <n v="46"/>
    <n v="45"/>
    <x v="82"/>
    <n v="0.75555555555555554"/>
    <n v="1.5"/>
    <n v="0.57724957555178269"/>
    <d v="2024-09-10T00:00:00"/>
    <d v="2024-11-12T00:00:00"/>
    <x v="138"/>
    <s v="403 Loomis Way"/>
    <n v="49"/>
    <n v="25"/>
    <x v="2"/>
    <n v="51"/>
    <x v="2"/>
    <x v="0"/>
  </r>
  <r>
    <x v="139"/>
    <x v="16"/>
    <x v="0"/>
    <s v="65-395-5947"/>
    <x v="109"/>
    <x v="35"/>
    <n v="145.5"/>
    <n v="41"/>
    <n v="68"/>
    <x v="124"/>
    <n v="1.4264705882352942"/>
    <n v="1.5"/>
    <n v="1.6468590831918506"/>
    <s v="1/14/2025"/>
    <d v="2024-04-10T00:00:00"/>
    <x v="139"/>
    <s v="844 Schurz Point"/>
    <n v="35"/>
    <n v="16"/>
    <x v="0"/>
    <n v="145.5"/>
    <x v="0"/>
    <x v="0"/>
  </r>
  <r>
    <x v="140"/>
    <x v="16"/>
    <x v="0"/>
    <s v="65-797-3468"/>
    <x v="86"/>
    <x v="33"/>
    <n v="93"/>
    <n v="79"/>
    <n v="23"/>
    <x v="125"/>
    <n v="2.6956521739130435"/>
    <n v="1.5"/>
    <n v="1.0526315789473684"/>
    <s v="7/22/2024"/>
    <s v="2/28/2024"/>
    <x v="140"/>
    <s v="4105 Fair Oaks Parkway"/>
    <n v="32"/>
    <n v="80"/>
    <x v="1"/>
    <n v="93"/>
    <x v="2"/>
    <x v="0"/>
  </r>
  <r>
    <x v="141"/>
    <x v="16"/>
    <x v="0"/>
    <s v="59-595-7531"/>
    <x v="110"/>
    <x v="75"/>
    <n v="85.5"/>
    <n v="63"/>
    <n v="41"/>
    <x v="126"/>
    <n v="1.3902439024390243"/>
    <n v="1.5"/>
    <n v="0.967741935483871"/>
    <s v="8/25/2024"/>
    <s v="2/17/2025"/>
    <x v="141"/>
    <s v="561 Blue Bill Park Road"/>
    <n v="53"/>
    <n v="94"/>
    <x v="0"/>
    <n v="85.5"/>
    <x v="0"/>
    <x v="0"/>
  </r>
  <r>
    <x v="142"/>
    <x v="16"/>
    <x v="0"/>
    <s v="27-292-4656"/>
    <x v="22"/>
    <x v="63"/>
    <n v="105"/>
    <n v="96"/>
    <n v="92"/>
    <x v="127"/>
    <n v="0.76086956521739135"/>
    <n v="1.5"/>
    <n v="1.1884550084889645"/>
    <s v="4/18/2024"/>
    <s v="10/25/2024"/>
    <x v="142"/>
    <s v="21 Esker Way"/>
    <n v="27"/>
    <n v="58"/>
    <x v="2"/>
    <n v="105"/>
    <x v="2"/>
    <x v="0"/>
  </r>
  <r>
    <x v="143"/>
    <x v="16"/>
    <x v="0"/>
    <s v="93-688-1260"/>
    <x v="111"/>
    <x v="26"/>
    <n v="126"/>
    <n v="91"/>
    <n v="86"/>
    <x v="128"/>
    <n v="0.97674418604651159"/>
    <n v="1.5"/>
    <n v="1.4261460101867574"/>
    <d v="2025-08-01T00:00:00"/>
    <d v="2024-07-12T00:00:00"/>
    <x v="143"/>
    <s v="39102 Division Trail"/>
    <n v="83"/>
    <n v="95"/>
    <x v="2"/>
    <n v="126"/>
    <x v="2"/>
    <x v="0"/>
  </r>
  <r>
    <x v="144"/>
    <x v="16"/>
    <x v="0"/>
    <s v="19-978-0708"/>
    <x v="112"/>
    <x v="62"/>
    <n v="144"/>
    <n v="83"/>
    <n v="50"/>
    <x v="90"/>
    <n v="1.92"/>
    <n v="1.5"/>
    <n v="1.6298811544991512"/>
    <d v="2024-04-10T00:00:00"/>
    <s v="3/30/2024"/>
    <x v="144"/>
    <s v="3 Anthes Place"/>
    <n v="81"/>
    <n v="89"/>
    <x v="0"/>
    <n v="144"/>
    <x v="0"/>
    <x v="0"/>
  </r>
  <r>
    <x v="145"/>
    <x v="16"/>
    <x v="0"/>
    <s v="75-906-1086"/>
    <x v="113"/>
    <x v="76"/>
    <n v="37.5"/>
    <n v="60"/>
    <n v="36"/>
    <x v="129"/>
    <n v="0.69444444444444442"/>
    <n v="1.5"/>
    <n v="0.42444821731748728"/>
    <s v="2/16/2025"/>
    <s v="8/26/2024"/>
    <x v="145"/>
    <s v="149 Valley Edge Point"/>
    <n v="31"/>
    <n v="41"/>
    <x v="2"/>
    <n v="37.5"/>
    <x v="2"/>
    <x v="0"/>
  </r>
  <r>
    <x v="146"/>
    <x v="16"/>
    <x v="0"/>
    <s v="14-009-8505"/>
    <x v="41"/>
    <x v="69"/>
    <n v="130.5"/>
    <n v="97"/>
    <n v="28"/>
    <x v="130"/>
    <n v="3.1071428571428572"/>
    <n v="1.5"/>
    <n v="1.4770797962648556"/>
    <d v="2024-12-06T00:00:00"/>
    <s v="9/23/2024"/>
    <x v="146"/>
    <s v="26160 Independence Alley"/>
    <n v="58"/>
    <n v="21"/>
    <x v="1"/>
    <n v="130.5"/>
    <x v="2"/>
    <x v="1"/>
  </r>
  <r>
    <x v="147"/>
    <x v="16"/>
    <x v="0"/>
    <s v="29-774-6779"/>
    <x v="61"/>
    <x v="51"/>
    <n v="148.5"/>
    <n v="54"/>
    <n v="71"/>
    <x v="121"/>
    <n v="1.3943661971830985"/>
    <n v="1.5"/>
    <n v="1.6808149405772497"/>
    <s v="10/22/2024"/>
    <s v="8/14/2024"/>
    <x v="147"/>
    <s v="583 Loftsgordon Road"/>
    <n v="80"/>
    <n v="10"/>
    <x v="0"/>
    <n v="148.5"/>
    <x v="0"/>
    <x v="1"/>
  </r>
  <r>
    <x v="148"/>
    <x v="16"/>
    <x v="0"/>
    <s v="25-769-3792"/>
    <x v="10"/>
    <x v="24"/>
    <n v="106.5"/>
    <n v="77"/>
    <n v="30"/>
    <x v="131"/>
    <n v="2.3666666666666667"/>
    <n v="1.5"/>
    <n v="1.2054329371816639"/>
    <s v="7/17/2024"/>
    <d v="2024-09-11T00:00:00"/>
    <x v="148"/>
    <s v="9 Eastlawn Crossing"/>
    <n v="34"/>
    <n v="57"/>
    <x v="2"/>
    <n v="106.5"/>
    <x v="2"/>
    <x v="1"/>
  </r>
  <r>
    <x v="149"/>
    <x v="16"/>
    <x v="0"/>
    <s v="80-328-4990"/>
    <x v="63"/>
    <x v="1"/>
    <n v="81"/>
    <n v="78"/>
    <n v="81"/>
    <x v="80"/>
    <n v="0.66666666666666663"/>
    <n v="1.5"/>
    <n v="0.91680814940577249"/>
    <d v="2024-02-05T00:00:00"/>
    <s v="11/23/2024"/>
    <x v="149"/>
    <s v="49148 Meadow Ridge Way"/>
    <n v="41"/>
    <n v="63"/>
    <x v="2"/>
    <n v="81"/>
    <x v="2"/>
    <x v="1"/>
  </r>
  <r>
    <x v="150"/>
    <x v="16"/>
    <x v="0"/>
    <s v="42-201-4328"/>
    <x v="114"/>
    <x v="61"/>
    <n v="16.5"/>
    <n v="77"/>
    <n v="7"/>
    <x v="132"/>
    <n v="1.5714285714285714"/>
    <n v="1.5"/>
    <n v="0.18675721561969441"/>
    <s v="10/26/2024"/>
    <d v="2024-05-11T00:00:00"/>
    <x v="150"/>
    <s v="06 Lake View Trail"/>
    <n v="77"/>
    <n v="46"/>
    <x v="2"/>
    <n v="16.5"/>
    <x v="2"/>
    <x v="1"/>
  </r>
  <r>
    <x v="151"/>
    <x v="16"/>
    <x v="0"/>
    <s v="63-057-0462"/>
    <x v="115"/>
    <x v="77"/>
    <n v="94.5"/>
    <n v="43"/>
    <n v="8"/>
    <x v="133"/>
    <n v="7.875"/>
    <n v="1.5"/>
    <n v="1.069609507640068"/>
    <s v="8/20/2024"/>
    <s v="4/20/2024"/>
    <x v="151"/>
    <s v="33774 Carberry Circle"/>
    <n v="55"/>
    <n v="72"/>
    <x v="1"/>
    <n v="94.5"/>
    <x v="1"/>
    <x v="1"/>
  </r>
  <r>
    <x v="152"/>
    <x v="16"/>
    <x v="0"/>
    <s v="44-199-6832"/>
    <x v="46"/>
    <x v="21"/>
    <n v="96"/>
    <n v="11"/>
    <n v="97"/>
    <x v="134"/>
    <n v="0.65979381443298968"/>
    <n v="1.5"/>
    <n v="1.0865874363327674"/>
    <s v="12/26/2024"/>
    <s v="12/18/2024"/>
    <x v="152"/>
    <s v="8583 Northwestern Terrace"/>
    <n v="33"/>
    <n v="83"/>
    <x v="0"/>
    <n v="96"/>
    <x v="0"/>
    <x v="1"/>
  </r>
  <r>
    <x v="153"/>
    <x v="17"/>
    <x v="2"/>
    <s v="02-575-7332"/>
    <x v="111"/>
    <x v="28"/>
    <n v="292"/>
    <n v="87"/>
    <n v="46"/>
    <x v="135"/>
    <n v="1.5869565217391304"/>
    <n v="4"/>
    <n v="1.2393887945670627"/>
    <s v="9/24/2024"/>
    <s v="1/15/2025"/>
    <x v="153"/>
    <s v="16 Elgar Point"/>
    <n v="47"/>
    <n v="67"/>
    <x v="0"/>
    <n v="292"/>
    <x v="0"/>
    <x v="0"/>
  </r>
  <r>
    <x v="154"/>
    <x v="17"/>
    <x v="2"/>
    <s v="97-994-0773"/>
    <x v="21"/>
    <x v="78"/>
    <n v="124"/>
    <n v="54"/>
    <n v="52"/>
    <x v="136"/>
    <n v="0.59615384615384615"/>
    <n v="4"/>
    <n v="0.52631578947368418"/>
    <s v="2/20/2025"/>
    <d v="2024-08-12T00:00:00"/>
    <x v="154"/>
    <s v="03 Fisk Alley"/>
    <n v="69"/>
    <n v="77"/>
    <x v="1"/>
    <n v="124"/>
    <x v="2"/>
    <x v="0"/>
  </r>
  <r>
    <x v="155"/>
    <x v="17"/>
    <x v="2"/>
    <s v="37-878-9392"/>
    <x v="46"/>
    <x v="68"/>
    <n v="160"/>
    <n v="8"/>
    <n v="98"/>
    <x v="137"/>
    <n v="0.40816326530612246"/>
    <n v="4"/>
    <n v="0.6791171477079796"/>
    <s v="7/26/2024"/>
    <d v="2025-06-02T00:00:00"/>
    <x v="155"/>
    <s v="071 Nobel Circle"/>
    <n v="86"/>
    <n v="12"/>
    <x v="0"/>
    <n v="160"/>
    <x v="0"/>
    <x v="0"/>
  </r>
  <r>
    <x v="156"/>
    <x v="17"/>
    <x v="2"/>
    <s v="64-118-1480"/>
    <x v="116"/>
    <x v="44"/>
    <n v="380"/>
    <n v="29"/>
    <n v="28"/>
    <x v="138"/>
    <n v="3.3928571428571428"/>
    <n v="4"/>
    <n v="1.6129032258064517"/>
    <s v="7/20/2024"/>
    <s v="1/16/2025"/>
    <x v="156"/>
    <s v="26 Barnett Junction"/>
    <n v="52"/>
    <n v="46"/>
    <x v="0"/>
    <n v="380"/>
    <x v="0"/>
    <x v="0"/>
  </r>
  <r>
    <x v="157"/>
    <x v="17"/>
    <x v="2"/>
    <s v="61-907-0994"/>
    <x v="117"/>
    <x v="56"/>
    <n v="120"/>
    <n v="59"/>
    <n v="76"/>
    <x v="139"/>
    <n v="0.39473684210526316"/>
    <n v="4"/>
    <n v="0.50933786078098475"/>
    <s v="3/20/2024"/>
    <s v="1/14/2025"/>
    <x v="157"/>
    <s v="52 Alpine Crossing"/>
    <n v="61"/>
    <n v="3"/>
    <x v="0"/>
    <n v="120"/>
    <x v="0"/>
    <x v="0"/>
  </r>
  <r>
    <x v="158"/>
    <x v="17"/>
    <x v="2"/>
    <s v="57-591-6452"/>
    <x v="27"/>
    <x v="10"/>
    <n v="340"/>
    <n v="54"/>
    <n v="18"/>
    <x v="53"/>
    <n v="4.7222222222222223"/>
    <n v="4"/>
    <n v="1.4431239388794568"/>
    <s v="7/28/2024"/>
    <s v="10/23/2024"/>
    <x v="158"/>
    <s v="2 School Drive"/>
    <n v="85"/>
    <n v="44"/>
    <x v="0"/>
    <n v="340"/>
    <x v="0"/>
    <x v="0"/>
  </r>
  <r>
    <x v="159"/>
    <x v="17"/>
    <x v="2"/>
    <s v="98-677-4279"/>
    <x v="71"/>
    <x v="7"/>
    <n v="316"/>
    <n v="72"/>
    <n v="6"/>
    <x v="140"/>
    <n v="13.166666666666666"/>
    <n v="4"/>
    <n v="1.3412563667232598"/>
    <d v="2024-11-07T00:00:00"/>
    <d v="2024-06-05T00:00:00"/>
    <x v="159"/>
    <s v="7 Heffernan Drive"/>
    <n v="67"/>
    <n v="63"/>
    <x v="1"/>
    <n v="316"/>
    <x v="1"/>
    <x v="1"/>
  </r>
  <r>
    <x v="160"/>
    <x v="17"/>
    <x v="2"/>
    <s v="75-369-5047"/>
    <x v="43"/>
    <x v="79"/>
    <n v="188"/>
    <n v="63"/>
    <n v="86"/>
    <x v="141"/>
    <n v="0.54651162790697672"/>
    <n v="4"/>
    <n v="0.79796264855687604"/>
    <s v="5/19/2024"/>
    <s v="2/13/2025"/>
    <x v="160"/>
    <s v="4 Heffernan Lane"/>
    <n v="76"/>
    <n v="29"/>
    <x v="1"/>
    <n v="188"/>
    <x v="2"/>
    <x v="1"/>
  </r>
  <r>
    <x v="161"/>
    <x v="17"/>
    <x v="2"/>
    <s v="32-178-2765"/>
    <x v="118"/>
    <x v="72"/>
    <n v="140"/>
    <n v="4"/>
    <n v="76"/>
    <x v="139"/>
    <n v="0.46052631578947367"/>
    <n v="4"/>
    <n v="0.59422750424448223"/>
    <d v="2024-09-08T00:00:00"/>
    <s v="8/22/2024"/>
    <x v="161"/>
    <s v="89 Karstens Alley"/>
    <n v="90"/>
    <n v="30"/>
    <x v="0"/>
    <n v="140"/>
    <x v="0"/>
    <x v="1"/>
  </r>
  <r>
    <x v="162"/>
    <x v="17"/>
    <x v="2"/>
    <s v="37-519-7762"/>
    <x v="119"/>
    <x v="29"/>
    <n v="356"/>
    <n v="40"/>
    <n v="64"/>
    <x v="142"/>
    <n v="1.390625"/>
    <n v="4"/>
    <n v="1.5110356536502547"/>
    <s v="10/16/2024"/>
    <d v="2025-12-02T00:00:00"/>
    <x v="162"/>
    <s v="185 Stone Corner Parkway"/>
    <n v="93"/>
    <n v="48"/>
    <x v="1"/>
    <n v="356"/>
    <x v="1"/>
    <x v="1"/>
  </r>
  <r>
    <x v="163"/>
    <x v="18"/>
    <x v="0"/>
    <s v="12-431-9207"/>
    <x v="120"/>
    <x v="25"/>
    <n v="42.5"/>
    <n v="88"/>
    <n v="41"/>
    <x v="143"/>
    <n v="0.41463414634146339"/>
    <n v="2.5"/>
    <n v="0.28862478777589134"/>
    <s v="10/21/2024"/>
    <s v="2/19/2025"/>
    <x v="163"/>
    <s v="7020 Porter Trail"/>
    <n v="45"/>
    <n v="29"/>
    <x v="2"/>
    <n v="42.5"/>
    <x v="2"/>
    <x v="0"/>
  </r>
  <r>
    <x v="164"/>
    <x v="18"/>
    <x v="0"/>
    <s v="33-733-7313"/>
    <x v="80"/>
    <x v="78"/>
    <n v="77.5"/>
    <n v="29"/>
    <n v="57"/>
    <x v="144"/>
    <n v="0.54385964912280704"/>
    <n v="2.5"/>
    <n v="0.52631578947368418"/>
    <s v="10/26/2024"/>
    <s v="6/18/2024"/>
    <x v="164"/>
    <s v="9951 Petterle Alley"/>
    <n v="25"/>
    <n v="22"/>
    <x v="1"/>
    <n v="77.5"/>
    <x v="1"/>
    <x v="1"/>
  </r>
  <r>
    <x v="165"/>
    <x v="18"/>
    <x v="0"/>
    <s v="05-727-0033"/>
    <x v="28"/>
    <x v="19"/>
    <n v="127.5"/>
    <n v="47"/>
    <n v="6"/>
    <x v="145"/>
    <n v="8.5"/>
    <n v="2.5"/>
    <n v="0.86587436332767409"/>
    <s v="11/23/2024"/>
    <d v="2024-11-08T00:00:00"/>
    <x v="165"/>
    <s v="9 Victoria Point"/>
    <n v="53"/>
    <n v="4"/>
    <x v="2"/>
    <n v="127.5"/>
    <x v="1"/>
    <x v="1"/>
  </r>
  <r>
    <x v="166"/>
    <x v="18"/>
    <x v="0"/>
    <s v="79-704-1471"/>
    <x v="121"/>
    <x v="58"/>
    <n v="97.5"/>
    <n v="57"/>
    <n v="54"/>
    <x v="146"/>
    <n v="0.72222222222222221"/>
    <n v="2.5"/>
    <n v="0.66213921901528017"/>
    <d v="2024-06-12T00:00:00"/>
    <d v="2024-06-03T00:00:00"/>
    <x v="166"/>
    <s v="12 Rigney Street"/>
    <n v="77"/>
    <n v="32"/>
    <x v="1"/>
    <n v="97.5"/>
    <x v="2"/>
    <x v="1"/>
  </r>
  <r>
    <x v="167"/>
    <x v="18"/>
    <x v="0"/>
    <s v="39-257-6162"/>
    <x v="122"/>
    <x v="29"/>
    <n v="222.5"/>
    <n v="54"/>
    <n v="15"/>
    <x v="147"/>
    <n v="5.9333333333333336"/>
    <n v="2.5"/>
    <n v="1.5110356536502547"/>
    <d v="2024-09-10T00:00:00"/>
    <d v="2024-01-08T00:00:00"/>
    <x v="167"/>
    <s v="32 Cottonwood Pass"/>
    <n v="64"/>
    <n v="63"/>
    <x v="1"/>
    <n v="222.5"/>
    <x v="1"/>
    <x v="1"/>
  </r>
  <r>
    <x v="168"/>
    <x v="18"/>
    <x v="0"/>
    <s v="74-729-7466"/>
    <x v="17"/>
    <x v="18"/>
    <n v="110"/>
    <n v="48"/>
    <n v="77"/>
    <x v="148"/>
    <n v="0.5714285714285714"/>
    <n v="2.5"/>
    <n v="0.74702886247877764"/>
    <s v="8/23/2024"/>
    <s v="9/17/2024"/>
    <x v="168"/>
    <s v="955 4th Road"/>
    <n v="67"/>
    <n v="79"/>
    <x v="0"/>
    <n v="110"/>
    <x v="0"/>
    <x v="1"/>
  </r>
  <r>
    <x v="169"/>
    <x v="18"/>
    <x v="0"/>
    <s v="39-488-0039"/>
    <x v="123"/>
    <x v="7"/>
    <n v="197.5"/>
    <n v="38"/>
    <n v="67"/>
    <x v="149"/>
    <n v="1.1791044776119404"/>
    <n v="2.5"/>
    <n v="1.3412563667232598"/>
    <d v="2024-05-07T00:00:00"/>
    <d v="2024-08-10T00:00:00"/>
    <x v="169"/>
    <s v="7403 Fuller Hill"/>
    <n v="43"/>
    <n v="93"/>
    <x v="0"/>
    <n v="197.5"/>
    <x v="0"/>
    <x v="1"/>
  </r>
  <r>
    <x v="170"/>
    <x v="18"/>
    <x v="0"/>
    <s v="83-780-4531"/>
    <x v="31"/>
    <x v="36"/>
    <n v="115"/>
    <n v="81"/>
    <n v="47"/>
    <x v="150"/>
    <n v="0.97872340425531912"/>
    <n v="2.5"/>
    <n v="0.78098471986417661"/>
    <d v="2024-05-09T00:00:00"/>
    <d v="2024-11-09T00:00:00"/>
    <x v="170"/>
    <s v="9 Kipling Road"/>
    <n v="48"/>
    <n v="48"/>
    <x v="1"/>
    <n v="115"/>
    <x v="2"/>
    <x v="1"/>
  </r>
  <r>
    <x v="171"/>
    <x v="18"/>
    <x v="0"/>
    <s v="37-728-5274"/>
    <x v="82"/>
    <x v="18"/>
    <n v="110"/>
    <n v="67"/>
    <n v="31"/>
    <x v="151"/>
    <n v="1.4193548387096775"/>
    <n v="2.5"/>
    <n v="0.74702886247877764"/>
    <s v="7/14/2024"/>
    <s v="3/18/2024"/>
    <x v="171"/>
    <s v="83291 Hansons Crossing"/>
    <n v="44"/>
    <n v="72"/>
    <x v="0"/>
    <n v="110"/>
    <x v="0"/>
    <x v="1"/>
  </r>
  <r>
    <x v="172"/>
    <x v="19"/>
    <x v="5"/>
    <s v="19-469-9841"/>
    <x v="103"/>
    <x v="19"/>
    <n v="153"/>
    <n v="100"/>
    <n v="70"/>
    <x v="33"/>
    <n v="0.72857142857142854"/>
    <n v="3"/>
    <n v="0.86587436332767409"/>
    <s v="4/30/2024"/>
    <s v="10/21/2024"/>
    <x v="172"/>
    <s v="76 Toban Plaza"/>
    <n v="40"/>
    <n v="21"/>
    <x v="0"/>
    <n v="153"/>
    <x v="0"/>
    <x v="0"/>
  </r>
  <r>
    <x v="173"/>
    <x v="19"/>
    <x v="5"/>
    <s v="02-165-5779"/>
    <x v="89"/>
    <x v="10"/>
    <n v="255"/>
    <n v="28"/>
    <n v="21"/>
    <x v="152"/>
    <n v="4.0476190476190474"/>
    <n v="3"/>
    <n v="1.4431239388794568"/>
    <s v="8/20/2024"/>
    <s v="6/30/2024"/>
    <x v="173"/>
    <s v="904 Del Mar Crossing"/>
    <n v="45"/>
    <n v="89"/>
    <x v="1"/>
    <n v="255"/>
    <x v="1"/>
    <x v="0"/>
  </r>
  <r>
    <x v="174"/>
    <x v="19"/>
    <x v="5"/>
    <s v="50-214-3802"/>
    <x v="124"/>
    <x v="34"/>
    <n v="65.100000000000009"/>
    <n v="87"/>
    <n v="67"/>
    <x v="153"/>
    <n v="0.31343283582089554"/>
    <n v="3.1"/>
    <n v="0.35653650254668934"/>
    <d v="2025-03-01T00:00:00"/>
    <s v="1/23/2025"/>
    <x v="174"/>
    <s v="285 East Plaza"/>
    <n v="64"/>
    <n v="69"/>
    <x v="0"/>
    <n v="65.100000000000009"/>
    <x v="0"/>
    <x v="0"/>
  </r>
  <r>
    <x v="175"/>
    <x v="19"/>
    <x v="5"/>
    <s v="10-008-6747"/>
    <x v="91"/>
    <x v="38"/>
    <n v="104.39999999999999"/>
    <n v="75"/>
    <n v="35"/>
    <x v="154"/>
    <n v="1.0285714285714285"/>
    <n v="2.9"/>
    <n v="0.61120543293718166"/>
    <s v="4/13/2024"/>
    <s v="6/17/2024"/>
    <x v="175"/>
    <s v="70862 Lighthouse Bay Junction"/>
    <n v="26"/>
    <n v="41"/>
    <x v="0"/>
    <n v="104.39999999999999"/>
    <x v="0"/>
    <x v="0"/>
  </r>
  <r>
    <x v="176"/>
    <x v="19"/>
    <x v="5"/>
    <s v="25-190-3172"/>
    <x v="40"/>
    <x v="80"/>
    <n v="144"/>
    <n v="71"/>
    <n v="86"/>
    <x v="105"/>
    <n v="0.55813953488372092"/>
    <n v="3"/>
    <n v="0.81494057724957558"/>
    <s v="4/29/2024"/>
    <d v="2024-02-07T00:00:00"/>
    <x v="176"/>
    <s v="51205 Rieder Junction"/>
    <n v="95"/>
    <n v="3"/>
    <x v="0"/>
    <n v="144"/>
    <x v="0"/>
    <x v="1"/>
  </r>
  <r>
    <x v="177"/>
    <x v="20"/>
    <x v="6"/>
    <s v="89-134-9717"/>
    <x v="97"/>
    <x v="27"/>
    <n v="228"/>
    <n v="93"/>
    <n v="61"/>
    <x v="155"/>
    <n v="0.62295081967213117"/>
    <n v="6"/>
    <n v="0.64516129032258063"/>
    <d v="2024-10-12T00:00:00"/>
    <s v="7/15/2024"/>
    <x v="177"/>
    <s v="175 Sycamore Circle"/>
    <n v="67"/>
    <n v="100"/>
    <x v="1"/>
    <n v="228"/>
    <x v="2"/>
    <x v="0"/>
  </r>
  <r>
    <x v="178"/>
    <x v="20"/>
    <x v="6"/>
    <s v="21-634-5781"/>
    <x v="125"/>
    <x v="67"/>
    <n v="198"/>
    <n v="60"/>
    <n v="67"/>
    <x v="156"/>
    <n v="0.4925373134328358"/>
    <n v="6"/>
    <n v="0.56027164685908315"/>
    <s v="6/16/2024"/>
    <s v="5/24/2024"/>
    <x v="178"/>
    <s v="315 Acker Alley"/>
    <n v="20"/>
    <n v="7"/>
    <x v="0"/>
    <n v="198"/>
    <x v="0"/>
    <x v="0"/>
  </r>
  <r>
    <x v="179"/>
    <x v="20"/>
    <x v="6"/>
    <s v="88-647-5082"/>
    <x v="15"/>
    <x v="37"/>
    <n v="132"/>
    <n v="24"/>
    <n v="94"/>
    <x v="157"/>
    <n v="0.23404255319148937"/>
    <n v="6"/>
    <n v="0.37351443123938882"/>
    <s v="7/19/2024"/>
    <s v="7/21/2024"/>
    <x v="179"/>
    <s v="206 Pine View Junction"/>
    <n v="47"/>
    <n v="71"/>
    <x v="1"/>
    <n v="132"/>
    <x v="2"/>
    <x v="0"/>
  </r>
  <r>
    <x v="180"/>
    <x v="20"/>
    <x v="6"/>
    <s v="98-587-7923"/>
    <x v="126"/>
    <x v="26"/>
    <n v="504"/>
    <n v="58"/>
    <n v="28"/>
    <x v="158"/>
    <n v="3"/>
    <n v="6"/>
    <n v="1.4261460101867574"/>
    <s v="4/17/2024"/>
    <d v="2025-04-02T00:00:00"/>
    <x v="180"/>
    <s v="7 Duke Parkway"/>
    <n v="51"/>
    <n v="12"/>
    <x v="1"/>
    <n v="504"/>
    <x v="1"/>
    <x v="1"/>
  </r>
  <r>
    <x v="181"/>
    <x v="20"/>
    <x v="6"/>
    <s v="69-460-9770"/>
    <x v="127"/>
    <x v="8"/>
    <n v="444"/>
    <n v="81"/>
    <n v="41"/>
    <x v="159"/>
    <n v="1.8048780487804879"/>
    <n v="6"/>
    <n v="1.2563667232597624"/>
    <d v="2025-05-02T00:00:00"/>
    <d v="2024-02-05T00:00:00"/>
    <x v="181"/>
    <s v="65 Forster Way"/>
    <n v="51"/>
    <n v="67"/>
    <x v="1"/>
    <n v="444"/>
    <x v="2"/>
    <x v="1"/>
  </r>
  <r>
    <x v="182"/>
    <x v="20"/>
    <x v="6"/>
    <s v="65-160-1426"/>
    <x v="128"/>
    <x v="11"/>
    <n v="72"/>
    <n v="7"/>
    <n v="23"/>
    <x v="127"/>
    <n v="0.52173913043478259"/>
    <n v="6"/>
    <n v="0.2037351443123939"/>
    <d v="2025-06-02T00:00:00"/>
    <s v="2/17/2025"/>
    <x v="182"/>
    <s v="32 6th Lane"/>
    <n v="72"/>
    <n v="16"/>
    <x v="0"/>
    <n v="72"/>
    <x v="0"/>
    <x v="1"/>
  </r>
  <r>
    <x v="183"/>
    <x v="21"/>
    <x v="5"/>
    <s v="68-609-1972"/>
    <x v="64"/>
    <x v="79"/>
    <n v="117.5"/>
    <n v="2"/>
    <n v="76"/>
    <x v="160"/>
    <n v="0.61842105263157898"/>
    <n v="2.5"/>
    <n v="0.79796264855687604"/>
    <s v="5/13/2024"/>
    <s v="6/29/2024"/>
    <x v="183"/>
    <s v="00847 Reindahl Place"/>
    <n v="48"/>
    <n v="36"/>
    <x v="0"/>
    <n v="117.5"/>
    <x v="0"/>
    <x v="0"/>
  </r>
  <r>
    <x v="184"/>
    <x v="21"/>
    <x v="5"/>
    <s v="26-438-8349"/>
    <x v="20"/>
    <x v="81"/>
    <n v="124.8"/>
    <n v="64"/>
    <n v="54"/>
    <x v="161"/>
    <n v="0.96296296296296291"/>
    <n v="2.4"/>
    <n v="0.88285229202037352"/>
    <s v="11/22/2024"/>
    <d v="2024-09-09T00:00:00"/>
    <x v="184"/>
    <s v="5 Armistice Parkway"/>
    <n v="21"/>
    <n v="55"/>
    <x v="2"/>
    <n v="124.8"/>
    <x v="2"/>
    <x v="0"/>
  </r>
  <r>
    <x v="185"/>
    <x v="21"/>
    <x v="5"/>
    <s v="89-976-4338"/>
    <x v="129"/>
    <x v="73"/>
    <n v="68.600000000000009"/>
    <n v="90"/>
    <n v="70"/>
    <x v="162"/>
    <n v="0.4"/>
    <n v="2.4500000000000002"/>
    <n v="0.47538200339558573"/>
    <d v="2024-05-11T00:00:00"/>
    <s v="2/14/2025"/>
    <x v="185"/>
    <s v="84336 Haas Place"/>
    <n v="76"/>
    <n v="78"/>
    <x v="1"/>
    <n v="68.600000000000009"/>
    <x v="2"/>
    <x v="1"/>
  </r>
  <r>
    <x v="186"/>
    <x v="21"/>
    <x v="5"/>
    <s v="94-958-6101"/>
    <x v="130"/>
    <x v="58"/>
    <n v="97.5"/>
    <n v="80"/>
    <n v="68"/>
    <x v="163"/>
    <n v="0.57352941176470584"/>
    <n v="2.5"/>
    <n v="0.66213921901528017"/>
    <s v="7/20/2024"/>
    <d v="2024-06-08T00:00:00"/>
    <x v="186"/>
    <s v="25 Nancy Place"/>
    <n v="46"/>
    <n v="54"/>
    <x v="0"/>
    <n v="97.5"/>
    <x v="0"/>
    <x v="1"/>
  </r>
  <r>
    <x v="187"/>
    <x v="21"/>
    <x v="5"/>
    <s v="06-776-1072"/>
    <x v="6"/>
    <x v="14"/>
    <n v="147"/>
    <n v="1"/>
    <n v="42"/>
    <x v="164"/>
    <n v="1.4285714285714286"/>
    <n v="2.4500000000000002"/>
    <n v="1.0186757215619695"/>
    <s v="11/16/2024"/>
    <s v="8/27/2024"/>
    <x v="187"/>
    <s v="55095 Northview Drive"/>
    <n v="42"/>
    <n v="91"/>
    <x v="1"/>
    <n v="147"/>
    <x v="1"/>
    <x v="1"/>
  </r>
  <r>
    <x v="188"/>
    <x v="21"/>
    <x v="5"/>
    <s v="38-200-4863"/>
    <x v="131"/>
    <x v="82"/>
    <n v="175.95"/>
    <n v="98"/>
    <n v="89"/>
    <x v="165"/>
    <n v="0.7752808988764045"/>
    <n v="2.5499999999999998"/>
    <n v="1.1714770797962648"/>
    <s v="10/29/2024"/>
    <d v="2024-09-04T00:00:00"/>
    <x v="188"/>
    <s v="467 Dexter Pass"/>
    <n v="29"/>
    <n v="34"/>
    <x v="0"/>
    <n v="175.95"/>
    <x v="0"/>
    <x v="1"/>
  </r>
  <r>
    <x v="189"/>
    <x v="21"/>
    <x v="5"/>
    <s v="03-983-0515"/>
    <x v="132"/>
    <x v="63"/>
    <n v="175"/>
    <n v="66"/>
    <n v="74"/>
    <x v="166"/>
    <n v="0.94594594594594594"/>
    <n v="2.5"/>
    <n v="1.1884550084889645"/>
    <d v="2024-11-11T00:00:00"/>
    <d v="2024-11-07T00:00:00"/>
    <x v="189"/>
    <s v="53 Lawn Circle"/>
    <n v="47"/>
    <n v="77"/>
    <x v="1"/>
    <n v="175"/>
    <x v="1"/>
    <x v="1"/>
  </r>
  <r>
    <x v="190"/>
    <x v="22"/>
    <x v="2"/>
    <s v="28-575-0716"/>
    <x v="133"/>
    <x v="12"/>
    <n v="88"/>
    <n v="46"/>
    <n v="55"/>
    <x v="167"/>
    <n v="1.6"/>
    <n v="1"/>
    <n v="1.4940577249575553"/>
    <d v="2024-09-04T00:00:00"/>
    <d v="2024-06-03T00:00:00"/>
    <x v="190"/>
    <s v="51890 Lindbergh Terrace"/>
    <n v="73"/>
    <n v="63"/>
    <x v="1"/>
    <n v="88"/>
    <x v="1"/>
    <x v="0"/>
  </r>
  <r>
    <x v="191"/>
    <x v="22"/>
    <x v="2"/>
    <s v="64-489-8494"/>
    <x v="134"/>
    <x v="11"/>
    <n v="12"/>
    <n v="95"/>
    <n v="49"/>
    <x v="168"/>
    <n v="0.24489795918367346"/>
    <n v="1"/>
    <n v="0.2037351443123939"/>
    <d v="2024-09-06T00:00:00"/>
    <s v="6/13/2024"/>
    <x v="191"/>
    <s v="84305 Fair Oaks Plaza"/>
    <n v="25"/>
    <n v="23"/>
    <x v="2"/>
    <n v="12"/>
    <x v="2"/>
    <x v="1"/>
  </r>
  <r>
    <x v="192"/>
    <x v="22"/>
    <x v="2"/>
    <s v="29-521-7910"/>
    <x v="35"/>
    <x v="33"/>
    <n v="62"/>
    <n v="79"/>
    <n v="95"/>
    <x v="32"/>
    <n v="0.65263157894736845"/>
    <n v="1"/>
    <n v="1.0526315789473684"/>
    <s v="5/16/2024"/>
    <d v="2024-06-07T00:00:00"/>
    <x v="192"/>
    <s v="9 Holmberg Circle"/>
    <n v="34"/>
    <n v="12"/>
    <x v="1"/>
    <n v="62"/>
    <x v="2"/>
    <x v="1"/>
  </r>
  <r>
    <x v="193"/>
    <x v="22"/>
    <x v="2"/>
    <s v="20-201-5639"/>
    <x v="129"/>
    <x v="30"/>
    <n v="81"/>
    <n v="1"/>
    <n v="40"/>
    <x v="169"/>
    <n v="2.25"/>
    <n v="0.9"/>
    <n v="1.5280135823429541"/>
    <s v="10/20/2024"/>
    <d v="2025-11-01T00:00:00"/>
    <x v="193"/>
    <s v="0 Thackeray Point"/>
    <n v="52"/>
    <n v="19"/>
    <x v="0"/>
    <n v="81"/>
    <x v="0"/>
    <x v="1"/>
  </r>
  <r>
    <x v="194"/>
    <x v="22"/>
    <x v="2"/>
    <s v="83-941-9620"/>
    <x v="135"/>
    <x v="82"/>
    <n v="4591.95"/>
    <n v="21"/>
    <n v="68"/>
    <x v="170"/>
    <n v="1.0147058823529411"/>
    <n v="66.55"/>
    <n v="1.1714770797962648"/>
    <s v="12/23/2024"/>
    <s v="11/26/2024"/>
    <x v="194"/>
    <s v="2 Butterfield Pass"/>
    <n v="36"/>
    <n v="35"/>
    <x v="0"/>
    <n v="4591.95"/>
    <x v="0"/>
    <x v="1"/>
  </r>
  <r>
    <x v="195"/>
    <x v="22"/>
    <x v="2"/>
    <s v="27-406-7972"/>
    <x v="136"/>
    <x v="55"/>
    <n v="24"/>
    <n v="32"/>
    <n v="17"/>
    <x v="171"/>
    <n v="1.411764705882353"/>
    <n v="1"/>
    <n v="0.40747028862478779"/>
    <s v="9/29/2024"/>
    <s v="6/17/2024"/>
    <x v="195"/>
    <s v="43 Washington Street"/>
    <n v="55"/>
    <n v="72"/>
    <x v="0"/>
    <n v="24"/>
    <x v="0"/>
    <x v="1"/>
  </r>
  <r>
    <x v="196"/>
    <x v="22"/>
    <x v="2"/>
    <s v="74-357-2990"/>
    <x v="137"/>
    <x v="17"/>
    <n v="83"/>
    <n v="61"/>
    <n v="4"/>
    <x v="172"/>
    <n v="20.75"/>
    <n v="1"/>
    <n v="1.4091680814940577"/>
    <s v="9/16/2024"/>
    <d v="2024-05-11T00:00:00"/>
    <x v="196"/>
    <s v="700 Northland Crossing"/>
    <n v="35"/>
    <n v="7"/>
    <x v="2"/>
    <n v="83"/>
    <x v="1"/>
    <x v="1"/>
  </r>
  <r>
    <x v="197"/>
    <x v="22"/>
    <x v="2"/>
    <s v="96-215-2767"/>
    <x v="138"/>
    <x v="65"/>
    <n v="84.600000000000009"/>
    <n v="90"/>
    <n v="12"/>
    <x v="173"/>
    <n v="7.833333333333333"/>
    <n v="0.9"/>
    <n v="1.5959252971137521"/>
    <d v="2024-03-10T00:00:00"/>
    <s v="10/24/2024"/>
    <x v="197"/>
    <s v="081 Jana Lane"/>
    <n v="98"/>
    <n v="71"/>
    <x v="1"/>
    <n v="84.600000000000009"/>
    <x v="1"/>
    <x v="1"/>
  </r>
  <r>
    <x v="198"/>
    <x v="23"/>
    <x v="4"/>
    <s v="95-889-8592"/>
    <x v="107"/>
    <x v="83"/>
    <n v="209.29999999999998"/>
    <n v="82"/>
    <n v="58"/>
    <x v="174"/>
    <n v="1.5689655172413792"/>
    <n v="2.2999999999999998"/>
    <n v="1.5449915110356538"/>
    <s v="4/27/2024"/>
    <s v="10/21/2024"/>
    <x v="198"/>
    <s v="51 7th Court"/>
    <n v="43"/>
    <n v="45"/>
    <x v="0"/>
    <n v="209.29999999999998"/>
    <x v="0"/>
    <x v="0"/>
  </r>
  <r>
    <x v="199"/>
    <x v="23"/>
    <x v="4"/>
    <s v="42-252-5861"/>
    <x v="69"/>
    <x v="7"/>
    <n v="181.7"/>
    <n v="31"/>
    <n v="66"/>
    <x v="175"/>
    <n v="1.196969696969697"/>
    <n v="2.2999999999999998"/>
    <n v="1.3412563667232598"/>
    <d v="2024-10-04T00:00:00"/>
    <s v="10/13/2024"/>
    <x v="199"/>
    <s v="48788 Chinook Place"/>
    <n v="92"/>
    <n v="13"/>
    <x v="0"/>
    <n v="181.7"/>
    <x v="0"/>
    <x v="0"/>
  </r>
  <r>
    <x v="200"/>
    <x v="23"/>
    <x v="4"/>
    <s v="63-924-5144"/>
    <x v="24"/>
    <x v="36"/>
    <n v="105.8"/>
    <n v="51"/>
    <n v="92"/>
    <x v="176"/>
    <n v="0.5"/>
    <n v="2.2999999999999998"/>
    <n v="0.78098471986417661"/>
    <d v="2024-07-05T00:00:00"/>
    <s v="12/24/2024"/>
    <x v="200"/>
    <s v="339 Paget Place"/>
    <n v="47"/>
    <n v="25"/>
    <x v="0"/>
    <n v="105.8"/>
    <x v="0"/>
    <x v="0"/>
  </r>
  <r>
    <x v="201"/>
    <x v="23"/>
    <x v="4"/>
    <s v="40-443-3362"/>
    <x v="48"/>
    <x v="62"/>
    <n v="220.79999999999998"/>
    <n v="51"/>
    <n v="40"/>
    <x v="177"/>
    <n v="2.4"/>
    <n v="2.2999999999999998"/>
    <n v="1.6298811544991512"/>
    <s v="3/16/2024"/>
    <d v="2024-04-05T00:00:00"/>
    <x v="201"/>
    <s v="3 Oakridge Parkway"/>
    <n v="61"/>
    <n v="4"/>
    <x v="0"/>
    <n v="220.79999999999998"/>
    <x v="0"/>
    <x v="1"/>
  </r>
  <r>
    <x v="202"/>
    <x v="23"/>
    <x v="4"/>
    <s v="50-862-4552"/>
    <x v="139"/>
    <x v="82"/>
    <n v="158.69999999999999"/>
    <n v="17"/>
    <n v="27"/>
    <x v="178"/>
    <n v="2.5555555555555554"/>
    <n v="2.2999999999999998"/>
    <n v="1.1714770797962648"/>
    <s v="1/14/2025"/>
    <s v="6/18/2024"/>
    <x v="202"/>
    <s v="17640 Cottonwood Place"/>
    <n v="79"/>
    <n v="75"/>
    <x v="2"/>
    <n v="158.69999999999999"/>
    <x v="1"/>
    <x v="1"/>
  </r>
  <r>
    <x v="203"/>
    <x v="23"/>
    <x v="4"/>
    <s v="29-968-4976"/>
    <x v="140"/>
    <x v="76"/>
    <n v="57.499999999999993"/>
    <n v="97"/>
    <n v="63"/>
    <x v="179"/>
    <n v="0.3968253968253968"/>
    <n v="2.2999999999999998"/>
    <n v="0.42444821731748728"/>
    <s v="10/22/2024"/>
    <s v="6/22/2024"/>
    <x v="203"/>
    <s v="685 Independence Junction"/>
    <n v="72"/>
    <n v="23"/>
    <x v="0"/>
    <n v="57.499999999999993"/>
    <x v="0"/>
    <x v="1"/>
  </r>
  <r>
    <x v="204"/>
    <x v="23"/>
    <x v="4"/>
    <s v="16-869-7328"/>
    <x v="24"/>
    <x v="71"/>
    <n v="43.699999999999996"/>
    <n v="80"/>
    <n v="87"/>
    <x v="180"/>
    <n v="0.21839080459770116"/>
    <n v="2.2999999999999998"/>
    <n v="0.32258064516129031"/>
    <d v="2024-11-10T00:00:00"/>
    <s v="10/23/2024"/>
    <x v="204"/>
    <s v="0087 Bluejay Plaza"/>
    <n v="33"/>
    <n v="38"/>
    <x v="2"/>
    <n v="43.699999999999996"/>
    <x v="2"/>
    <x v="1"/>
  </r>
  <r>
    <x v="205"/>
    <x v="23"/>
    <x v="4"/>
    <s v="28-465-9141"/>
    <x v="141"/>
    <x v="53"/>
    <n v="121.89999999999999"/>
    <n v="20"/>
    <n v="75"/>
    <x v="181"/>
    <n v="0.70666666666666667"/>
    <n v="2.2999999999999998"/>
    <n v="0.89983022071307306"/>
    <d v="2024-12-06T00:00:00"/>
    <d v="2024-01-10T00:00:00"/>
    <x v="205"/>
    <s v="085 Reinke Pass"/>
    <n v="83"/>
    <n v="77"/>
    <x v="2"/>
    <n v="121.89999999999999"/>
    <x v="1"/>
    <x v="1"/>
  </r>
  <r>
    <x v="206"/>
    <x v="23"/>
    <x v="4"/>
    <s v="81-588-5701"/>
    <x v="142"/>
    <x v="35"/>
    <n v="223.1"/>
    <n v="32"/>
    <n v="43"/>
    <x v="182"/>
    <n v="2.2558139534883721"/>
    <n v="2.2999999999999998"/>
    <n v="1.6468590831918506"/>
    <d v="2024-06-10T00:00:00"/>
    <d v="2024-03-05T00:00:00"/>
    <x v="206"/>
    <s v="20 Butterfield Lane"/>
    <n v="82"/>
    <n v="98"/>
    <x v="1"/>
    <n v="223.1"/>
    <x v="1"/>
    <x v="1"/>
  </r>
  <r>
    <x v="207"/>
    <x v="24"/>
    <x v="2"/>
    <s v="22-867-3079"/>
    <x v="114"/>
    <x v="19"/>
    <n v="76.5"/>
    <n v="60"/>
    <n v="98"/>
    <x v="183"/>
    <n v="0.52040816326530615"/>
    <n v="1.5"/>
    <n v="0.86587436332767409"/>
    <d v="2024-01-05T00:00:00"/>
    <d v="2024-12-12T00:00:00"/>
    <x v="207"/>
    <s v="44801 Myrtle Center"/>
    <n v="44"/>
    <n v="95"/>
    <x v="0"/>
    <n v="76.5"/>
    <x v="0"/>
    <x v="0"/>
  </r>
  <r>
    <x v="208"/>
    <x v="24"/>
    <x v="2"/>
    <s v="95-778-2888"/>
    <x v="28"/>
    <x v="84"/>
    <n v="100.5"/>
    <n v="68"/>
    <n v="50"/>
    <x v="90"/>
    <n v="1.34"/>
    <n v="1.5"/>
    <n v="1.137521222410866"/>
    <s v="9/23/2024"/>
    <s v="11/21/2024"/>
    <x v="208"/>
    <s v="24385 Prentice Plaza"/>
    <n v="67"/>
    <n v="82"/>
    <x v="0"/>
    <n v="100.5"/>
    <x v="0"/>
    <x v="0"/>
  </r>
  <r>
    <x v="209"/>
    <x v="24"/>
    <x v="2"/>
    <s v="38-819-2922"/>
    <x v="108"/>
    <x v="48"/>
    <n v="147.20000000000002"/>
    <n v="39"/>
    <n v="50"/>
    <x v="16"/>
    <n v="1.84"/>
    <n v="1.6"/>
    <n v="1.5619694397283532"/>
    <s v="12/27/2024"/>
    <d v="2024-07-12T00:00:00"/>
    <x v="209"/>
    <s v="57453 Northwestern Alley"/>
    <n v="30"/>
    <n v="41"/>
    <x v="2"/>
    <n v="147.20000000000002"/>
    <x v="1"/>
    <x v="0"/>
  </r>
  <r>
    <x v="210"/>
    <x v="24"/>
    <x v="2"/>
    <s v="40-436-0171"/>
    <x v="143"/>
    <x v="50"/>
    <n v="26.099999999999998"/>
    <n v="50"/>
    <n v="77"/>
    <x v="184"/>
    <n v="0.23376623376623376"/>
    <n v="1.45"/>
    <n v="0.30560271646859083"/>
    <d v="2024-03-11T00:00:00"/>
    <s v="8/30/2024"/>
    <x v="210"/>
    <s v="7744 Oxford Pass"/>
    <n v="44"/>
    <n v="19"/>
    <x v="1"/>
    <n v="26.099999999999998"/>
    <x v="2"/>
    <x v="1"/>
  </r>
  <r>
    <x v="211"/>
    <x v="24"/>
    <x v="2"/>
    <s v="33-265-4588"/>
    <x v="144"/>
    <x v="49"/>
    <n v="120"/>
    <n v="91"/>
    <n v="36"/>
    <x v="129"/>
    <n v="2.2222222222222223"/>
    <n v="1.5"/>
    <n v="1.3582342954159592"/>
    <s v="3/24/2024"/>
    <d v="2024-08-07T00:00:00"/>
    <x v="211"/>
    <s v="2 Northview Avenue"/>
    <n v="81"/>
    <n v="74"/>
    <x v="1"/>
    <n v="120"/>
    <x v="2"/>
    <x v="1"/>
  </r>
  <r>
    <x v="212"/>
    <x v="24"/>
    <x v="2"/>
    <s v="78-379-0369"/>
    <x v="145"/>
    <x v="8"/>
    <n v="111"/>
    <n v="37"/>
    <n v="57"/>
    <x v="185"/>
    <n v="1.2982456140350878"/>
    <n v="1.5"/>
    <n v="1.2563667232597624"/>
    <s v="2/14/2025"/>
    <d v="2024-04-03T00:00:00"/>
    <x v="212"/>
    <s v="28351 Cascade Plaza"/>
    <n v="91"/>
    <n v="18"/>
    <x v="1"/>
    <n v="111"/>
    <x v="1"/>
    <x v="1"/>
  </r>
  <r>
    <x v="213"/>
    <x v="24"/>
    <x v="2"/>
    <s v="66-680-8738"/>
    <x v="146"/>
    <x v="66"/>
    <n v="91.5"/>
    <n v="81"/>
    <n v="99"/>
    <x v="186"/>
    <n v="0.61616161616161613"/>
    <n v="1.5"/>
    <n v="1.0356536502546689"/>
    <s v="10/27/2024"/>
    <s v="3/13/2024"/>
    <x v="213"/>
    <s v="1509 Hoard Circle"/>
    <n v="26"/>
    <n v="76"/>
    <x v="0"/>
    <n v="91.5"/>
    <x v="0"/>
    <x v="1"/>
  </r>
  <r>
    <x v="214"/>
    <x v="25"/>
    <x v="0"/>
    <s v="23-197-9965"/>
    <x v="147"/>
    <x v="68"/>
    <n v="128"/>
    <n v="38"/>
    <n v="32"/>
    <x v="187"/>
    <n v="1.25"/>
    <n v="3.2"/>
    <n v="0.6791171477079796"/>
    <s v="10/25/2024"/>
    <d v="2024-08-06T00:00:00"/>
    <x v="214"/>
    <s v="64389 Arkansas Alley"/>
    <n v="21"/>
    <n v="45"/>
    <x v="2"/>
    <n v="128"/>
    <x v="1"/>
    <x v="0"/>
  </r>
  <r>
    <x v="215"/>
    <x v="25"/>
    <x v="2"/>
    <s v="17-963-6051"/>
    <x v="148"/>
    <x v="81"/>
    <n v="130"/>
    <n v="22"/>
    <n v="37"/>
    <x v="188"/>
    <n v="1.4054054054054055"/>
    <n v="2.5"/>
    <n v="0.88285229202037352"/>
    <s v="10/28/2024"/>
    <d v="2024-10-07T00:00:00"/>
    <x v="215"/>
    <s v="30408 5th Way"/>
    <n v="56"/>
    <n v="44"/>
    <x v="1"/>
    <n v="130"/>
    <x v="1"/>
    <x v="0"/>
  </r>
  <r>
    <x v="216"/>
    <x v="25"/>
    <x v="2"/>
    <s v="58-536-6583"/>
    <x v="134"/>
    <x v="71"/>
    <n v="46.550000000000004"/>
    <n v="73"/>
    <n v="60"/>
    <x v="183"/>
    <n v="0.31666666666666665"/>
    <n v="2.4500000000000002"/>
    <n v="0.32258064516129031"/>
    <d v="2024-12-03T00:00:00"/>
    <d v="2024-11-08T00:00:00"/>
    <x v="216"/>
    <s v="85276 Lakewood Gardens Alley"/>
    <n v="70"/>
    <n v="48"/>
    <x v="2"/>
    <n v="46.550000000000004"/>
    <x v="2"/>
    <x v="0"/>
  </r>
  <r>
    <x v="217"/>
    <x v="25"/>
    <x v="2"/>
    <s v="87-546-9674"/>
    <x v="149"/>
    <x v="69"/>
    <n v="217.5"/>
    <n v="91"/>
    <n v="94"/>
    <x v="189"/>
    <n v="0.92553191489361697"/>
    <n v="2.5"/>
    <n v="1.4770797962648556"/>
    <d v="2024-04-07T00:00:00"/>
    <s v="9/25/2024"/>
    <x v="217"/>
    <s v="52 Victoria Plaza"/>
    <n v="47"/>
    <n v="4"/>
    <x v="0"/>
    <n v="217.5"/>
    <x v="0"/>
    <x v="1"/>
  </r>
  <r>
    <x v="218"/>
    <x v="25"/>
    <x v="2"/>
    <s v="39-299-6093"/>
    <x v="150"/>
    <x v="20"/>
    <n v="215"/>
    <n v="66"/>
    <n v="24"/>
    <x v="190"/>
    <n v="3.5833333333333335"/>
    <n v="2.5"/>
    <n v="1.4601018675721562"/>
    <s v="7/29/2024"/>
    <d v="2025-04-02T00:00:00"/>
    <x v="218"/>
    <s v="39014 Randy Court"/>
    <n v="30"/>
    <n v="6"/>
    <x v="0"/>
    <n v="215"/>
    <x v="0"/>
    <x v="1"/>
  </r>
  <r>
    <x v="219"/>
    <x v="25"/>
    <x v="2"/>
    <s v="10-540-5841"/>
    <x v="81"/>
    <x v="80"/>
    <n v="122.39999999999999"/>
    <n v="27"/>
    <n v="73"/>
    <x v="191"/>
    <n v="0.65753424657534243"/>
    <n v="2.5499999999999998"/>
    <n v="0.81494057724957558"/>
    <s v="1/13/2025"/>
    <d v="2024-12-04T00:00:00"/>
    <x v="219"/>
    <s v="843 Pepper Wood Hill"/>
    <n v="52"/>
    <n v="97"/>
    <x v="0"/>
    <n v="122.39999999999999"/>
    <x v="0"/>
    <x v="1"/>
  </r>
  <r>
    <x v="220"/>
    <x v="25"/>
    <x v="2"/>
    <s v="22-307-4653"/>
    <x v="151"/>
    <x v="44"/>
    <n v="235.6"/>
    <n v="66"/>
    <n v="69"/>
    <x v="192"/>
    <n v="1.3768115942028984"/>
    <n v="2.48"/>
    <n v="1.6129032258064517"/>
    <d v="2024-08-06T00:00:00"/>
    <s v="3/28/2024"/>
    <x v="220"/>
    <s v="880 Calypso Road"/>
    <n v="92"/>
    <n v="72"/>
    <x v="2"/>
    <n v="235.6"/>
    <x v="1"/>
    <x v="1"/>
  </r>
  <r>
    <x v="221"/>
    <x v="25"/>
    <x v="2"/>
    <s v="55-838-9088"/>
    <x v="152"/>
    <x v="46"/>
    <n v="85"/>
    <n v="92"/>
    <n v="26"/>
    <x v="193"/>
    <n v="1.3076923076923077"/>
    <n v="2.5"/>
    <n v="0.57724957555178269"/>
    <d v="2024-01-09T00:00:00"/>
    <d v="2024-10-04T00:00:00"/>
    <x v="221"/>
    <s v="01 Northfield Road"/>
    <n v="28"/>
    <n v="71"/>
    <x v="1"/>
    <n v="85"/>
    <x v="2"/>
    <x v="1"/>
  </r>
  <r>
    <x v="222"/>
    <x v="25"/>
    <x v="2"/>
    <s v="86-173-6891"/>
    <x v="121"/>
    <x v="9"/>
    <n v="192.5"/>
    <n v="54"/>
    <n v="10"/>
    <x v="194"/>
    <n v="7.7"/>
    <n v="2.5"/>
    <n v="1.3073005093378609"/>
    <s v="7/27/2024"/>
    <d v="2024-02-10T00:00:00"/>
    <x v="222"/>
    <s v="05 Bartelt Street"/>
    <n v="64"/>
    <n v="73"/>
    <x v="1"/>
    <n v="192.5"/>
    <x v="1"/>
    <x v="1"/>
  </r>
  <r>
    <x v="223"/>
    <x v="25"/>
    <x v="2"/>
    <s v="53-243-7800"/>
    <x v="153"/>
    <x v="67"/>
    <n v="82.5"/>
    <n v="89"/>
    <n v="15"/>
    <x v="147"/>
    <n v="2.2000000000000002"/>
    <n v="2.5"/>
    <n v="0.56027164685908315"/>
    <s v="8/27/2024"/>
    <s v="6/20/2024"/>
    <x v="223"/>
    <s v="1 Hudson Hill"/>
    <n v="90"/>
    <n v="52"/>
    <x v="0"/>
    <n v="82.5"/>
    <x v="0"/>
    <x v="1"/>
  </r>
  <r>
    <x v="224"/>
    <x v="25"/>
    <x v="2"/>
    <s v="52-012-3409"/>
    <x v="33"/>
    <x v="16"/>
    <n v="165"/>
    <n v="31"/>
    <n v="18"/>
    <x v="131"/>
    <n v="3.6666666666666665"/>
    <n v="2.5"/>
    <n v="1.1205432937181663"/>
    <d v="2024-06-04T00:00:00"/>
    <s v="12/28/2024"/>
    <x v="224"/>
    <s v="6292 Chive Street"/>
    <n v="85"/>
    <n v="39"/>
    <x v="2"/>
    <n v="165"/>
    <x v="1"/>
    <x v="1"/>
  </r>
  <r>
    <x v="225"/>
    <x v="25"/>
    <x v="2"/>
    <s v="41-713-1053"/>
    <x v="64"/>
    <x v="77"/>
    <n v="157.5"/>
    <n v="62"/>
    <n v="98"/>
    <x v="195"/>
    <n v="0.6428571428571429"/>
    <n v="2.5"/>
    <n v="1.069609507640068"/>
    <s v="5/30/2024"/>
    <s v="3/21/2024"/>
    <x v="225"/>
    <s v="611 Fieldstone Drive"/>
    <n v="62"/>
    <n v="45"/>
    <x v="2"/>
    <n v="157.5"/>
    <x v="1"/>
    <x v="1"/>
  </r>
  <r>
    <x v="226"/>
    <x v="25"/>
    <x v="2"/>
    <s v="70-064-6828"/>
    <x v="154"/>
    <x v="75"/>
    <n v="142.5"/>
    <n v="25"/>
    <n v="98"/>
    <x v="195"/>
    <n v="0.58163265306122447"/>
    <n v="2.5"/>
    <n v="0.967741935483871"/>
    <s v="6/14/2024"/>
    <s v="2/25/2024"/>
    <x v="226"/>
    <s v="973 Spaight Place"/>
    <n v="78"/>
    <n v="37"/>
    <x v="1"/>
    <n v="142.5"/>
    <x v="1"/>
    <x v="1"/>
  </r>
  <r>
    <x v="227"/>
    <x v="25"/>
    <x v="2"/>
    <s v="76-641-2070"/>
    <x v="155"/>
    <x v="75"/>
    <n v="142.5"/>
    <n v="43"/>
    <n v="46"/>
    <x v="196"/>
    <n v="1.2391304347826086"/>
    <n v="2.5"/>
    <n v="0.967741935483871"/>
    <s v="6/13/2024"/>
    <d v="2024-01-12T00:00:00"/>
    <x v="227"/>
    <s v="929 Thierer Lane"/>
    <n v="87"/>
    <n v="88"/>
    <x v="0"/>
    <n v="142.5"/>
    <x v="0"/>
    <x v="1"/>
  </r>
  <r>
    <x v="228"/>
    <x v="25"/>
    <x v="2"/>
    <s v="84-949-8378"/>
    <x v="61"/>
    <x v="44"/>
    <n v="237.5"/>
    <n v="6"/>
    <n v="59"/>
    <x v="197"/>
    <n v="1.6101694915254237"/>
    <n v="2.5"/>
    <n v="1.6129032258064517"/>
    <s v="12/31/2024"/>
    <s v="8/15/2024"/>
    <x v="228"/>
    <s v="4 Loomis Way"/>
    <n v="49"/>
    <n v="77"/>
    <x v="1"/>
    <n v="237.5"/>
    <x v="1"/>
    <x v="1"/>
  </r>
  <r>
    <x v="229"/>
    <x v="26"/>
    <x v="5"/>
    <s v="47-732-4446"/>
    <x v="113"/>
    <x v="12"/>
    <n v="792"/>
    <n v="74"/>
    <n v="97"/>
    <x v="198"/>
    <n v="0.90721649484536082"/>
    <n v="9"/>
    <n v="1.4940577249575553"/>
    <s v="5/28/2024"/>
    <s v="5/31/2024"/>
    <x v="229"/>
    <s v="97687 Mendota Terrace"/>
    <n v="79"/>
    <n v="5"/>
    <x v="1"/>
    <n v="792"/>
    <x v="1"/>
    <x v="0"/>
  </r>
  <r>
    <x v="230"/>
    <x v="26"/>
    <x v="5"/>
    <s v="76-870-2139"/>
    <x v="40"/>
    <x v="68"/>
    <n v="360"/>
    <n v="81"/>
    <n v="40"/>
    <x v="15"/>
    <n v="1"/>
    <n v="9"/>
    <n v="0.6791171477079796"/>
    <d v="2024-09-10T00:00:00"/>
    <s v="4/28/2024"/>
    <x v="230"/>
    <s v="87784 Blaine Way"/>
    <n v="40"/>
    <n v="48"/>
    <x v="2"/>
    <n v="360"/>
    <x v="2"/>
    <x v="0"/>
  </r>
  <r>
    <x v="231"/>
    <x v="26"/>
    <x v="5"/>
    <s v="06-315-0552"/>
    <x v="27"/>
    <x v="47"/>
    <n v="605.20000000000005"/>
    <n v="60"/>
    <n v="21"/>
    <x v="199"/>
    <n v="3.2380952380952381"/>
    <n v="8.9"/>
    <n v="1.1544991511035654"/>
    <s v="2/27/2024"/>
    <d v="2024-02-10T00:00:00"/>
    <x v="231"/>
    <s v="406 Westridge Alley"/>
    <n v="79"/>
    <n v="46"/>
    <x v="1"/>
    <n v="605.20000000000005"/>
    <x v="1"/>
    <x v="0"/>
  </r>
  <r>
    <x v="232"/>
    <x v="26"/>
    <x v="5"/>
    <s v="54-529-4459"/>
    <x v="156"/>
    <x v="34"/>
    <n v="189"/>
    <n v="28"/>
    <n v="72"/>
    <x v="200"/>
    <n v="0.29166666666666669"/>
    <n v="9"/>
    <n v="0.35653650254668934"/>
    <s v="1/28/2025"/>
    <s v="2/28/2024"/>
    <x v="232"/>
    <s v="710 Service Park"/>
    <n v="69"/>
    <n v="51"/>
    <x v="2"/>
    <n v="189"/>
    <x v="2"/>
    <x v="0"/>
  </r>
  <r>
    <x v="233"/>
    <x v="26"/>
    <x v="5"/>
    <s v="18-682-7828"/>
    <x v="157"/>
    <x v="78"/>
    <n v="279"/>
    <n v="65"/>
    <n v="94"/>
    <x v="201"/>
    <n v="0.32978723404255317"/>
    <n v="9"/>
    <n v="0.52631578947368418"/>
    <d v="2024-03-12T00:00:00"/>
    <s v="10/17/2024"/>
    <x v="233"/>
    <s v="1 Merchant Circle"/>
    <n v="63"/>
    <n v="7"/>
    <x v="2"/>
    <n v="279"/>
    <x v="2"/>
    <x v="1"/>
  </r>
  <r>
    <x v="234"/>
    <x v="26"/>
    <x v="5"/>
    <s v="41-978-3326"/>
    <x v="158"/>
    <x v="10"/>
    <n v="756.5"/>
    <n v="28"/>
    <n v="32"/>
    <x v="202"/>
    <n v="2.65625"/>
    <n v="8.9"/>
    <n v="1.4431239388794568"/>
    <s v="1/17/2025"/>
    <s v="6/25/2024"/>
    <x v="234"/>
    <s v="2835 Schlimgen Parkway"/>
    <n v="57"/>
    <n v="41"/>
    <x v="2"/>
    <n v="756.5"/>
    <x v="1"/>
    <x v="1"/>
  </r>
  <r>
    <x v="235"/>
    <x v="26"/>
    <x v="5"/>
    <s v="67-024-9832"/>
    <x v="30"/>
    <x v="63"/>
    <n v="630"/>
    <n v="96"/>
    <n v="35"/>
    <x v="203"/>
    <n v="2"/>
    <n v="9"/>
    <n v="1.1884550084889645"/>
    <d v="2025-08-02T00:00:00"/>
    <s v="6/24/2024"/>
    <x v="235"/>
    <s v="54 Weeping Birch Lane"/>
    <n v="63"/>
    <n v="84"/>
    <x v="2"/>
    <n v="630"/>
    <x v="2"/>
    <x v="1"/>
  </r>
  <r>
    <x v="236"/>
    <x v="26"/>
    <x v="5"/>
    <s v="74-619-4608"/>
    <x v="110"/>
    <x v="20"/>
    <n v="774"/>
    <n v="23"/>
    <n v="1"/>
    <x v="204"/>
    <n v="86"/>
    <n v="9"/>
    <n v="1.4601018675721562"/>
    <s v="6/20/2024"/>
    <s v="5/19/2024"/>
    <x v="236"/>
    <s v="7 Lunder Hill"/>
    <n v="100"/>
    <n v="86"/>
    <x v="2"/>
    <n v="774"/>
    <x v="1"/>
    <x v="1"/>
  </r>
  <r>
    <x v="237"/>
    <x v="26"/>
    <x v="5"/>
    <s v="49-590-1752"/>
    <x v="159"/>
    <x v="38"/>
    <n v="324"/>
    <n v="77"/>
    <n v="49"/>
    <x v="205"/>
    <n v="0.73469387755102045"/>
    <n v="9"/>
    <n v="0.61120543293718166"/>
    <d v="2024-10-04T00:00:00"/>
    <s v="10/24/2024"/>
    <x v="237"/>
    <s v="0782 Dapin Avenue"/>
    <n v="30"/>
    <n v="84"/>
    <x v="1"/>
    <n v="324"/>
    <x v="2"/>
    <x v="1"/>
  </r>
  <r>
    <x v="238"/>
    <x v="26"/>
    <x v="5"/>
    <s v="93-877-9384"/>
    <x v="160"/>
    <x v="14"/>
    <n v="540"/>
    <n v="9"/>
    <n v="89"/>
    <x v="206"/>
    <n v="0.6741573033707865"/>
    <n v="9"/>
    <n v="1.0186757215619695"/>
    <d v="2024-01-06T00:00:00"/>
    <d v="2024-02-06T00:00:00"/>
    <x v="238"/>
    <s v="5 Oxford Pass"/>
    <n v="95"/>
    <n v="63"/>
    <x v="1"/>
    <n v="540"/>
    <x v="1"/>
    <x v="1"/>
  </r>
  <r>
    <x v="239"/>
    <x v="27"/>
    <x v="5"/>
    <s v="71-092-6845"/>
    <x v="11"/>
    <x v="53"/>
    <n v="477"/>
    <n v="63"/>
    <n v="2"/>
    <x v="207"/>
    <n v="26.5"/>
    <n v="9"/>
    <n v="0.89983022071307306"/>
    <d v="2024-02-08T00:00:00"/>
    <d v="2024-12-10T00:00:00"/>
    <x v="239"/>
    <s v="19 Shoshone Circle"/>
    <n v="56"/>
    <n v="95"/>
    <x v="1"/>
    <n v="477"/>
    <x v="2"/>
    <x v="0"/>
  </r>
  <r>
    <x v="240"/>
    <x v="27"/>
    <x v="5"/>
    <s v="08-523-5066"/>
    <x v="12"/>
    <x v="5"/>
    <n v="722"/>
    <n v="15"/>
    <n v="99"/>
    <x v="208"/>
    <n v="0.76767676767676762"/>
    <n v="9.5"/>
    <n v="1.2903225806451613"/>
    <d v="2025-01-02T00:00:00"/>
    <s v="7/26/2024"/>
    <x v="240"/>
    <s v="9307 Kingsford Road"/>
    <n v="60"/>
    <n v="49"/>
    <x v="0"/>
    <n v="722"/>
    <x v="0"/>
    <x v="0"/>
  </r>
  <r>
    <x v="241"/>
    <x v="27"/>
    <x v="5"/>
    <s v="27-532-7847"/>
    <x v="130"/>
    <x v="82"/>
    <n v="634.79999999999995"/>
    <n v="53"/>
    <n v="32"/>
    <x v="209"/>
    <n v="2.15625"/>
    <n v="9.1999999999999993"/>
    <n v="1.1714770797962648"/>
    <d v="2024-11-09T00:00:00"/>
    <s v="5/28/2024"/>
    <x v="241"/>
    <s v="5862 Hooker Pass"/>
    <n v="28"/>
    <n v="56"/>
    <x v="1"/>
    <n v="634.79999999999995"/>
    <x v="1"/>
    <x v="0"/>
  </r>
  <r>
    <x v="242"/>
    <x v="27"/>
    <x v="5"/>
    <s v="67-662-3444"/>
    <x v="107"/>
    <x v="15"/>
    <n v="900"/>
    <n v="31"/>
    <n v="43"/>
    <x v="210"/>
    <n v="2.3255813953488373"/>
    <n v="9"/>
    <n v="1.6977928692699491"/>
    <s v="9/13/2024"/>
    <d v="2025-06-01T00:00:00"/>
    <x v="242"/>
    <s v="1700 Briar Crest Parkway"/>
    <n v="88"/>
    <n v="52"/>
    <x v="2"/>
    <n v="900"/>
    <x v="1"/>
    <x v="0"/>
  </r>
  <r>
    <x v="243"/>
    <x v="27"/>
    <x v="5"/>
    <s v="96-353-3049"/>
    <x v="161"/>
    <x v="42"/>
    <n v="702"/>
    <n v="24"/>
    <n v="31"/>
    <x v="75"/>
    <n v="2.5161290322580645"/>
    <n v="9"/>
    <n v="1.3242784380305603"/>
    <d v="2024-01-06T00:00:00"/>
    <d v="2024-03-06T00:00:00"/>
    <x v="243"/>
    <s v="05518 Saint Paul Street"/>
    <n v="60"/>
    <n v="41"/>
    <x v="1"/>
    <n v="702"/>
    <x v="1"/>
    <x v="0"/>
  </r>
  <r>
    <x v="244"/>
    <x v="27"/>
    <x v="5"/>
    <s v="38-643-1626"/>
    <x v="24"/>
    <x v="12"/>
    <n v="792"/>
    <n v="53"/>
    <n v="44"/>
    <x v="78"/>
    <n v="2"/>
    <n v="9"/>
    <n v="1.4940577249575553"/>
    <d v="2025-04-01T00:00:00"/>
    <s v="12/24/2024"/>
    <x v="244"/>
    <s v="29817 Coleman Drive"/>
    <n v="56"/>
    <n v="14"/>
    <x v="0"/>
    <n v="792"/>
    <x v="0"/>
    <x v="1"/>
  </r>
  <r>
    <x v="245"/>
    <x v="27"/>
    <x v="5"/>
    <s v="41-825-5869"/>
    <x v="4"/>
    <x v="2"/>
    <n v="459.99999999999994"/>
    <n v="14"/>
    <n v="6"/>
    <x v="211"/>
    <n v="8.3333333333333339"/>
    <n v="9.1999999999999993"/>
    <n v="0.84889643463497455"/>
    <d v="2024-02-06T00:00:00"/>
    <s v="12/19/2024"/>
    <x v="245"/>
    <s v="01 Gateway Plaza"/>
    <n v="60"/>
    <n v="72"/>
    <x v="2"/>
    <n v="459.99999999999994"/>
    <x v="1"/>
    <x v="1"/>
  </r>
  <r>
    <x v="246"/>
    <x v="28"/>
    <x v="2"/>
    <s v="07-410-2867"/>
    <x v="135"/>
    <x v="56"/>
    <n v="240"/>
    <n v="25"/>
    <n v="11"/>
    <x v="212"/>
    <n v="2.7272727272727271"/>
    <n v="8"/>
    <n v="0.50933786078098475"/>
    <s v="12/25/2024"/>
    <d v="2024-12-07T00:00:00"/>
    <x v="246"/>
    <s v="734 Thackeray Avenue"/>
    <n v="42"/>
    <n v="76"/>
    <x v="1"/>
    <n v="240"/>
    <x v="1"/>
    <x v="1"/>
  </r>
  <r>
    <x v="247"/>
    <x v="28"/>
    <x v="2"/>
    <s v="31-628-6696"/>
    <x v="27"/>
    <x v="75"/>
    <n v="456"/>
    <n v="82"/>
    <n v="59"/>
    <x v="213"/>
    <n v="0.96610169491525422"/>
    <n v="8"/>
    <n v="0.967741935483871"/>
    <d v="2024-10-09T00:00:00"/>
    <s v="11/20/2024"/>
    <x v="247"/>
    <s v="07 Maple Wood Drive"/>
    <n v="44"/>
    <n v="57"/>
    <x v="1"/>
    <n v="456"/>
    <x v="2"/>
    <x v="1"/>
  </r>
  <r>
    <x v="248"/>
    <x v="28"/>
    <x v="2"/>
    <s v="61-040-9004"/>
    <x v="36"/>
    <x v="85"/>
    <n v="232"/>
    <n v="66"/>
    <n v="21"/>
    <x v="158"/>
    <n v="1.3809523809523809"/>
    <n v="8"/>
    <n v="0.49235993208828527"/>
    <s v="10/29/2024"/>
    <d v="2024-11-07T00:00:00"/>
    <x v="248"/>
    <s v="8119 Homewood Drive"/>
    <n v="74"/>
    <n v="93"/>
    <x v="0"/>
    <n v="232"/>
    <x v="0"/>
    <x v="1"/>
  </r>
  <r>
    <x v="249"/>
    <x v="28"/>
    <x v="2"/>
    <s v="34-730-9079"/>
    <x v="162"/>
    <x v="23"/>
    <n v="344"/>
    <n v="41"/>
    <n v="100"/>
    <x v="214"/>
    <n v="0.43"/>
    <n v="8"/>
    <n v="0.7300509337860781"/>
    <s v="6/16/2024"/>
    <d v="2024-08-04T00:00:00"/>
    <x v="249"/>
    <s v="61057 Hallows Junction"/>
    <n v="27"/>
    <n v="78"/>
    <x v="1"/>
    <n v="344"/>
    <x v="1"/>
    <x v="1"/>
  </r>
  <r>
    <x v="250"/>
    <x v="29"/>
    <x v="6"/>
    <s v="01-801-9502"/>
    <x v="163"/>
    <x v="4"/>
    <n v="375"/>
    <n v="81"/>
    <n v="17"/>
    <x v="108"/>
    <n v="4.4117647058823533"/>
    <n v="5"/>
    <n v="1.2733446519524618"/>
    <d v="2024-09-07T00:00:00"/>
    <s v="2/17/2025"/>
    <x v="250"/>
    <s v="43442 Homewood Street"/>
    <n v="69"/>
    <n v="38"/>
    <x v="1"/>
    <n v="375"/>
    <x v="2"/>
    <x v="0"/>
  </r>
  <r>
    <x v="251"/>
    <x v="29"/>
    <x v="6"/>
    <s v="49-591-1019"/>
    <x v="164"/>
    <x v="61"/>
    <n v="55"/>
    <n v="6"/>
    <n v="100"/>
    <x v="215"/>
    <n v="0.11"/>
    <n v="5"/>
    <n v="0.18675721561969441"/>
    <d v="2024-05-03T00:00:00"/>
    <s v="9/16/2024"/>
    <x v="251"/>
    <s v="39 Lakewood Gardens Center"/>
    <n v="88"/>
    <n v="24"/>
    <x v="0"/>
    <n v="55"/>
    <x v="0"/>
    <x v="0"/>
  </r>
  <r>
    <x v="252"/>
    <x v="29"/>
    <x v="6"/>
    <s v="07-948-8632"/>
    <x v="165"/>
    <x v="62"/>
    <n v="480"/>
    <n v="16"/>
    <n v="48"/>
    <x v="216"/>
    <n v="2"/>
    <n v="5"/>
    <n v="1.6298811544991512"/>
    <d v="2024-04-11T00:00:00"/>
    <d v="2024-04-04T00:00:00"/>
    <x v="252"/>
    <s v="48 Golf View Pass"/>
    <n v="45"/>
    <n v="68"/>
    <x v="1"/>
    <n v="480"/>
    <x v="1"/>
    <x v="0"/>
  </r>
  <r>
    <x v="253"/>
    <x v="29"/>
    <x v="6"/>
    <s v="58-087-3463"/>
    <x v="69"/>
    <x v="15"/>
    <n v="500"/>
    <n v="1"/>
    <n v="26"/>
    <x v="217"/>
    <n v="3.8461538461538463"/>
    <n v="5"/>
    <n v="1.6977928692699491"/>
    <d v="2024-02-08T00:00:00"/>
    <s v="3/21/2024"/>
    <x v="253"/>
    <s v="7561 5th Terrace"/>
    <n v="47"/>
    <n v="79"/>
    <x v="1"/>
    <n v="500"/>
    <x v="1"/>
    <x v="1"/>
  </r>
  <r>
    <x v="254"/>
    <x v="29"/>
    <x v="6"/>
    <s v="88-428-6227"/>
    <x v="166"/>
    <x v="6"/>
    <n v="185"/>
    <n v="96"/>
    <n v="82"/>
    <x v="17"/>
    <n v="0.45121951219512196"/>
    <n v="5"/>
    <n v="0.6281833616298812"/>
    <d v="2024-06-10T00:00:00"/>
    <s v="1/14/2025"/>
    <x v="254"/>
    <s v="0 Larry Terrace"/>
    <n v="35"/>
    <n v="23"/>
    <x v="2"/>
    <n v="185"/>
    <x v="2"/>
    <x v="1"/>
  </r>
  <r>
    <x v="255"/>
    <x v="29"/>
    <x v="6"/>
    <s v="78-888-6073"/>
    <x v="133"/>
    <x v="47"/>
    <n v="340"/>
    <n v="29"/>
    <n v="100"/>
    <x v="215"/>
    <n v="0.68"/>
    <n v="5"/>
    <n v="1.1544991511035654"/>
    <s v="11/13/2024"/>
    <s v="9/27/2024"/>
    <x v="255"/>
    <s v="481 Mifflin Hill"/>
    <n v="70"/>
    <n v="26"/>
    <x v="2"/>
    <n v="340"/>
    <x v="1"/>
    <x v="1"/>
  </r>
  <r>
    <x v="256"/>
    <x v="29"/>
    <x v="6"/>
    <s v="94-903-2643"/>
    <x v="76"/>
    <x v="51"/>
    <n v="495"/>
    <n v="3"/>
    <n v="79"/>
    <x v="218"/>
    <n v="1.2531645569620253"/>
    <n v="5"/>
    <n v="1.6808149405772497"/>
    <d v="2024-05-06T00:00:00"/>
    <s v="1/16/2025"/>
    <x v="256"/>
    <s v="865 Eagle Crest Park"/>
    <n v="65"/>
    <n v="16"/>
    <x v="2"/>
    <n v="495"/>
    <x v="1"/>
    <x v="1"/>
  </r>
  <r>
    <x v="257"/>
    <x v="29"/>
    <x v="6"/>
    <s v="80-833-3051"/>
    <x v="153"/>
    <x v="40"/>
    <n v="115"/>
    <n v="76"/>
    <n v="70"/>
    <x v="219"/>
    <n v="0.32857142857142857"/>
    <n v="5"/>
    <n v="0.39049235993208831"/>
    <d v="2025-07-01T00:00:00"/>
    <s v="9/19/2024"/>
    <x v="257"/>
    <s v="40 Cody Pass"/>
    <n v="97"/>
    <n v="38"/>
    <x v="2"/>
    <n v="115"/>
    <x v="2"/>
    <x v="1"/>
  </r>
  <r>
    <x v="258"/>
    <x v="29"/>
    <x v="6"/>
    <s v="01-165-8830"/>
    <x v="167"/>
    <x v="53"/>
    <n v="265"/>
    <n v="19"/>
    <n v="94"/>
    <x v="119"/>
    <n v="0.56382978723404253"/>
    <n v="5"/>
    <n v="0.89983022071307306"/>
    <s v="3/29/2024"/>
    <d v="2024-12-11T00:00:00"/>
    <x v="258"/>
    <s v="29755 Daystar Street"/>
    <n v="82"/>
    <n v="56"/>
    <x v="0"/>
    <n v="265"/>
    <x v="0"/>
    <x v="1"/>
  </r>
  <r>
    <x v="259"/>
    <x v="30"/>
    <x v="2"/>
    <s v="17-239-6309"/>
    <x v="168"/>
    <x v="29"/>
    <n v="445"/>
    <n v="57"/>
    <n v="92"/>
    <x v="58"/>
    <n v="0.96739130434782605"/>
    <n v="5"/>
    <n v="1.5110356536502547"/>
    <s v="8/15/2024"/>
    <s v="6/14/2024"/>
    <x v="259"/>
    <s v="772 Golf Course Junction"/>
    <n v="38"/>
    <n v="16"/>
    <x v="1"/>
    <n v="445"/>
    <x v="1"/>
    <x v="0"/>
  </r>
  <r>
    <x v="260"/>
    <x v="30"/>
    <x v="2"/>
    <s v="22-152-0111"/>
    <x v="169"/>
    <x v="51"/>
    <n v="495"/>
    <n v="8"/>
    <n v="27"/>
    <x v="146"/>
    <n v="3.6666666666666665"/>
    <n v="5"/>
    <n v="1.6808149405772497"/>
    <s v="7/16/2024"/>
    <s v="7/13/2024"/>
    <x v="260"/>
    <s v="26 Graceland Circle"/>
    <n v="41"/>
    <n v="50"/>
    <x v="0"/>
    <n v="495"/>
    <x v="0"/>
    <x v="0"/>
  </r>
  <r>
    <x v="261"/>
    <x v="30"/>
    <x v="2"/>
    <s v="07-959-3210"/>
    <x v="170"/>
    <x v="71"/>
    <n v="95"/>
    <n v="47"/>
    <n v="25"/>
    <x v="220"/>
    <n v="0.76"/>
    <n v="5"/>
    <n v="0.32258064516129031"/>
    <s v="12/18/2024"/>
    <s v="2/24/2025"/>
    <x v="261"/>
    <s v="7945 Mayer Center"/>
    <n v="96"/>
    <n v="37"/>
    <x v="0"/>
    <n v="95"/>
    <x v="0"/>
    <x v="0"/>
  </r>
  <r>
    <x v="262"/>
    <x v="30"/>
    <x v="2"/>
    <s v="96-012-3393"/>
    <x v="171"/>
    <x v="86"/>
    <n v="80"/>
    <n v="53"/>
    <n v="12"/>
    <x v="190"/>
    <n v="1.3333333333333333"/>
    <n v="5"/>
    <n v="0.27164685908319186"/>
    <d v="2024-11-06T00:00:00"/>
    <s v="1/20/2025"/>
    <x v="262"/>
    <s v="277 Pawling Terrace"/>
    <n v="21"/>
    <n v="29"/>
    <x v="0"/>
    <n v="80"/>
    <x v="0"/>
    <x v="0"/>
  </r>
  <r>
    <x v="263"/>
    <x v="30"/>
    <x v="2"/>
    <s v="97-155-1262"/>
    <x v="140"/>
    <x v="45"/>
    <n v="280"/>
    <n v="75"/>
    <n v="13"/>
    <x v="193"/>
    <n v="4.3076923076923075"/>
    <n v="5"/>
    <n v="0.95076400679117146"/>
    <d v="2024-04-09T00:00:00"/>
    <d v="2024-04-04T00:00:00"/>
    <x v="263"/>
    <s v="78884 Union Street"/>
    <n v="42"/>
    <n v="53"/>
    <x v="2"/>
    <n v="280"/>
    <x v="2"/>
    <x v="0"/>
  </r>
  <r>
    <x v="264"/>
    <x v="30"/>
    <x v="2"/>
    <s v="89-159-0852"/>
    <x v="172"/>
    <x v="10"/>
    <n v="425"/>
    <n v="90"/>
    <n v="16"/>
    <x v="16"/>
    <n v="5.3125"/>
    <n v="5"/>
    <n v="1.4431239388794568"/>
    <s v="5/25/2024"/>
    <d v="2024-03-06T00:00:00"/>
    <x v="264"/>
    <s v="736 Redwing Parkway"/>
    <n v="61"/>
    <n v="80"/>
    <x v="2"/>
    <n v="425"/>
    <x v="2"/>
    <x v="1"/>
  </r>
  <r>
    <x v="265"/>
    <x v="30"/>
    <x v="2"/>
    <s v="46-830-4835"/>
    <x v="173"/>
    <x v="87"/>
    <n v="160"/>
    <n v="27"/>
    <n v="26"/>
    <x v="217"/>
    <n v="1.2307692307692308"/>
    <n v="5"/>
    <n v="0.54329371816638372"/>
    <s v="5/30/2024"/>
    <s v="11/20/2024"/>
    <x v="265"/>
    <s v="25923 Loeprich Junction"/>
    <n v="38"/>
    <n v="79"/>
    <x v="2"/>
    <n v="160"/>
    <x v="1"/>
    <x v="1"/>
  </r>
  <r>
    <x v="266"/>
    <x v="31"/>
    <x v="4"/>
    <s v="16-776-9987"/>
    <x v="143"/>
    <x v="67"/>
    <n v="165"/>
    <n v="78"/>
    <n v="79"/>
    <x v="218"/>
    <n v="0.41772151898734178"/>
    <n v="5"/>
    <n v="0.56027164685908315"/>
    <d v="2024-05-11T00:00:00"/>
    <d v="2024-11-07T00:00:00"/>
    <x v="266"/>
    <s v="95 Packers Lane"/>
    <n v="60"/>
    <n v="25"/>
    <x v="0"/>
    <n v="165"/>
    <x v="0"/>
    <x v="0"/>
  </r>
  <r>
    <x v="267"/>
    <x v="31"/>
    <x v="4"/>
    <s v="16-474-4516"/>
    <x v="174"/>
    <x v="1"/>
    <n v="270"/>
    <n v="86"/>
    <n v="69"/>
    <x v="221"/>
    <n v="0.78260869565217395"/>
    <n v="5"/>
    <n v="0.91680814940577249"/>
    <s v="11/26/2024"/>
    <s v="8/15/2024"/>
    <x v="267"/>
    <s v="08896 Evergreen Avenue"/>
    <n v="29"/>
    <n v="8"/>
    <x v="0"/>
    <n v="270"/>
    <x v="0"/>
    <x v="1"/>
  </r>
  <r>
    <x v="268"/>
    <x v="31"/>
    <x v="4"/>
    <s v="32-386-9832"/>
    <x v="126"/>
    <x v="30"/>
    <n v="450"/>
    <n v="75"/>
    <n v="6"/>
    <x v="222"/>
    <n v="15"/>
    <n v="5"/>
    <n v="1.5280135823429541"/>
    <d v="2024-06-07T00:00:00"/>
    <d v="2025-01-01T00:00:00"/>
    <x v="268"/>
    <s v="093 Anhalt Crossing"/>
    <n v="55"/>
    <n v="64"/>
    <x v="1"/>
    <n v="450"/>
    <x v="1"/>
    <x v="1"/>
  </r>
  <r>
    <x v="269"/>
    <x v="31"/>
    <x v="4"/>
    <s v="15-655-3923"/>
    <x v="106"/>
    <x v="29"/>
    <n v="445"/>
    <n v="79"/>
    <n v="66"/>
    <x v="223"/>
    <n v="1.3484848484848484"/>
    <n v="5"/>
    <n v="1.5110356536502547"/>
    <s v="7/31/2024"/>
    <s v="12/20/2024"/>
    <x v="269"/>
    <s v="1275 Lawn Center"/>
    <n v="91"/>
    <n v="31"/>
    <x v="0"/>
    <n v="445"/>
    <x v="0"/>
    <x v="1"/>
  </r>
  <r>
    <x v="270"/>
    <x v="32"/>
    <x v="0"/>
    <s v="90-175-7764"/>
    <x v="109"/>
    <x v="43"/>
    <n v="100"/>
    <n v="51"/>
    <n v="21"/>
    <x v="224"/>
    <n v="0.95238095238095233"/>
    <n v="5"/>
    <n v="0.3395585738539898"/>
    <s v="3/19/2024"/>
    <s v="7/28/2024"/>
    <x v="270"/>
    <s v="911 Ridgeway Way"/>
    <n v="71"/>
    <n v="26"/>
    <x v="2"/>
    <n v="100"/>
    <x v="2"/>
    <x v="0"/>
  </r>
  <r>
    <x v="271"/>
    <x v="32"/>
    <x v="0"/>
    <s v="23-109-2205"/>
    <x v="175"/>
    <x v="19"/>
    <n v="255"/>
    <n v="55"/>
    <n v="76"/>
    <x v="106"/>
    <n v="0.67105263157894735"/>
    <n v="5"/>
    <n v="0.86587436332767409"/>
    <s v="2/19/2025"/>
    <s v="9/26/2024"/>
    <x v="271"/>
    <s v="2582 Autumn Leaf Park"/>
    <n v="21"/>
    <n v="13"/>
    <x v="0"/>
    <n v="255"/>
    <x v="0"/>
    <x v="0"/>
  </r>
  <r>
    <x v="272"/>
    <x v="32"/>
    <x v="0"/>
    <s v="89-468-2696"/>
    <x v="176"/>
    <x v="64"/>
    <n v="245"/>
    <n v="59"/>
    <n v="73"/>
    <x v="56"/>
    <n v="0.67123287671232879"/>
    <n v="5"/>
    <n v="0.83191850594227501"/>
    <s v="4/18/2024"/>
    <d v="2024-06-04T00:00:00"/>
    <x v="272"/>
    <s v="08492 Gateway Terrace"/>
    <n v="93"/>
    <n v="45"/>
    <x v="0"/>
    <n v="245"/>
    <x v="0"/>
    <x v="0"/>
  </r>
  <r>
    <x v="273"/>
    <x v="32"/>
    <x v="0"/>
    <s v="23-274-3305"/>
    <x v="177"/>
    <x v="25"/>
    <n v="85"/>
    <n v="85"/>
    <n v="74"/>
    <x v="31"/>
    <n v="0.22972972972972974"/>
    <n v="5"/>
    <n v="0.28862478777589134"/>
    <d v="2024-01-05T00:00:00"/>
    <s v="1/29/2025"/>
    <x v="273"/>
    <s v="38583 2nd Pass"/>
    <n v="76"/>
    <n v="89"/>
    <x v="1"/>
    <n v="85"/>
    <x v="2"/>
    <x v="1"/>
  </r>
  <r>
    <x v="274"/>
    <x v="32"/>
    <x v="0"/>
    <s v="48-700-8059"/>
    <x v="41"/>
    <x v="83"/>
    <n v="455"/>
    <n v="39"/>
    <n v="48"/>
    <x v="216"/>
    <n v="1.8958333333333333"/>
    <n v="5"/>
    <n v="1.5449915110356538"/>
    <s v="3/31/2024"/>
    <s v="12/21/2024"/>
    <x v="274"/>
    <s v="9262 Sullivan Crossing"/>
    <n v="48"/>
    <n v="18"/>
    <x v="1"/>
    <n v="455"/>
    <x v="1"/>
    <x v="1"/>
  </r>
  <r>
    <x v="275"/>
    <x v="33"/>
    <x v="1"/>
    <s v="34-850-0377"/>
    <x v="178"/>
    <x v="40"/>
    <n v="184"/>
    <n v="42"/>
    <n v="87"/>
    <x v="225"/>
    <n v="0.26436781609195403"/>
    <n v="8"/>
    <n v="0.39049235993208831"/>
    <d v="2025-01-02T00:00:00"/>
    <s v="7/15/2024"/>
    <x v="275"/>
    <s v="29992 Warrior Center"/>
    <n v="63"/>
    <n v="5"/>
    <x v="2"/>
    <n v="184"/>
    <x v="2"/>
    <x v="0"/>
  </r>
  <r>
    <x v="276"/>
    <x v="33"/>
    <x v="1"/>
    <s v="95-878-1614"/>
    <x v="179"/>
    <x v="78"/>
    <n v="248"/>
    <n v="87"/>
    <n v="19"/>
    <x v="226"/>
    <n v="1.631578947368421"/>
    <n v="8"/>
    <n v="0.52631578947368418"/>
    <s v="5/23/2024"/>
    <s v="7/13/2024"/>
    <x v="276"/>
    <s v="01330 Sheridan Way"/>
    <n v="41"/>
    <n v="10"/>
    <x v="1"/>
    <n v="248"/>
    <x v="2"/>
    <x v="0"/>
  </r>
  <r>
    <x v="277"/>
    <x v="33"/>
    <x v="1"/>
    <s v="71-991-5737"/>
    <x v="180"/>
    <x v="45"/>
    <n v="448"/>
    <n v="50"/>
    <n v="80"/>
    <x v="227"/>
    <n v="0.7"/>
    <n v="8"/>
    <n v="0.95076400679117146"/>
    <s v="2/24/2025"/>
    <d v="2024-12-03T00:00:00"/>
    <x v="277"/>
    <s v="7369 Thackeray Drive"/>
    <n v="99"/>
    <n v="5"/>
    <x v="0"/>
    <n v="448"/>
    <x v="0"/>
    <x v="0"/>
  </r>
  <r>
    <x v="278"/>
    <x v="33"/>
    <x v="1"/>
    <s v="51-010-8144"/>
    <x v="116"/>
    <x v="86"/>
    <n v="128"/>
    <n v="20"/>
    <n v="45"/>
    <x v="15"/>
    <n v="0.35555555555555557"/>
    <n v="8"/>
    <n v="0.27164685908319186"/>
    <s v="4/30/2024"/>
    <s v="10/18/2024"/>
    <x v="278"/>
    <s v="7096 Mcguire Park"/>
    <n v="81"/>
    <n v="62"/>
    <x v="1"/>
    <n v="128"/>
    <x v="2"/>
    <x v="0"/>
  </r>
  <r>
    <x v="279"/>
    <x v="33"/>
    <x v="1"/>
    <s v="71-676-6562"/>
    <x v="181"/>
    <x v="41"/>
    <n v="520"/>
    <n v="79"/>
    <n v="52"/>
    <x v="228"/>
    <n v="1.25"/>
    <n v="8"/>
    <n v="1.1035653650254669"/>
    <d v="2024-12-05T00:00:00"/>
    <d v="2024-03-10T00:00:00"/>
    <x v="279"/>
    <s v="8531 Manley Court"/>
    <n v="56"/>
    <n v="94"/>
    <x v="0"/>
    <n v="520"/>
    <x v="0"/>
    <x v="0"/>
  </r>
  <r>
    <x v="280"/>
    <x v="33"/>
    <x v="1"/>
    <s v="25-790-1641"/>
    <x v="182"/>
    <x v="88"/>
    <n v="576"/>
    <n v="29"/>
    <n v="10"/>
    <x v="16"/>
    <n v="7.2"/>
    <n v="8"/>
    <n v="1.2224108658743633"/>
    <d v="2024-06-03T00:00:00"/>
    <d v="2024-07-04T00:00:00"/>
    <x v="280"/>
    <s v="46 Colorado Place"/>
    <n v="54"/>
    <n v="38"/>
    <x v="0"/>
    <n v="576"/>
    <x v="0"/>
    <x v="1"/>
  </r>
  <r>
    <x v="281"/>
    <x v="33"/>
    <x v="1"/>
    <s v="69-416-9493"/>
    <x v="140"/>
    <x v="62"/>
    <n v="768"/>
    <n v="12"/>
    <n v="8"/>
    <x v="229"/>
    <n v="12"/>
    <n v="8"/>
    <n v="1.6298811544991512"/>
    <d v="2024-11-05T00:00:00"/>
    <s v="5/24/2024"/>
    <x v="281"/>
    <s v="0 Village Green Street"/>
    <n v="97"/>
    <n v="92"/>
    <x v="1"/>
    <n v="768"/>
    <x v="1"/>
    <x v="1"/>
  </r>
  <r>
    <x v="282"/>
    <x v="34"/>
    <x v="4"/>
    <s v="04-391-7610"/>
    <x v="183"/>
    <x v="62"/>
    <n v="240"/>
    <n v="52"/>
    <n v="16"/>
    <x v="36"/>
    <n v="6"/>
    <n v="2.5"/>
    <n v="1.6298811544991512"/>
    <s v="3/18/2024"/>
    <d v="2024-07-05T00:00:00"/>
    <x v="282"/>
    <s v="12 Truax Court"/>
    <n v="67"/>
    <n v="13"/>
    <x v="1"/>
    <n v="240"/>
    <x v="1"/>
    <x v="0"/>
  </r>
  <r>
    <x v="283"/>
    <x v="34"/>
    <x v="4"/>
    <s v="34-726-5887"/>
    <x v="141"/>
    <x v="43"/>
    <n v="50"/>
    <n v="55"/>
    <n v="15"/>
    <x v="147"/>
    <n v="1.3333333333333333"/>
    <n v="2.5"/>
    <n v="0.3395585738539898"/>
    <d v="2024-09-12T00:00:00"/>
    <d v="2024-12-04T00:00:00"/>
    <x v="283"/>
    <s v="7 Gateway Center"/>
    <n v="86"/>
    <n v="61"/>
    <x v="2"/>
    <n v="50"/>
    <x v="2"/>
    <x v="0"/>
  </r>
  <r>
    <x v="284"/>
    <x v="34"/>
    <x v="4"/>
    <s v="62-599-8388"/>
    <x v="184"/>
    <x v="63"/>
    <n v="175"/>
    <n v="96"/>
    <n v="85"/>
    <x v="230"/>
    <n v="0.82352941176470584"/>
    <n v="2.5"/>
    <n v="1.1884550084889645"/>
    <s v="2/26/2024"/>
    <d v="2024-03-09T00:00:00"/>
    <x v="284"/>
    <s v="32468 Utah Pass"/>
    <n v="34"/>
    <n v="3"/>
    <x v="1"/>
    <n v="175"/>
    <x v="2"/>
    <x v="1"/>
  </r>
  <r>
    <x v="285"/>
    <x v="34"/>
    <x v="4"/>
    <s v="37-630-2250"/>
    <x v="185"/>
    <x v="25"/>
    <n v="42.5"/>
    <n v="63"/>
    <n v="66"/>
    <x v="231"/>
    <n v="0.25757575757575757"/>
    <n v="2.5"/>
    <n v="0.28862478777589134"/>
    <s v="1/25/2025"/>
    <s v="1/24/2025"/>
    <x v="285"/>
    <s v="931 Browning Center"/>
    <n v="23"/>
    <n v="46"/>
    <x v="2"/>
    <n v="42.5"/>
    <x v="2"/>
    <x v="1"/>
  </r>
  <r>
    <x v="286"/>
    <x v="34"/>
    <x v="4"/>
    <s v="51-054-1226"/>
    <x v="186"/>
    <x v="60"/>
    <n v="65"/>
    <n v="100"/>
    <n v="13"/>
    <x v="232"/>
    <n v="2"/>
    <n v="2.5"/>
    <n v="0.44142614601018676"/>
    <s v="11/23/2024"/>
    <s v="9/18/2024"/>
    <x v="286"/>
    <s v="92486 Laurel Alley"/>
    <n v="45"/>
    <n v="45"/>
    <x v="0"/>
    <n v="65"/>
    <x v="0"/>
    <x v="1"/>
  </r>
  <r>
    <x v="287"/>
    <x v="34"/>
    <x v="4"/>
    <s v="88-020-6814"/>
    <x v="186"/>
    <x v="87"/>
    <n v="80"/>
    <n v="38"/>
    <n v="23"/>
    <x v="233"/>
    <n v="1.3913043478260869"/>
    <n v="2.5"/>
    <n v="0.54329371816638372"/>
    <s v="6/16/2024"/>
    <s v="5/29/2024"/>
    <x v="287"/>
    <s v="7 Anzinger Lane"/>
    <n v="52"/>
    <n v="11"/>
    <x v="0"/>
    <n v="80"/>
    <x v="0"/>
    <x v="1"/>
  </r>
  <r>
    <x v="288"/>
    <x v="34"/>
    <x v="4"/>
    <s v="28-314-1189"/>
    <x v="91"/>
    <x v="4"/>
    <n v="187.5"/>
    <n v="23"/>
    <n v="34"/>
    <x v="108"/>
    <n v="2.2058823529411766"/>
    <n v="2.5"/>
    <n v="1.2733446519524618"/>
    <s v="6/22/2024"/>
    <d v="2024-04-09T00:00:00"/>
    <x v="288"/>
    <s v="32 Charing Cross Pass"/>
    <n v="100"/>
    <n v="54"/>
    <x v="2"/>
    <n v="187.5"/>
    <x v="1"/>
    <x v="1"/>
  </r>
  <r>
    <x v="289"/>
    <x v="34"/>
    <x v="4"/>
    <s v="85-978-7855"/>
    <x v="178"/>
    <x v="73"/>
    <n v="70"/>
    <n v="32"/>
    <n v="71"/>
    <x v="234"/>
    <n v="0.39436619718309857"/>
    <n v="2.5"/>
    <n v="0.47538200339558573"/>
    <s v="12/22/2024"/>
    <d v="2024-02-05T00:00:00"/>
    <x v="289"/>
    <s v="82 Hintze Court"/>
    <n v="32"/>
    <n v="49"/>
    <x v="0"/>
    <n v="70"/>
    <x v="0"/>
    <x v="1"/>
  </r>
  <r>
    <x v="290"/>
    <x v="34"/>
    <x v="4"/>
    <s v="91-002-3027"/>
    <x v="14"/>
    <x v="2"/>
    <n v="125"/>
    <n v="40"/>
    <n v="69"/>
    <x v="181"/>
    <n v="0.72463768115942029"/>
    <n v="2.5"/>
    <n v="0.84889643463497455"/>
    <s v="6/30/2024"/>
    <s v="3/31/2024"/>
    <x v="290"/>
    <s v="5 Mesta Center"/>
    <n v="28"/>
    <n v="98"/>
    <x v="1"/>
    <n v="125"/>
    <x v="1"/>
    <x v="1"/>
  </r>
  <r>
    <x v="291"/>
    <x v="35"/>
    <x v="5"/>
    <s v="89-155-3471"/>
    <x v="187"/>
    <x v="6"/>
    <n v="185"/>
    <n v="5"/>
    <n v="1"/>
    <x v="235"/>
    <n v="37"/>
    <n v="5"/>
    <n v="0.6281833616298812"/>
    <d v="2025-02-01T00:00:00"/>
    <s v="2/26/2024"/>
    <x v="291"/>
    <s v="46 Hoffman Trail"/>
    <n v="68"/>
    <n v="99"/>
    <x v="1"/>
    <n v="185"/>
    <x v="1"/>
    <x v="0"/>
  </r>
  <r>
    <x v="292"/>
    <x v="35"/>
    <x v="5"/>
    <s v="42-254-7371"/>
    <x v="188"/>
    <x v="29"/>
    <n v="445"/>
    <n v="42"/>
    <n v="76"/>
    <x v="106"/>
    <n v="1.1710526315789473"/>
    <n v="5"/>
    <n v="1.5110356536502547"/>
    <s v="12/15/2024"/>
    <s v="11/30/2024"/>
    <x v="292"/>
    <s v="163 Esch Pass"/>
    <n v="94"/>
    <n v="81"/>
    <x v="2"/>
    <n v="445"/>
    <x v="1"/>
    <x v="0"/>
  </r>
  <r>
    <x v="293"/>
    <x v="35"/>
    <x v="5"/>
    <s v="74-119-5491"/>
    <x v="41"/>
    <x v="84"/>
    <n v="335"/>
    <n v="98"/>
    <n v="92"/>
    <x v="58"/>
    <n v="0.72826086956521741"/>
    <n v="5"/>
    <n v="1.137521222410866"/>
    <s v="4/22/2024"/>
    <s v="8/31/2024"/>
    <x v="293"/>
    <s v="43 Heath Street"/>
    <n v="35"/>
    <n v="98"/>
    <x v="2"/>
    <n v="335"/>
    <x v="2"/>
    <x v="0"/>
  </r>
  <r>
    <x v="294"/>
    <x v="35"/>
    <x v="5"/>
    <s v="65-403-0311"/>
    <x v="34"/>
    <x v="47"/>
    <n v="326.39999999999998"/>
    <n v="82"/>
    <n v="58"/>
    <x v="236"/>
    <n v="1.1724137931034482"/>
    <n v="4.8"/>
    <n v="1.1544991511035654"/>
    <d v="2024-08-04T00:00:00"/>
    <s v="8/24/2024"/>
    <x v="294"/>
    <s v="6172 Hovde Circle"/>
    <n v="90"/>
    <n v="2"/>
    <x v="2"/>
    <n v="326.39999999999998"/>
    <x v="2"/>
    <x v="1"/>
  </r>
  <r>
    <x v="295"/>
    <x v="36"/>
    <x v="5"/>
    <s v="33-818-4917"/>
    <x v="120"/>
    <x v="48"/>
    <n v="230"/>
    <n v="52"/>
    <n v="80"/>
    <x v="14"/>
    <n v="1.1499999999999999"/>
    <n v="2.5"/>
    <n v="1.5619694397283532"/>
    <d v="2024-03-06T00:00:00"/>
    <s v="10/22/2024"/>
    <x v="295"/>
    <s v="74997 Katie Terrace"/>
    <n v="72"/>
    <n v="96"/>
    <x v="0"/>
    <n v="230"/>
    <x v="0"/>
    <x v="0"/>
  </r>
  <r>
    <x v="296"/>
    <x v="36"/>
    <x v="5"/>
    <s v="22-946-8052"/>
    <x v="134"/>
    <x v="85"/>
    <n v="72.5"/>
    <n v="32"/>
    <n v="26"/>
    <x v="193"/>
    <n v="1.1153846153846154"/>
    <n v="2.5"/>
    <n v="0.49235993208828527"/>
    <s v="9/21/2024"/>
    <s v="6/15/2024"/>
    <x v="296"/>
    <s v="44 Kensington Road"/>
    <n v="64"/>
    <n v="85"/>
    <x v="0"/>
    <n v="72.5"/>
    <x v="0"/>
    <x v="0"/>
  </r>
  <r>
    <x v="297"/>
    <x v="36"/>
    <x v="5"/>
    <s v="96-609-6152"/>
    <x v="8"/>
    <x v="50"/>
    <n v="45"/>
    <n v="14"/>
    <n v="77"/>
    <x v="148"/>
    <n v="0.23376623376623376"/>
    <n v="2.5"/>
    <n v="0.30560271646859083"/>
    <d v="2025-05-01T00:00:00"/>
    <d v="2024-12-05T00:00:00"/>
    <x v="297"/>
    <s v="5 Forster Point"/>
    <n v="78"/>
    <n v="4"/>
    <x v="2"/>
    <n v="45"/>
    <x v="1"/>
    <x v="0"/>
  </r>
  <r>
    <x v="298"/>
    <x v="36"/>
    <x v="5"/>
    <s v="62-766-8232"/>
    <x v="189"/>
    <x v="57"/>
    <n v="196.79999999999998"/>
    <n v="3"/>
    <n v="82"/>
    <x v="237"/>
    <n v="1"/>
    <n v="2.4"/>
    <n v="1.3921901528013583"/>
    <d v="2024-03-10T00:00:00"/>
    <d v="2024-10-12T00:00:00"/>
    <x v="298"/>
    <s v="09189 2nd Drive"/>
    <n v="48"/>
    <n v="31"/>
    <x v="1"/>
    <n v="196.79999999999998"/>
    <x v="1"/>
    <x v="1"/>
  </r>
  <r>
    <x v="299"/>
    <x v="36"/>
    <x v="5"/>
    <s v="66-883-2383"/>
    <x v="109"/>
    <x v="34"/>
    <n v="49.35"/>
    <n v="24"/>
    <n v="2"/>
    <x v="238"/>
    <n v="10.5"/>
    <n v="2.35"/>
    <n v="0.35653650254668934"/>
    <d v="2024-05-04T00:00:00"/>
    <d v="2024-11-09T00:00:00"/>
    <x v="299"/>
    <s v="1 Lillian Plaza"/>
    <n v="87"/>
    <n v="36"/>
    <x v="2"/>
    <n v="49.35"/>
    <x v="2"/>
    <x v="1"/>
  </r>
  <r>
    <x v="300"/>
    <x v="36"/>
    <x v="5"/>
    <s v="37-996-3243"/>
    <x v="190"/>
    <x v="33"/>
    <n v="155"/>
    <n v="91"/>
    <n v="14"/>
    <x v="2"/>
    <n v="4.4285714285714288"/>
    <n v="2.5"/>
    <n v="1.0526315789473684"/>
    <s v="9/21/2024"/>
    <s v="5/31/2024"/>
    <x v="300"/>
    <s v="668 Claremont Place"/>
    <n v="41"/>
    <n v="77"/>
    <x v="0"/>
    <n v="155"/>
    <x v="0"/>
    <x v="1"/>
  </r>
  <r>
    <x v="301"/>
    <x v="37"/>
    <x v="2"/>
    <s v="79-915-4185"/>
    <x v="3"/>
    <x v="71"/>
    <n v="33.25"/>
    <n v="36"/>
    <n v="72"/>
    <x v="239"/>
    <n v="0.2638888888888889"/>
    <n v="1.75"/>
    <n v="0.32258064516129031"/>
    <d v="2024-03-05T00:00:00"/>
    <s v="3/28/2024"/>
    <x v="301"/>
    <s v="157 David Center"/>
    <n v="31"/>
    <n v="81"/>
    <x v="2"/>
    <n v="33.25"/>
    <x v="2"/>
    <x v="0"/>
  </r>
  <r>
    <x v="302"/>
    <x v="37"/>
    <x v="2"/>
    <s v="15-852-0491"/>
    <x v="162"/>
    <x v="3"/>
    <n v="23.400000000000002"/>
    <n v="60"/>
    <n v="100"/>
    <x v="71"/>
    <n v="0.13"/>
    <n v="1.8"/>
    <n v="0.22071307300509338"/>
    <s v="7/18/2024"/>
    <s v="1/16/2025"/>
    <x v="302"/>
    <s v="22 Dexter Trail"/>
    <n v="44"/>
    <n v="32"/>
    <x v="2"/>
    <n v="23.400000000000002"/>
    <x v="2"/>
    <x v="0"/>
  </r>
  <r>
    <x v="303"/>
    <x v="37"/>
    <x v="2"/>
    <s v="06-708-1412"/>
    <x v="191"/>
    <x v="10"/>
    <n v="153"/>
    <n v="33"/>
    <n v="50"/>
    <x v="61"/>
    <n v="1.7"/>
    <n v="1.8"/>
    <n v="1.4431239388794568"/>
    <d v="2024-06-03T00:00:00"/>
    <s v="7/15/2024"/>
    <x v="303"/>
    <s v="61707 Mariners Cove Park"/>
    <n v="64"/>
    <n v="38"/>
    <x v="0"/>
    <n v="153"/>
    <x v="0"/>
    <x v="0"/>
  </r>
  <r>
    <x v="304"/>
    <x v="37"/>
    <x v="2"/>
    <s v="26-593-3478"/>
    <x v="192"/>
    <x v="78"/>
    <n v="55.800000000000004"/>
    <n v="98"/>
    <n v="72"/>
    <x v="161"/>
    <n v="0.43055555555555558"/>
    <n v="1.8"/>
    <n v="0.52631578947368418"/>
    <s v="8/26/2024"/>
    <d v="2024-07-10T00:00:00"/>
    <x v="304"/>
    <s v="2 Basil Street"/>
    <n v="91"/>
    <n v="29"/>
    <x v="1"/>
    <n v="55.800000000000004"/>
    <x v="2"/>
    <x v="0"/>
  </r>
  <r>
    <x v="305"/>
    <x v="37"/>
    <x v="2"/>
    <s v="45-886-1540"/>
    <x v="193"/>
    <x v="79"/>
    <n v="82.25"/>
    <n v="20"/>
    <n v="65"/>
    <x v="240"/>
    <n v="0.72307692307692306"/>
    <n v="1.75"/>
    <n v="0.79796264855687604"/>
    <s v="1/19/2025"/>
    <d v="2025-12-01T00:00:00"/>
    <x v="305"/>
    <s v="6 Stang Hill"/>
    <n v="49"/>
    <n v="19"/>
    <x v="2"/>
    <n v="82.25"/>
    <x v="1"/>
    <x v="0"/>
  </r>
  <r>
    <x v="306"/>
    <x v="37"/>
    <x v="2"/>
    <s v="44-429-6199"/>
    <x v="194"/>
    <x v="5"/>
    <n v="136.80000000000001"/>
    <n v="11"/>
    <n v="15"/>
    <x v="123"/>
    <n v="5.0666666666666664"/>
    <n v="1.8"/>
    <n v="1.2903225806451613"/>
    <s v="10/20/2024"/>
    <s v="5/25/2024"/>
    <x v="306"/>
    <s v="83 Pleasure Street"/>
    <n v="22"/>
    <n v="91"/>
    <x v="1"/>
    <n v="136.80000000000001"/>
    <x v="1"/>
    <x v="0"/>
  </r>
  <r>
    <x v="307"/>
    <x v="37"/>
    <x v="2"/>
    <s v="02-575-2074"/>
    <x v="54"/>
    <x v="73"/>
    <n v="50.4"/>
    <n v="5"/>
    <n v="9"/>
    <x v="241"/>
    <n v="3.1111111111111112"/>
    <n v="1.8"/>
    <n v="0.47538200339558573"/>
    <s v="1/16/2025"/>
    <s v="1/16/2025"/>
    <x v="307"/>
    <s v="98 Melody Street"/>
    <n v="33"/>
    <n v="9"/>
    <x v="0"/>
    <n v="50.4"/>
    <x v="0"/>
    <x v="1"/>
  </r>
  <r>
    <x v="308"/>
    <x v="37"/>
    <x v="2"/>
    <s v="14-108-0409"/>
    <x v="49"/>
    <x v="11"/>
    <n v="21"/>
    <n v="93"/>
    <n v="29"/>
    <x v="242"/>
    <n v="0.41379310344827586"/>
    <n v="1.75"/>
    <n v="0.2037351443123939"/>
    <s v="2/20/2025"/>
    <d v="2024-06-12T00:00:00"/>
    <x v="308"/>
    <s v="546 Declaration Place"/>
    <n v="45"/>
    <n v="12"/>
    <x v="2"/>
    <n v="21"/>
    <x v="2"/>
    <x v="1"/>
  </r>
  <r>
    <x v="309"/>
    <x v="37"/>
    <x v="2"/>
    <s v="87-032-6971"/>
    <x v="67"/>
    <x v="84"/>
    <n v="120.60000000000001"/>
    <n v="14"/>
    <n v="25"/>
    <x v="131"/>
    <n v="2.68"/>
    <n v="1.8"/>
    <n v="1.137521222410866"/>
    <d v="2024-02-05T00:00:00"/>
    <s v="8/20/2024"/>
    <x v="309"/>
    <s v="38 Killdeer Point"/>
    <n v="81"/>
    <n v="77"/>
    <x v="1"/>
    <n v="120.60000000000001"/>
    <x v="1"/>
    <x v="1"/>
  </r>
  <r>
    <x v="310"/>
    <x v="37"/>
    <x v="2"/>
    <s v="83-401-2709"/>
    <x v="185"/>
    <x v="27"/>
    <n v="68.400000000000006"/>
    <n v="94"/>
    <n v="87"/>
    <x v="243"/>
    <n v="0.43678160919540232"/>
    <n v="1.8"/>
    <n v="0.64516129032258063"/>
    <s v="5/27/2024"/>
    <d v="2024-03-05T00:00:00"/>
    <x v="310"/>
    <s v="43211 Lakeland Place"/>
    <n v="89"/>
    <n v="100"/>
    <x v="0"/>
    <n v="68.400000000000006"/>
    <x v="0"/>
    <x v="1"/>
  </r>
  <r>
    <x v="311"/>
    <x v="37"/>
    <x v="2"/>
    <s v="01-853-2191"/>
    <x v="88"/>
    <x v="14"/>
    <n v="108"/>
    <n v="63"/>
    <n v="81"/>
    <x v="244"/>
    <n v="0.7407407407407407"/>
    <n v="1.8"/>
    <n v="1.0186757215619695"/>
    <s v="1/26/2025"/>
    <d v="2024-03-10T00:00:00"/>
    <x v="311"/>
    <s v="0847 Artisan Hill"/>
    <n v="74"/>
    <n v="31"/>
    <x v="1"/>
    <n v="108"/>
    <x v="2"/>
    <x v="1"/>
  </r>
  <r>
    <x v="312"/>
    <x v="38"/>
    <x v="6"/>
    <s v="61-604-8116"/>
    <x v="92"/>
    <x v="35"/>
    <n v="388"/>
    <n v="99"/>
    <n v="96"/>
    <x v="245"/>
    <n v="1.0104166666666667"/>
    <n v="4"/>
    <n v="1.6468590831918506"/>
    <s v="4/25/2024"/>
    <s v="1/22/2025"/>
    <x v="312"/>
    <s v="66 Raven Pass"/>
    <n v="57"/>
    <n v="42"/>
    <x v="2"/>
    <n v="388"/>
    <x v="2"/>
    <x v="0"/>
  </r>
  <r>
    <x v="313"/>
    <x v="38"/>
    <x v="6"/>
    <s v="12-264-4503"/>
    <x v="149"/>
    <x v="58"/>
    <n v="156"/>
    <n v="16"/>
    <n v="57"/>
    <x v="246"/>
    <n v="0.68421052631578949"/>
    <n v="4"/>
    <n v="0.66213921901528017"/>
    <s v="12/21/2024"/>
    <d v="2024-09-04T00:00:00"/>
    <x v="313"/>
    <s v="7407 Farragut Pass"/>
    <n v="98"/>
    <n v="12"/>
    <x v="1"/>
    <n v="156"/>
    <x v="1"/>
    <x v="0"/>
  </r>
  <r>
    <x v="314"/>
    <x v="38"/>
    <x v="6"/>
    <s v="20-426-2191"/>
    <x v="195"/>
    <x v="30"/>
    <n v="360"/>
    <n v="52"/>
    <n v="50"/>
    <x v="14"/>
    <n v="1.8"/>
    <n v="4"/>
    <n v="1.5280135823429541"/>
    <s v="6/29/2024"/>
    <s v="4/15/2024"/>
    <x v="314"/>
    <s v="99 Fair Oaks Circle"/>
    <n v="63"/>
    <n v="14"/>
    <x v="0"/>
    <n v="360"/>
    <x v="0"/>
    <x v="0"/>
  </r>
  <r>
    <x v="315"/>
    <x v="38"/>
    <x v="6"/>
    <s v="91-589-9007"/>
    <x v="98"/>
    <x v="9"/>
    <n v="308"/>
    <n v="79"/>
    <n v="65"/>
    <x v="34"/>
    <n v="1.1846153846153846"/>
    <n v="4"/>
    <n v="1.3073005093378609"/>
    <d v="2024-01-09T00:00:00"/>
    <s v="3/17/2024"/>
    <x v="315"/>
    <s v="2 Carioca Crossing"/>
    <n v="62"/>
    <n v="75"/>
    <x v="2"/>
    <n v="308"/>
    <x v="2"/>
    <x v="0"/>
  </r>
  <r>
    <x v="316"/>
    <x v="38"/>
    <x v="6"/>
    <s v="78-024-3286"/>
    <x v="67"/>
    <x v="27"/>
    <n v="152"/>
    <n v="43"/>
    <n v="91"/>
    <x v="247"/>
    <n v="0.4175824175824176"/>
    <n v="4"/>
    <n v="0.64516129032258063"/>
    <s v="4/20/2024"/>
    <s v="8/18/2024"/>
    <x v="316"/>
    <s v="83894 Delaware Plaza"/>
    <n v="72"/>
    <n v="64"/>
    <x v="1"/>
    <n v="152"/>
    <x v="2"/>
    <x v="1"/>
  </r>
  <r>
    <x v="317"/>
    <x v="38"/>
    <x v="6"/>
    <s v="39-284-1614"/>
    <x v="4"/>
    <x v="46"/>
    <n v="136"/>
    <n v="49"/>
    <n v="27"/>
    <x v="248"/>
    <n v="1.2592592592592593"/>
    <n v="4"/>
    <n v="0.57724957555178269"/>
    <d v="2024-09-03T00:00:00"/>
    <s v="11/24/2024"/>
    <x v="317"/>
    <s v="983 Sommers Circle"/>
    <n v="78"/>
    <n v="20"/>
    <x v="0"/>
    <n v="136"/>
    <x v="0"/>
    <x v="1"/>
  </r>
  <r>
    <x v="318"/>
    <x v="38"/>
    <x v="6"/>
    <s v="12-140-7809"/>
    <x v="15"/>
    <x v="66"/>
    <n v="244"/>
    <n v="8"/>
    <n v="45"/>
    <x v="71"/>
    <n v="1.3555555555555556"/>
    <n v="4"/>
    <n v="1.0356536502546689"/>
    <s v="6/20/2024"/>
    <s v="9/27/2024"/>
    <x v="318"/>
    <s v="30590 Bowman Alley"/>
    <n v="73"/>
    <n v="64"/>
    <x v="0"/>
    <n v="244"/>
    <x v="0"/>
    <x v="1"/>
  </r>
  <r>
    <x v="319"/>
    <x v="38"/>
    <x v="6"/>
    <s v="90-998-1236"/>
    <x v="196"/>
    <x v="68"/>
    <n v="160"/>
    <n v="91"/>
    <n v="24"/>
    <x v="59"/>
    <n v="1.6666666666666667"/>
    <n v="4"/>
    <n v="0.6791171477079796"/>
    <s v="7/29/2024"/>
    <d v="2024-12-12T00:00:00"/>
    <x v="319"/>
    <s v="4247 David Crossing"/>
    <n v="28"/>
    <n v="47"/>
    <x v="0"/>
    <n v="160"/>
    <x v="0"/>
    <x v="1"/>
  </r>
  <r>
    <x v="320"/>
    <x v="38"/>
    <x v="6"/>
    <s v="95-609-1485"/>
    <x v="13"/>
    <x v="85"/>
    <n v="116"/>
    <n v="2"/>
    <n v="84"/>
    <x v="249"/>
    <n v="0.34523809523809523"/>
    <n v="4"/>
    <n v="0.49235993208828527"/>
    <s v="3/21/2024"/>
    <s v="4/19/2024"/>
    <x v="320"/>
    <s v="9821 Novick Hill"/>
    <n v="80"/>
    <n v="85"/>
    <x v="2"/>
    <n v="116"/>
    <x v="1"/>
    <x v="1"/>
  </r>
  <r>
    <x v="321"/>
    <x v="38"/>
    <x v="6"/>
    <s v="43-679-7350"/>
    <x v="138"/>
    <x v="88"/>
    <n v="288"/>
    <n v="78"/>
    <n v="1"/>
    <x v="172"/>
    <n v="72"/>
    <n v="4"/>
    <n v="1.2224108658743633"/>
    <d v="2024-10-11T00:00:00"/>
    <s v="3/28/2024"/>
    <x v="321"/>
    <s v="297 Petterle Way"/>
    <n v="85"/>
    <n v="30"/>
    <x v="0"/>
    <n v="288"/>
    <x v="0"/>
    <x v="1"/>
  </r>
  <r>
    <x v="322"/>
    <x v="39"/>
    <x v="5"/>
    <s v="18-260-7354"/>
    <x v="197"/>
    <x v="52"/>
    <n v="2"/>
    <n v="17"/>
    <n v="70"/>
    <x v="250"/>
    <n v="0.14285714285714285"/>
    <n v="0.2"/>
    <n v="0.1697792869269949"/>
    <s v="12/29/2024"/>
    <s v="12/23/2024"/>
    <x v="322"/>
    <s v="1 Jackson Pass"/>
    <n v="100"/>
    <n v="63"/>
    <x v="2"/>
    <n v="2"/>
    <x v="2"/>
    <x v="1"/>
  </r>
  <r>
    <x v="323"/>
    <x v="39"/>
    <x v="5"/>
    <s v="07-754-2313"/>
    <x v="176"/>
    <x v="37"/>
    <n v="4.4000000000000004"/>
    <n v="58"/>
    <n v="2"/>
    <x v="251"/>
    <n v="11"/>
    <n v="0.2"/>
    <n v="0.37351443123938882"/>
    <d v="2025-07-02T00:00:00"/>
    <s v="6/28/2024"/>
    <x v="323"/>
    <s v="20 Marcy Circle"/>
    <n v="33"/>
    <n v="68"/>
    <x v="1"/>
    <n v="4.4000000000000004"/>
    <x v="2"/>
    <x v="1"/>
  </r>
  <r>
    <x v="324"/>
    <x v="39"/>
    <x v="5"/>
    <s v="03-882-3517"/>
    <x v="198"/>
    <x v="63"/>
    <n v="14"/>
    <n v="29"/>
    <n v="24"/>
    <x v="252"/>
    <n v="2.9166666666666665"/>
    <n v="0.2"/>
    <n v="1.1884550084889645"/>
    <s v="3/31/2024"/>
    <s v="10/26/2024"/>
    <x v="324"/>
    <s v="97 Walton Avenue"/>
    <n v="62"/>
    <n v="55"/>
    <x v="2"/>
    <n v="14"/>
    <x v="1"/>
    <x v="1"/>
  </r>
  <r>
    <x v="325"/>
    <x v="39"/>
    <x v="5"/>
    <s v="00-487-2428"/>
    <x v="124"/>
    <x v="37"/>
    <n v="4.4000000000000004"/>
    <n v="19"/>
    <n v="4"/>
    <x v="253"/>
    <n v="5.5"/>
    <n v="0.2"/>
    <n v="0.37351443123938882"/>
    <s v="4/18/2024"/>
    <s v="3/17/2024"/>
    <x v="325"/>
    <s v="79878 Katie Trail"/>
    <n v="88"/>
    <n v="24"/>
    <x v="0"/>
    <n v="4.4000000000000004"/>
    <x v="0"/>
    <x v="1"/>
  </r>
  <r>
    <x v="326"/>
    <x v="39"/>
    <x v="5"/>
    <s v="51-215-2283"/>
    <x v="199"/>
    <x v="38"/>
    <n v="7.2"/>
    <n v="30"/>
    <n v="44"/>
    <x v="254"/>
    <n v="0.81818181818181823"/>
    <n v="0.2"/>
    <n v="0.61120543293718166"/>
    <d v="2024-11-04T00:00:00"/>
    <d v="2024-03-03T00:00:00"/>
    <x v="326"/>
    <s v="553 Hooker Trail"/>
    <n v="68"/>
    <n v="88"/>
    <x v="2"/>
    <n v="7.2"/>
    <x v="1"/>
    <x v="1"/>
  </r>
  <r>
    <x v="327"/>
    <x v="39"/>
    <x v="5"/>
    <s v="06-175-9657"/>
    <x v="200"/>
    <x v="77"/>
    <n v="12.600000000000001"/>
    <n v="62"/>
    <n v="18"/>
    <x v="255"/>
    <n v="3.5"/>
    <n v="0.2"/>
    <n v="1.069609507640068"/>
    <s v="4/17/2024"/>
    <d v="2024-02-04T00:00:00"/>
    <x v="327"/>
    <s v="588 Waywood Trail"/>
    <n v="67"/>
    <n v="17"/>
    <x v="1"/>
    <n v="12.600000000000001"/>
    <x v="1"/>
    <x v="1"/>
  </r>
  <r>
    <x v="328"/>
    <x v="39"/>
    <x v="5"/>
    <s v="97-571-0561"/>
    <x v="88"/>
    <x v="17"/>
    <n v="16.600000000000001"/>
    <n v="35"/>
    <n v="43"/>
    <x v="256"/>
    <n v="1.930232558139535"/>
    <n v="0.2"/>
    <n v="1.4091680814940577"/>
    <s v="8/14/2024"/>
    <s v="8/26/2024"/>
    <x v="328"/>
    <s v="739 Rowland Way"/>
    <n v="94"/>
    <n v="68"/>
    <x v="0"/>
    <n v="16.600000000000001"/>
    <x v="0"/>
    <x v="1"/>
  </r>
  <r>
    <x v="329"/>
    <x v="40"/>
    <x v="5"/>
    <s v="67-137-4215"/>
    <x v="157"/>
    <x v="23"/>
    <n v="43"/>
    <n v="10"/>
    <n v="15"/>
    <x v="145"/>
    <n v="2.8666666666666667"/>
    <n v="1"/>
    <n v="0.7300509337860781"/>
    <s v="11/18/2024"/>
    <s v="11/14/2024"/>
    <x v="329"/>
    <s v="55782 Welch Hill"/>
    <n v="27"/>
    <n v="69"/>
    <x v="1"/>
    <n v="43"/>
    <x v="1"/>
    <x v="0"/>
  </r>
  <r>
    <x v="330"/>
    <x v="40"/>
    <x v="5"/>
    <s v="77-175-2969"/>
    <x v="201"/>
    <x v="40"/>
    <n v="23"/>
    <n v="38"/>
    <n v="25"/>
    <x v="194"/>
    <n v="0.92"/>
    <n v="1"/>
    <n v="0.39049235993208831"/>
    <s v="5/13/2024"/>
    <s v="2/21/2025"/>
    <x v="330"/>
    <s v="329 Helena Park"/>
    <n v="84"/>
    <n v="78"/>
    <x v="0"/>
    <n v="23"/>
    <x v="0"/>
    <x v="0"/>
  </r>
  <r>
    <x v="331"/>
    <x v="40"/>
    <x v="5"/>
    <s v="45-471-5053"/>
    <x v="202"/>
    <x v="9"/>
    <n v="77"/>
    <n v="1"/>
    <n v="41"/>
    <x v="257"/>
    <n v="1.8780487804878048"/>
    <n v="1"/>
    <n v="1.3073005093378609"/>
    <d v="2024-05-11T00:00:00"/>
    <d v="2025-05-02T00:00:00"/>
    <x v="331"/>
    <s v="9 Clemons Hill"/>
    <n v="58"/>
    <n v="55"/>
    <x v="0"/>
    <n v="77"/>
    <x v="0"/>
    <x v="0"/>
  </r>
  <r>
    <x v="332"/>
    <x v="40"/>
    <x v="5"/>
    <s v="70-444-9176"/>
    <x v="203"/>
    <x v="18"/>
    <n v="44"/>
    <n v="75"/>
    <n v="72"/>
    <x v="53"/>
    <n v="0.61111111111111116"/>
    <n v="1"/>
    <n v="0.74702886247877764"/>
    <s v="12/14/2024"/>
    <s v="11/29/2024"/>
    <x v="332"/>
    <s v="35598 Fuller Terrace"/>
    <n v="96"/>
    <n v="38"/>
    <x v="0"/>
    <n v="44"/>
    <x v="0"/>
    <x v="0"/>
  </r>
  <r>
    <x v="333"/>
    <x v="40"/>
    <x v="5"/>
    <s v="47-687-2255"/>
    <x v="140"/>
    <x v="6"/>
    <n v="37"/>
    <n v="53"/>
    <n v="61"/>
    <x v="258"/>
    <n v="0.60655737704918034"/>
    <n v="1"/>
    <n v="0.6281833616298812"/>
    <d v="2024-03-04T00:00:00"/>
    <s v="7/17/2024"/>
    <x v="333"/>
    <s v="45190 Fordem Court"/>
    <n v="90"/>
    <n v="89"/>
    <x v="2"/>
    <n v="37"/>
    <x v="2"/>
    <x v="1"/>
  </r>
  <r>
    <x v="334"/>
    <x v="40"/>
    <x v="5"/>
    <s v="78-203-1075"/>
    <x v="204"/>
    <x v="89"/>
    <n v="41"/>
    <n v="61"/>
    <n v="69"/>
    <x v="259"/>
    <n v="0.59420289855072461"/>
    <n v="1"/>
    <n v="0.69609507640067914"/>
    <s v="7/26/2024"/>
    <d v="2025-03-02T00:00:00"/>
    <x v="334"/>
    <s v="30880 Barnett Junction"/>
    <n v="30"/>
    <n v="100"/>
    <x v="0"/>
    <n v="41"/>
    <x v="0"/>
    <x v="1"/>
  </r>
  <r>
    <x v="335"/>
    <x v="40"/>
    <x v="5"/>
    <s v="64-452-2395"/>
    <x v="31"/>
    <x v="81"/>
    <n v="52"/>
    <n v="31"/>
    <n v="18"/>
    <x v="207"/>
    <n v="2.8888888888888888"/>
    <n v="1"/>
    <n v="0.88285229202037352"/>
    <s v="4/28/2024"/>
    <s v="11/21/2024"/>
    <x v="335"/>
    <s v="34 Fremont Point"/>
    <n v="77"/>
    <n v="16"/>
    <x v="2"/>
    <n v="52"/>
    <x v="1"/>
    <x v="1"/>
  </r>
  <r>
    <x v="336"/>
    <x v="40"/>
    <x v="5"/>
    <s v="80-567-5598"/>
    <x v="17"/>
    <x v="77"/>
    <n v="63"/>
    <n v="38"/>
    <n v="77"/>
    <x v="260"/>
    <n v="0.81818181818181823"/>
    <n v="1"/>
    <n v="1.069609507640068"/>
    <s v="12/23/2024"/>
    <d v="2025-12-02T00:00:00"/>
    <x v="336"/>
    <s v="6982 Crownhardt Circle"/>
    <n v="23"/>
    <n v="18"/>
    <x v="1"/>
    <n v="63"/>
    <x v="1"/>
    <x v="1"/>
  </r>
  <r>
    <x v="337"/>
    <x v="40"/>
    <x v="5"/>
    <s v="10-694-6636"/>
    <x v="205"/>
    <x v="63"/>
    <n v="70"/>
    <n v="92"/>
    <n v="74"/>
    <x v="261"/>
    <n v="0.94594594594594594"/>
    <n v="1"/>
    <n v="1.1884550084889645"/>
    <s v="11/30/2024"/>
    <s v="8/17/2024"/>
    <x v="337"/>
    <s v="1 Mockingbird Parkway"/>
    <n v="95"/>
    <n v="26"/>
    <x v="2"/>
    <n v="70"/>
    <x v="2"/>
    <x v="1"/>
  </r>
  <r>
    <x v="338"/>
    <x v="41"/>
    <x v="5"/>
    <s v="67-679-4930"/>
    <x v="206"/>
    <x v="18"/>
    <n v="110"/>
    <n v="90"/>
    <n v="17"/>
    <x v="262"/>
    <n v="2.5882352941176472"/>
    <n v="2.5"/>
    <n v="0.74702886247877764"/>
    <d v="2025-03-02T00:00:00"/>
    <d v="2024-09-04T00:00:00"/>
    <x v="338"/>
    <s v="267 International Plaza"/>
    <n v="21"/>
    <n v="91"/>
    <x v="0"/>
    <n v="110"/>
    <x v="0"/>
    <x v="0"/>
  </r>
  <r>
    <x v="339"/>
    <x v="41"/>
    <x v="5"/>
    <s v="85-272-3969"/>
    <x v="15"/>
    <x v="54"/>
    <n v="35"/>
    <n v="63"/>
    <n v="74"/>
    <x v="166"/>
    <n v="0.1891891891891892"/>
    <n v="2.5"/>
    <n v="0.23769100169779286"/>
    <s v="4/28/2024"/>
    <s v="2/19/2025"/>
    <x v="339"/>
    <s v="389 Ridgeway Park"/>
    <n v="59"/>
    <n v="63"/>
    <x v="2"/>
    <n v="35"/>
    <x v="2"/>
    <x v="0"/>
  </r>
  <r>
    <x v="340"/>
    <x v="41"/>
    <x v="5"/>
    <s v="18-733-2453"/>
    <x v="207"/>
    <x v="35"/>
    <n v="242.5"/>
    <n v="26"/>
    <n v="15"/>
    <x v="147"/>
    <n v="6.4666666666666668"/>
    <n v="2.5"/>
    <n v="1.6468590831918506"/>
    <s v="8/21/2024"/>
    <d v="2025-03-02T00:00:00"/>
    <x v="340"/>
    <s v="2 Barby Lane"/>
    <n v="33"/>
    <n v="58"/>
    <x v="0"/>
    <n v="242.5"/>
    <x v="0"/>
    <x v="0"/>
  </r>
  <r>
    <x v="341"/>
    <x v="41"/>
    <x v="5"/>
    <s v="04-456-0715"/>
    <x v="118"/>
    <x v="72"/>
    <n v="87.5"/>
    <n v="78"/>
    <n v="68"/>
    <x v="163"/>
    <n v="0.51470588235294112"/>
    <n v="2.5"/>
    <n v="0.59422750424448223"/>
    <d v="2024-12-04T00:00:00"/>
    <s v="1/19/2025"/>
    <x v="341"/>
    <s v="27535 Morrow Avenue"/>
    <n v="95"/>
    <n v="91"/>
    <x v="0"/>
    <n v="87.5"/>
    <x v="0"/>
    <x v="0"/>
  </r>
  <r>
    <x v="342"/>
    <x v="41"/>
    <x v="5"/>
    <s v="28-461-1136"/>
    <x v="208"/>
    <x v="23"/>
    <n v="107.5"/>
    <n v="78"/>
    <n v="85"/>
    <x v="230"/>
    <n v="0.50588235294117645"/>
    <n v="2.5"/>
    <n v="0.7300509337860781"/>
    <d v="2024-09-03T00:00:00"/>
    <s v="8/30/2024"/>
    <x v="342"/>
    <s v="587 Vermont Terrace"/>
    <n v="48"/>
    <n v="98"/>
    <x v="2"/>
    <n v="107.5"/>
    <x v="2"/>
    <x v="0"/>
  </r>
  <r>
    <x v="343"/>
    <x v="41"/>
    <x v="5"/>
    <s v="93-699-8001"/>
    <x v="209"/>
    <x v="30"/>
    <n v="225"/>
    <n v="3"/>
    <n v="49"/>
    <x v="263"/>
    <n v="1.8367346938775511"/>
    <n v="2.5"/>
    <n v="1.5280135823429541"/>
    <d v="2024-06-05T00:00:00"/>
    <d v="2024-03-05T00:00:00"/>
    <x v="343"/>
    <s v="4 Nelson Alley"/>
    <n v="51"/>
    <n v="87"/>
    <x v="0"/>
    <n v="225"/>
    <x v="0"/>
    <x v="1"/>
  </r>
  <r>
    <x v="344"/>
    <x v="41"/>
    <x v="5"/>
    <s v="19-098-2529"/>
    <x v="200"/>
    <x v="68"/>
    <n v="98"/>
    <n v="22"/>
    <n v="74"/>
    <x v="264"/>
    <n v="0.54054054054054057"/>
    <n v="2.4500000000000002"/>
    <n v="0.6791171477079796"/>
    <s v="3/22/2024"/>
    <s v="9/23/2024"/>
    <x v="344"/>
    <s v="49646 Derek Lane"/>
    <n v="76"/>
    <n v="70"/>
    <x v="2"/>
    <n v="98"/>
    <x v="1"/>
    <x v="1"/>
  </r>
  <r>
    <x v="345"/>
    <x v="41"/>
    <x v="5"/>
    <s v="79-219-8469"/>
    <x v="199"/>
    <x v="12"/>
    <n v="220"/>
    <n v="22"/>
    <n v="61"/>
    <x v="265"/>
    <n v="1.4426229508196722"/>
    <n v="2.5"/>
    <n v="1.4940577249575553"/>
    <d v="2025-04-01T00:00:00"/>
    <s v="9/29/2024"/>
    <x v="345"/>
    <s v="18 Troy Avenue"/>
    <n v="54"/>
    <n v="100"/>
    <x v="0"/>
    <n v="220"/>
    <x v="0"/>
    <x v="1"/>
  </r>
  <r>
    <x v="346"/>
    <x v="41"/>
    <x v="5"/>
    <s v="42-210-6541"/>
    <x v="210"/>
    <x v="14"/>
    <n v="150"/>
    <n v="43"/>
    <n v="32"/>
    <x v="16"/>
    <n v="1.875"/>
    <n v="2.5"/>
    <n v="1.0186757215619695"/>
    <d v="2024-05-07T00:00:00"/>
    <d v="2024-04-10T00:00:00"/>
    <x v="346"/>
    <s v="292 Utah Street"/>
    <n v="77"/>
    <n v="60"/>
    <x v="1"/>
    <n v="150"/>
    <x v="1"/>
    <x v="1"/>
  </r>
  <r>
    <x v="347"/>
    <x v="41"/>
    <x v="5"/>
    <s v="37-079-2530"/>
    <x v="211"/>
    <x v="41"/>
    <n v="162.5"/>
    <n v="94"/>
    <n v="4"/>
    <x v="266"/>
    <n v="16.25"/>
    <n v="2.5"/>
    <n v="1.1035653650254669"/>
    <s v="7/31/2024"/>
    <s v="1/30/2025"/>
    <x v="347"/>
    <s v="53894 Myrtle Place"/>
    <n v="66"/>
    <n v="36"/>
    <x v="2"/>
    <n v="162.5"/>
    <x v="2"/>
    <x v="1"/>
  </r>
  <r>
    <x v="348"/>
    <x v="41"/>
    <x v="5"/>
    <s v="13-433-4930"/>
    <x v="145"/>
    <x v="2"/>
    <n v="122.50000000000001"/>
    <n v="93"/>
    <n v="37"/>
    <x v="267"/>
    <n v="1.3513513513513513"/>
    <n v="2.4500000000000002"/>
    <n v="0.84889643463497455"/>
    <d v="2025-11-01T00:00:00"/>
    <d v="2024-02-03T00:00:00"/>
    <x v="348"/>
    <s v="288 Fair Oaks Place"/>
    <n v="78"/>
    <n v="79"/>
    <x v="2"/>
    <n v="122.50000000000001"/>
    <x v="2"/>
    <x v="1"/>
  </r>
  <r>
    <x v="349"/>
    <x v="41"/>
    <x v="5"/>
    <s v="78-877-1866"/>
    <x v="212"/>
    <x v="88"/>
    <n v="172.79999999999998"/>
    <n v="58"/>
    <n v="52"/>
    <x v="268"/>
    <n v="1.3846153846153846"/>
    <n v="2.4"/>
    <n v="1.2224108658743633"/>
    <s v="2/15/2025"/>
    <s v="5/16/2024"/>
    <x v="349"/>
    <s v="463 Oxford Crossing"/>
    <n v="36"/>
    <n v="14"/>
    <x v="1"/>
    <n v="172.79999999999998"/>
    <x v="1"/>
    <x v="1"/>
  </r>
  <r>
    <x v="350"/>
    <x v="41"/>
    <x v="5"/>
    <s v="31-483-9201"/>
    <x v="175"/>
    <x v="2"/>
    <n v="125"/>
    <n v="66"/>
    <n v="1"/>
    <x v="269"/>
    <n v="50"/>
    <n v="2.5"/>
    <n v="0.84889643463497455"/>
    <s v="10/22/2024"/>
    <d v="2024-07-12T00:00:00"/>
    <x v="350"/>
    <s v="23560 Talmadge Center"/>
    <n v="76"/>
    <n v="73"/>
    <x v="1"/>
    <n v="125"/>
    <x v="2"/>
    <x v="1"/>
  </r>
  <r>
    <x v="351"/>
    <x v="42"/>
    <x v="5"/>
    <s v="69-933-2582"/>
    <x v="81"/>
    <x v="35"/>
    <n v="77.600000000000009"/>
    <n v="88"/>
    <n v="81"/>
    <x v="270"/>
    <n v="1.1975308641975309"/>
    <n v="0.8"/>
    <n v="1.6468590831918506"/>
    <d v="2024-05-11T00:00:00"/>
    <d v="2024-07-07T00:00:00"/>
    <x v="351"/>
    <s v="895 Northland Hill"/>
    <n v="97"/>
    <n v="18"/>
    <x v="0"/>
    <n v="77.600000000000009"/>
    <x v="0"/>
    <x v="0"/>
  </r>
  <r>
    <x v="352"/>
    <x v="42"/>
    <x v="5"/>
    <s v="84-498-3849"/>
    <x v="213"/>
    <x v="85"/>
    <n v="23.200000000000003"/>
    <n v="33"/>
    <n v="88"/>
    <x v="271"/>
    <n v="0.32954545454545453"/>
    <n v="0.8"/>
    <n v="0.49235993208828527"/>
    <s v="7/19/2024"/>
    <s v="8/23/2024"/>
    <x v="352"/>
    <s v="868 Swallow Point"/>
    <n v="50"/>
    <n v="35"/>
    <x v="0"/>
    <n v="23.200000000000003"/>
    <x v="0"/>
    <x v="1"/>
  </r>
  <r>
    <x v="353"/>
    <x v="42"/>
    <x v="5"/>
    <s v="72-784-3292"/>
    <x v="70"/>
    <x v="46"/>
    <n v="27.200000000000003"/>
    <n v="94"/>
    <n v="69"/>
    <x v="272"/>
    <n v="0.49275362318840582"/>
    <n v="0.8"/>
    <n v="0.57724957555178269"/>
    <d v="2025-03-01T00:00:00"/>
    <d v="2024-12-03T00:00:00"/>
    <x v="353"/>
    <s v="59 Veith Center"/>
    <n v="96"/>
    <n v="30"/>
    <x v="2"/>
    <n v="27.200000000000003"/>
    <x v="2"/>
    <x v="1"/>
  </r>
  <r>
    <x v="354"/>
    <x v="42"/>
    <x v="5"/>
    <s v="16-933-3355"/>
    <x v="214"/>
    <x v="42"/>
    <n v="62.400000000000006"/>
    <n v="61"/>
    <n v="6"/>
    <x v="252"/>
    <n v="13"/>
    <n v="0.8"/>
    <n v="1.3242784380305603"/>
    <s v="5/27/2024"/>
    <d v="2024-06-10T00:00:00"/>
    <x v="354"/>
    <s v="9738 Old Shore Trail"/>
    <n v="49"/>
    <n v="60"/>
    <x v="1"/>
    <n v="62.400000000000006"/>
    <x v="1"/>
    <x v="1"/>
  </r>
  <r>
    <x v="355"/>
    <x v="42"/>
    <x v="5"/>
    <s v="82-527-9395"/>
    <x v="215"/>
    <x v="22"/>
    <n v="74.400000000000006"/>
    <n v="68"/>
    <n v="71"/>
    <x v="273"/>
    <n v="1.3098591549295775"/>
    <n v="0.8"/>
    <n v="1.5789473684210527"/>
    <d v="2025-09-02T00:00:00"/>
    <d v="2024-11-03T00:00:00"/>
    <x v="355"/>
    <s v="75 High Crossing Junction"/>
    <n v="30"/>
    <n v="37"/>
    <x v="0"/>
    <n v="74.400000000000006"/>
    <x v="0"/>
    <x v="1"/>
  </r>
  <r>
    <x v="356"/>
    <x v="42"/>
    <x v="5"/>
    <s v="47-831-9154"/>
    <x v="165"/>
    <x v="65"/>
    <n v="75.2"/>
    <n v="60"/>
    <n v="78"/>
    <x v="274"/>
    <n v="1.2051282051282051"/>
    <n v="0.8"/>
    <n v="1.5959252971137521"/>
    <d v="2024-08-12T00:00:00"/>
    <d v="2024-07-03T00:00:00"/>
    <x v="356"/>
    <s v="79 Monterey Avenue"/>
    <n v="100"/>
    <n v="42"/>
    <x v="1"/>
    <n v="75.2"/>
    <x v="1"/>
    <x v="1"/>
  </r>
  <r>
    <x v="357"/>
    <x v="43"/>
    <x v="5"/>
    <s v="13-290-8513"/>
    <x v="176"/>
    <x v="18"/>
    <n v="110"/>
    <n v="84"/>
    <n v="63"/>
    <x v="24"/>
    <n v="0.69841269841269837"/>
    <n v="2.5"/>
    <n v="0.74702886247877764"/>
    <s v="7/29/2024"/>
    <d v="2024-11-04T00:00:00"/>
    <x v="357"/>
    <s v="120 Gale Circle"/>
    <n v="51"/>
    <n v="67"/>
    <x v="0"/>
    <n v="110"/>
    <x v="0"/>
    <x v="0"/>
  </r>
  <r>
    <x v="358"/>
    <x v="43"/>
    <x v="5"/>
    <s v="06-151-9076"/>
    <x v="216"/>
    <x v="5"/>
    <n v="190"/>
    <n v="54"/>
    <n v="76"/>
    <x v="160"/>
    <n v="1"/>
    <n v="2.5"/>
    <n v="1.2903225806451613"/>
    <d v="2024-01-10T00:00:00"/>
    <s v="8/17/2024"/>
    <x v="358"/>
    <s v="94862 Beilfuss Terrace"/>
    <n v="69"/>
    <n v="27"/>
    <x v="2"/>
    <n v="190"/>
    <x v="1"/>
    <x v="0"/>
  </r>
  <r>
    <x v="359"/>
    <x v="43"/>
    <x v="5"/>
    <s v="07-987-4536"/>
    <x v="217"/>
    <x v="45"/>
    <n v="140"/>
    <n v="97"/>
    <n v="29"/>
    <x v="275"/>
    <n v="1.9310344827586208"/>
    <n v="2.5"/>
    <n v="0.95076400679117146"/>
    <s v="2/28/2024"/>
    <s v="7/17/2024"/>
    <x v="359"/>
    <s v="32 Rigney Terrace"/>
    <n v="82"/>
    <n v="100"/>
    <x v="2"/>
    <n v="140"/>
    <x v="2"/>
    <x v="0"/>
  </r>
  <r>
    <x v="360"/>
    <x v="43"/>
    <x v="5"/>
    <s v="35-941-2585"/>
    <x v="102"/>
    <x v="71"/>
    <n v="47.5"/>
    <n v="100"/>
    <n v="83"/>
    <x v="276"/>
    <n v="0.2289156626506024"/>
    <n v="2.5"/>
    <n v="0.32258064516129031"/>
    <s v="4/25/2024"/>
    <s v="7/21/2024"/>
    <x v="360"/>
    <s v="69 Orin Plaza"/>
    <n v="66"/>
    <n v="28"/>
    <x v="0"/>
    <n v="47.5"/>
    <x v="0"/>
    <x v="0"/>
  </r>
  <r>
    <x v="361"/>
    <x v="43"/>
    <x v="5"/>
    <s v="99-570-8162"/>
    <x v="218"/>
    <x v="40"/>
    <n v="55.199999999999996"/>
    <n v="21"/>
    <n v="59"/>
    <x v="277"/>
    <n v="0.38983050847457629"/>
    <n v="2.4"/>
    <n v="0.39049235993208831"/>
    <s v="8/15/2024"/>
    <d v="2024-10-03T00:00:00"/>
    <x v="361"/>
    <s v="231 Merry Pass"/>
    <n v="81"/>
    <n v="8"/>
    <x v="1"/>
    <n v="55.199999999999996"/>
    <x v="1"/>
    <x v="1"/>
  </r>
  <r>
    <x v="362"/>
    <x v="43"/>
    <x v="5"/>
    <s v="72-024-1595"/>
    <x v="28"/>
    <x v="58"/>
    <n v="97.5"/>
    <n v="93"/>
    <n v="57"/>
    <x v="144"/>
    <n v="0.68421052631578949"/>
    <n v="2.5"/>
    <n v="0.66213921901528017"/>
    <d v="2024-04-06T00:00:00"/>
    <s v="5/28/2024"/>
    <x v="362"/>
    <s v="6810 Aberg Junction"/>
    <n v="26"/>
    <n v="44"/>
    <x v="2"/>
    <n v="97.5"/>
    <x v="2"/>
    <x v="1"/>
  </r>
  <r>
    <x v="363"/>
    <x v="43"/>
    <x v="5"/>
    <s v="89-992-6472"/>
    <x v="219"/>
    <x v="20"/>
    <n v="215"/>
    <n v="16"/>
    <n v="37"/>
    <x v="188"/>
    <n v="2.3243243243243241"/>
    <n v="2.5"/>
    <n v="1.4601018675721562"/>
    <s v="3/27/2024"/>
    <d v="2024-09-05T00:00:00"/>
    <x v="363"/>
    <s v="93321 Kennedy Point"/>
    <n v="34"/>
    <n v="66"/>
    <x v="1"/>
    <n v="215"/>
    <x v="1"/>
    <x v="1"/>
  </r>
  <r>
    <x v="364"/>
    <x v="43"/>
    <x v="5"/>
    <s v="59-968-8346"/>
    <x v="140"/>
    <x v="77"/>
    <n v="148.05000000000001"/>
    <n v="7"/>
    <n v="23"/>
    <x v="278"/>
    <n v="2.7391304347826089"/>
    <n v="2.35"/>
    <n v="1.069609507640068"/>
    <d v="2024-07-09T00:00:00"/>
    <s v="11/22/2024"/>
    <x v="364"/>
    <s v="3 Bellgrove Way"/>
    <n v="78"/>
    <n v="100"/>
    <x v="1"/>
    <n v="148.05000000000001"/>
    <x v="1"/>
    <x v="1"/>
  </r>
  <r>
    <x v="365"/>
    <x v="43"/>
    <x v="5"/>
    <s v="58-226-6435"/>
    <x v="220"/>
    <x v="31"/>
    <n v="105"/>
    <n v="94"/>
    <n v="79"/>
    <x v="279"/>
    <n v="0.53164556962025311"/>
    <n v="2.5"/>
    <n v="0.71307300509337868"/>
    <s v="12/17/2024"/>
    <s v="12/21/2024"/>
    <x v="365"/>
    <s v="93 Longview Junction"/>
    <n v="61"/>
    <n v="92"/>
    <x v="2"/>
    <n v="105"/>
    <x v="2"/>
    <x v="1"/>
  </r>
  <r>
    <x v="366"/>
    <x v="43"/>
    <x v="5"/>
    <s v="62-687-0951"/>
    <x v="120"/>
    <x v="48"/>
    <n v="230"/>
    <n v="1"/>
    <n v="23"/>
    <x v="233"/>
    <n v="4"/>
    <n v="2.5"/>
    <n v="1.5619694397283532"/>
    <s v="8/27/2024"/>
    <d v="2024-02-10T00:00:00"/>
    <x v="366"/>
    <s v="35 Portage Road"/>
    <n v="78"/>
    <n v="36"/>
    <x v="0"/>
    <n v="230"/>
    <x v="0"/>
    <x v="1"/>
  </r>
  <r>
    <x v="367"/>
    <x v="44"/>
    <x v="2"/>
    <s v="08-828-3804"/>
    <x v="192"/>
    <x v="58"/>
    <n v="117"/>
    <n v="21"/>
    <n v="5"/>
    <x v="145"/>
    <n v="7.8"/>
    <n v="3"/>
    <n v="0.66213921901528017"/>
    <s v="11/24/2024"/>
    <d v="2024-01-05T00:00:00"/>
    <x v="367"/>
    <s v="81 Oneill Circle"/>
    <n v="51"/>
    <n v="98"/>
    <x v="2"/>
    <n v="117"/>
    <x v="1"/>
    <x v="0"/>
  </r>
  <r>
    <x v="368"/>
    <x v="44"/>
    <x v="2"/>
    <s v="24-576-3402"/>
    <x v="221"/>
    <x v="8"/>
    <n v="222"/>
    <n v="30"/>
    <n v="24"/>
    <x v="53"/>
    <n v="3.0833333333333335"/>
    <n v="3"/>
    <n v="1.2563667232597624"/>
    <d v="2024-09-08T00:00:00"/>
    <s v="10/13/2024"/>
    <x v="368"/>
    <s v="357 Maple Park"/>
    <n v="82"/>
    <n v="12"/>
    <x v="1"/>
    <n v="222"/>
    <x v="1"/>
    <x v="0"/>
  </r>
  <r>
    <x v="369"/>
    <x v="44"/>
    <x v="2"/>
    <s v="34-334-6888"/>
    <x v="96"/>
    <x v="78"/>
    <n v="93"/>
    <n v="44"/>
    <n v="9"/>
    <x v="123"/>
    <n v="3.4444444444444446"/>
    <n v="3"/>
    <n v="0.52631578947368418"/>
    <s v="5/30/2024"/>
    <s v="5/16/2024"/>
    <x v="369"/>
    <s v="938 Hanover Point"/>
    <n v="46"/>
    <n v="9"/>
    <x v="0"/>
    <n v="93"/>
    <x v="0"/>
    <x v="0"/>
  </r>
  <r>
    <x v="370"/>
    <x v="44"/>
    <x v="2"/>
    <s v="12-983-3026"/>
    <x v="16"/>
    <x v="83"/>
    <n v="273"/>
    <n v="55"/>
    <n v="94"/>
    <x v="280"/>
    <n v="0.96808510638297873"/>
    <n v="3"/>
    <n v="1.5449915110356538"/>
    <d v="2024-11-03T00:00:00"/>
    <d v="2024-10-04T00:00:00"/>
    <x v="370"/>
    <s v="25784 Old Gate Crossing"/>
    <n v="42"/>
    <n v="93"/>
    <x v="1"/>
    <n v="273"/>
    <x v="1"/>
    <x v="0"/>
  </r>
  <r>
    <x v="371"/>
    <x v="44"/>
    <x v="2"/>
    <s v="07-067-3439"/>
    <x v="154"/>
    <x v="35"/>
    <n v="291"/>
    <n v="20"/>
    <n v="72"/>
    <x v="281"/>
    <n v="1.3472222222222223"/>
    <n v="3"/>
    <n v="1.6468590831918506"/>
    <s v="2/29/2024"/>
    <d v="2025-06-02T00:00:00"/>
    <x v="371"/>
    <s v="41 Comanche Park"/>
    <n v="29"/>
    <n v="59"/>
    <x v="2"/>
    <n v="291"/>
    <x v="1"/>
    <x v="0"/>
  </r>
  <r>
    <x v="372"/>
    <x v="44"/>
    <x v="2"/>
    <s v="43-542-6868"/>
    <x v="222"/>
    <x v="25"/>
    <n v="51"/>
    <n v="3"/>
    <n v="33"/>
    <x v="54"/>
    <n v="0.51515151515151514"/>
    <n v="3"/>
    <n v="0.28862478777589134"/>
    <s v="3/21/2024"/>
    <s v="9/14/2024"/>
    <x v="372"/>
    <s v="6 Rusk Pass"/>
    <n v="49"/>
    <n v="17"/>
    <x v="2"/>
    <n v="51"/>
    <x v="1"/>
    <x v="0"/>
  </r>
  <r>
    <x v="373"/>
    <x v="44"/>
    <x v="2"/>
    <s v="27-557-2375"/>
    <x v="181"/>
    <x v="79"/>
    <n v="141"/>
    <n v="41"/>
    <n v="63"/>
    <x v="282"/>
    <n v="0.74603174603174605"/>
    <n v="3"/>
    <n v="0.79796264855687604"/>
    <s v="4/15/2024"/>
    <d v="2024-01-06T00:00:00"/>
    <x v="373"/>
    <s v="55 Morning Terrace"/>
    <n v="39"/>
    <n v="54"/>
    <x v="1"/>
    <n v="141"/>
    <x v="1"/>
    <x v="1"/>
  </r>
  <r>
    <x v="374"/>
    <x v="44"/>
    <x v="2"/>
    <s v="11-742-5033"/>
    <x v="223"/>
    <x v="76"/>
    <n v="75"/>
    <n v="62"/>
    <n v="11"/>
    <x v="283"/>
    <n v="2.2727272727272729"/>
    <n v="3"/>
    <n v="0.42444821731748728"/>
    <d v="2024-01-10T00:00:00"/>
    <d v="2024-01-12T00:00:00"/>
    <x v="374"/>
    <s v="52 Namekagon Junction"/>
    <n v="57"/>
    <n v="98"/>
    <x v="2"/>
    <n v="75"/>
    <x v="2"/>
    <x v="1"/>
  </r>
  <r>
    <x v="375"/>
    <x v="44"/>
    <x v="2"/>
    <s v="58-945-2944"/>
    <x v="196"/>
    <x v="64"/>
    <n v="147"/>
    <n v="89"/>
    <n v="65"/>
    <x v="62"/>
    <n v="0.75384615384615383"/>
    <n v="3"/>
    <n v="0.83191850594227501"/>
    <s v="5/24/2024"/>
    <d v="2024-11-08T00:00:00"/>
    <x v="375"/>
    <s v="04 Rockefeller Terrace"/>
    <n v="37"/>
    <n v="48"/>
    <x v="1"/>
    <n v="147"/>
    <x v="2"/>
    <x v="1"/>
  </r>
  <r>
    <x v="376"/>
    <x v="44"/>
    <x v="2"/>
    <s v="17-562-1176"/>
    <x v="224"/>
    <x v="35"/>
    <n v="291"/>
    <n v="52"/>
    <n v="80"/>
    <x v="216"/>
    <n v="1.2124999999999999"/>
    <n v="3"/>
    <n v="1.6468590831918506"/>
    <s v="1/19/2025"/>
    <s v="7/17/2024"/>
    <x v="376"/>
    <s v="5 Loftsgordon Trail"/>
    <n v="22"/>
    <n v="90"/>
    <x v="2"/>
    <n v="291"/>
    <x v="1"/>
    <x v="1"/>
  </r>
  <r>
    <x v="377"/>
    <x v="45"/>
    <x v="5"/>
    <s v="57-569-7172"/>
    <x v="32"/>
    <x v="40"/>
    <n v="46"/>
    <n v="100"/>
    <n v="77"/>
    <x v="284"/>
    <n v="0.29870129870129869"/>
    <n v="2"/>
    <n v="0.39049235993208831"/>
    <d v="2024-10-05T00:00:00"/>
    <d v="2024-10-08T00:00:00"/>
    <x v="377"/>
    <s v="230 Tony Court"/>
    <n v="63"/>
    <n v="26"/>
    <x v="0"/>
    <n v="46"/>
    <x v="0"/>
    <x v="0"/>
  </r>
  <r>
    <x v="378"/>
    <x v="45"/>
    <x v="5"/>
    <s v="82-482-3670"/>
    <x v="217"/>
    <x v="21"/>
    <n v="121.6"/>
    <n v="31"/>
    <n v="91"/>
    <x v="285"/>
    <n v="0.70329670329670335"/>
    <n v="1.9"/>
    <n v="1.0865874363327674"/>
    <s v="6/19/2024"/>
    <d v="2024-04-08T00:00:00"/>
    <x v="378"/>
    <s v="3 Dottie Junction"/>
    <n v="85"/>
    <n v="42"/>
    <x v="0"/>
    <n v="121.6"/>
    <x v="0"/>
    <x v="0"/>
  </r>
  <r>
    <x v="379"/>
    <x v="45"/>
    <x v="5"/>
    <s v="97-821-7402"/>
    <x v="179"/>
    <x v="61"/>
    <n v="22"/>
    <n v="9"/>
    <n v="65"/>
    <x v="217"/>
    <n v="0.16923076923076924"/>
    <n v="2"/>
    <n v="0.18675721561969441"/>
    <s v="10/13/2024"/>
    <d v="2024-04-12T00:00:00"/>
    <x v="379"/>
    <s v="579 Schlimgen Alley"/>
    <n v="48"/>
    <n v="96"/>
    <x v="0"/>
    <n v="22"/>
    <x v="0"/>
    <x v="1"/>
  </r>
  <r>
    <x v="380"/>
    <x v="45"/>
    <x v="5"/>
    <s v="63-528-0643"/>
    <x v="48"/>
    <x v="59"/>
    <n v="28.5"/>
    <n v="75"/>
    <n v="78"/>
    <x v="286"/>
    <n v="0.19230769230769232"/>
    <n v="1.9"/>
    <n v="0.25466893039049238"/>
    <d v="2025-01-02T00:00:00"/>
    <d v="2025-12-02T00:00:00"/>
    <x v="380"/>
    <s v="87578 Stoughton Parkway"/>
    <n v="71"/>
    <n v="21"/>
    <x v="0"/>
    <n v="28.5"/>
    <x v="0"/>
    <x v="1"/>
  </r>
  <r>
    <x v="381"/>
    <x v="45"/>
    <x v="5"/>
    <s v="82-930-7733"/>
    <x v="225"/>
    <x v="63"/>
    <n v="140"/>
    <n v="81"/>
    <n v="75"/>
    <x v="287"/>
    <n v="0.93333333333333335"/>
    <n v="2"/>
    <n v="1.1884550084889645"/>
    <d v="2024-08-09T00:00:00"/>
    <s v="2/27/2024"/>
    <x v="381"/>
    <s v="779 Ridgeway Street"/>
    <n v="24"/>
    <n v="54"/>
    <x v="2"/>
    <n v="140"/>
    <x v="2"/>
    <x v="1"/>
  </r>
  <r>
    <x v="382"/>
    <x v="45"/>
    <x v="5"/>
    <s v="72-002-3904"/>
    <x v="151"/>
    <x v="88"/>
    <n v="144"/>
    <n v="3"/>
    <n v="10"/>
    <x v="288"/>
    <n v="7.2"/>
    <n v="2"/>
    <n v="1.2224108658743633"/>
    <s v="1/18/2025"/>
    <s v="7/31/2024"/>
    <x v="382"/>
    <s v="9171 Redwing Street"/>
    <n v="52"/>
    <n v="14"/>
    <x v="2"/>
    <n v="144"/>
    <x v="1"/>
    <x v="1"/>
  </r>
  <r>
    <x v="383"/>
    <x v="45"/>
    <x v="5"/>
    <s v="74-119-8973"/>
    <x v="226"/>
    <x v="40"/>
    <n v="46"/>
    <n v="99"/>
    <n v="97"/>
    <x v="289"/>
    <n v="0.23711340206185566"/>
    <n v="2"/>
    <n v="0.39049235993208831"/>
    <d v="2024-09-06T00:00:00"/>
    <d v="2024-06-04T00:00:00"/>
    <x v="383"/>
    <s v="15 Oriole Park"/>
    <n v="68"/>
    <n v="76"/>
    <x v="0"/>
    <n v="46"/>
    <x v="0"/>
    <x v="1"/>
  </r>
  <r>
    <x v="384"/>
    <x v="45"/>
    <x v="5"/>
    <s v="11-466-3182"/>
    <x v="227"/>
    <x v="21"/>
    <n v="128"/>
    <n v="28"/>
    <n v="35"/>
    <x v="290"/>
    <n v="1.8285714285714285"/>
    <n v="2"/>
    <n v="1.0865874363327674"/>
    <d v="2024-05-11T00:00:00"/>
    <d v="2024-07-11T00:00:00"/>
    <x v="384"/>
    <s v="55309 6th Junction"/>
    <n v="74"/>
    <n v="50"/>
    <x v="1"/>
    <n v="128"/>
    <x v="1"/>
    <x v="1"/>
  </r>
  <r>
    <x v="385"/>
    <x v="46"/>
    <x v="5"/>
    <s v="84-504-7617"/>
    <x v="65"/>
    <x v="65"/>
    <n v="658"/>
    <n v="13"/>
    <n v="15"/>
    <x v="224"/>
    <n v="6.2666666666666666"/>
    <n v="7"/>
    <n v="1.5959252971137521"/>
    <s v="2/27/2024"/>
    <d v="2024-02-04T00:00:00"/>
    <x v="385"/>
    <s v="195 Portage Junction"/>
    <n v="20"/>
    <n v="24"/>
    <x v="2"/>
    <n v="658"/>
    <x v="1"/>
    <x v="0"/>
  </r>
  <r>
    <x v="386"/>
    <x v="46"/>
    <x v="5"/>
    <s v="35-042-9391"/>
    <x v="228"/>
    <x v="39"/>
    <n v="686"/>
    <n v="77"/>
    <n v="7"/>
    <x v="168"/>
    <n v="14"/>
    <n v="7"/>
    <n v="1.66383701188455"/>
    <d v="2024-02-10T00:00:00"/>
    <s v="11/19/2024"/>
    <x v="386"/>
    <s v="60356 Derek Lane"/>
    <n v="92"/>
    <n v="29"/>
    <x v="0"/>
    <n v="686"/>
    <x v="0"/>
    <x v="0"/>
  </r>
  <r>
    <x v="387"/>
    <x v="46"/>
    <x v="5"/>
    <s v="43-977-2343"/>
    <x v="114"/>
    <x v="35"/>
    <n v="679"/>
    <n v="57"/>
    <n v="84"/>
    <x v="291"/>
    <n v="1.1547619047619047"/>
    <n v="7"/>
    <n v="1.6468590831918506"/>
    <s v="9/27/2024"/>
    <s v="8/29/2024"/>
    <x v="387"/>
    <s v="60 Towne Hill"/>
    <n v="95"/>
    <n v="28"/>
    <x v="1"/>
    <n v="679"/>
    <x v="1"/>
    <x v="0"/>
  </r>
  <r>
    <x v="388"/>
    <x v="46"/>
    <x v="5"/>
    <s v="74-943-4552"/>
    <x v="227"/>
    <x v="49"/>
    <n v="560"/>
    <n v="43"/>
    <n v="80"/>
    <x v="292"/>
    <n v="1"/>
    <n v="7"/>
    <n v="1.3582342954159592"/>
    <s v="6/26/2024"/>
    <d v="2024-05-09T00:00:00"/>
    <x v="388"/>
    <s v="84 Washington Crossing"/>
    <n v="64"/>
    <n v="53"/>
    <x v="1"/>
    <n v="560"/>
    <x v="1"/>
    <x v="0"/>
  </r>
  <r>
    <x v="389"/>
    <x v="46"/>
    <x v="5"/>
    <s v="45-997-6429"/>
    <x v="229"/>
    <x v="8"/>
    <n v="518"/>
    <n v="65"/>
    <n v="5"/>
    <x v="2"/>
    <n v="14.8"/>
    <n v="7"/>
    <n v="1.2563667232597624"/>
    <s v="1/30/2025"/>
    <s v="7/27/2024"/>
    <x v="389"/>
    <s v="6 Tony Junction"/>
    <n v="21"/>
    <n v="42"/>
    <x v="0"/>
    <n v="518"/>
    <x v="0"/>
    <x v="0"/>
  </r>
  <r>
    <x v="390"/>
    <x v="46"/>
    <x v="5"/>
    <s v="45-331-8563"/>
    <x v="159"/>
    <x v="83"/>
    <n v="637"/>
    <n v="7"/>
    <n v="64"/>
    <x v="293"/>
    <n v="1.421875"/>
    <n v="7"/>
    <n v="1.5449915110356538"/>
    <d v="2024-09-11T00:00:00"/>
    <d v="2024-12-08T00:00:00"/>
    <x v="390"/>
    <s v="4 Duke Way"/>
    <n v="32"/>
    <n v="65"/>
    <x v="0"/>
    <n v="637"/>
    <x v="0"/>
    <x v="1"/>
  </r>
  <r>
    <x v="391"/>
    <x v="47"/>
    <x v="2"/>
    <s v="24-281-7685"/>
    <x v="140"/>
    <x v="74"/>
    <n v="189"/>
    <n v="22"/>
    <n v="89"/>
    <x v="294"/>
    <n v="0.30337078651685395"/>
    <n v="7"/>
    <n v="0.45840407470288624"/>
    <d v="2024-01-05T00:00:00"/>
    <s v="7/28/2024"/>
    <x v="391"/>
    <s v="6195 Monterey Center"/>
    <n v="91"/>
    <n v="77"/>
    <x v="0"/>
    <n v="189"/>
    <x v="0"/>
    <x v="0"/>
  </r>
  <r>
    <x v="392"/>
    <x v="47"/>
    <x v="2"/>
    <s v="84-923-5086"/>
    <x v="230"/>
    <x v="5"/>
    <n v="532"/>
    <n v="97"/>
    <n v="20"/>
    <x v="295"/>
    <n v="3.8"/>
    <n v="7"/>
    <n v="1.2903225806451613"/>
    <s v="3/27/2024"/>
    <s v="8/24/2024"/>
    <x v="392"/>
    <s v="3 Ilene Terrace"/>
    <n v="52"/>
    <n v="82"/>
    <x v="0"/>
    <n v="532"/>
    <x v="0"/>
    <x v="0"/>
  </r>
  <r>
    <x v="393"/>
    <x v="47"/>
    <x v="2"/>
    <s v="54-659-1177"/>
    <x v="231"/>
    <x v="23"/>
    <n v="301"/>
    <n v="40"/>
    <n v="30"/>
    <x v="33"/>
    <n v="1.4333333333333333"/>
    <n v="7"/>
    <n v="0.7300509337860781"/>
    <s v="7/13/2024"/>
    <d v="2024-02-10T00:00:00"/>
    <x v="393"/>
    <s v="81071 West Alley"/>
    <n v="95"/>
    <n v="26"/>
    <x v="1"/>
    <n v="301"/>
    <x v="1"/>
    <x v="0"/>
  </r>
  <r>
    <x v="394"/>
    <x v="47"/>
    <x v="2"/>
    <s v="91-632-7343"/>
    <x v="232"/>
    <x v="67"/>
    <n v="231"/>
    <n v="4"/>
    <n v="31"/>
    <x v="296"/>
    <n v="1.064516129032258"/>
    <n v="7"/>
    <n v="0.56027164685908315"/>
    <s v="3/13/2024"/>
    <d v="2025-12-01T00:00:00"/>
    <x v="394"/>
    <s v="4374 Corry Terrace"/>
    <n v="46"/>
    <n v="92"/>
    <x v="1"/>
    <n v="231"/>
    <x v="1"/>
    <x v="1"/>
  </r>
  <r>
    <x v="395"/>
    <x v="48"/>
    <x v="5"/>
    <s v="29-009-9132"/>
    <x v="8"/>
    <x v="15"/>
    <n v="700"/>
    <n v="21"/>
    <n v="64"/>
    <x v="293"/>
    <n v="1.5625"/>
    <n v="7"/>
    <n v="1.6977928692699491"/>
    <s v="6/19/2024"/>
    <d v="2024-11-03T00:00:00"/>
    <x v="395"/>
    <s v="6 John Wall Plaza"/>
    <n v="20"/>
    <n v="13"/>
    <x v="2"/>
    <n v="700"/>
    <x v="1"/>
    <x v="0"/>
  </r>
  <r>
    <x v="396"/>
    <x v="48"/>
    <x v="5"/>
    <s v="73-210-4267"/>
    <x v="70"/>
    <x v="35"/>
    <n v="679"/>
    <n v="77"/>
    <n v="13"/>
    <x v="297"/>
    <n v="7.4615384615384617"/>
    <n v="7"/>
    <n v="1.6468590831918506"/>
    <d v="2024-11-11T00:00:00"/>
    <s v="9/15/2024"/>
    <x v="396"/>
    <s v="96 American Center"/>
    <n v="43"/>
    <n v="40"/>
    <x v="2"/>
    <n v="679"/>
    <x v="1"/>
    <x v="0"/>
  </r>
  <r>
    <x v="397"/>
    <x v="48"/>
    <x v="5"/>
    <s v="00-680-5333"/>
    <x v="104"/>
    <x v="47"/>
    <n v="476"/>
    <n v="29"/>
    <n v="31"/>
    <x v="296"/>
    <n v="2.193548387096774"/>
    <n v="7"/>
    <n v="1.1544991511035654"/>
    <d v="2024-06-08T00:00:00"/>
    <d v="2024-03-06T00:00:00"/>
    <x v="397"/>
    <s v="6151 Forster Drive"/>
    <n v="53"/>
    <n v="20"/>
    <x v="2"/>
    <n v="476"/>
    <x v="1"/>
    <x v="0"/>
  </r>
  <r>
    <x v="398"/>
    <x v="48"/>
    <x v="5"/>
    <s v="90-177-6733"/>
    <x v="233"/>
    <x v="84"/>
    <n v="469"/>
    <n v="79"/>
    <n v="98"/>
    <x v="298"/>
    <n v="0.68367346938775508"/>
    <n v="7"/>
    <n v="1.137521222410866"/>
    <s v="2/13/2025"/>
    <d v="2024-11-08T00:00:00"/>
    <x v="398"/>
    <s v="5989 Longview Drive"/>
    <n v="73"/>
    <n v="36"/>
    <x v="1"/>
    <n v="469"/>
    <x v="2"/>
    <x v="0"/>
  </r>
  <r>
    <x v="399"/>
    <x v="48"/>
    <x v="5"/>
    <s v="27-772-7906"/>
    <x v="162"/>
    <x v="89"/>
    <n v="287"/>
    <n v="22"/>
    <n v="11"/>
    <x v="260"/>
    <n v="3.7272727272727271"/>
    <n v="7"/>
    <n v="0.69609507640067914"/>
    <s v="6/19/2024"/>
    <s v="4/23/2024"/>
    <x v="399"/>
    <s v="7 Victoria Hill"/>
    <n v="86"/>
    <n v="30"/>
    <x v="1"/>
    <n v="287"/>
    <x v="1"/>
    <x v="1"/>
  </r>
  <r>
    <x v="400"/>
    <x v="48"/>
    <x v="5"/>
    <s v="32-371-1686"/>
    <x v="114"/>
    <x v="80"/>
    <n v="336"/>
    <n v="12"/>
    <n v="62"/>
    <x v="299"/>
    <n v="0.77419354838709675"/>
    <n v="7"/>
    <n v="0.81494057724957558"/>
    <s v="6/15/2024"/>
    <d v="2024-04-05T00:00:00"/>
    <x v="400"/>
    <s v="84 Hoffman Way"/>
    <n v="59"/>
    <n v="23"/>
    <x v="1"/>
    <n v="336"/>
    <x v="1"/>
    <x v="1"/>
  </r>
  <r>
    <x v="401"/>
    <x v="48"/>
    <x v="5"/>
    <s v="29-122-7037"/>
    <x v="234"/>
    <x v="24"/>
    <n v="497"/>
    <n v="93"/>
    <n v="75"/>
    <x v="43"/>
    <n v="0.94666666666666666"/>
    <n v="7"/>
    <n v="1.2054329371816639"/>
    <d v="2024-09-10T00:00:00"/>
    <s v="8/19/2024"/>
    <x v="401"/>
    <s v="890 Eggendart Pass"/>
    <n v="77"/>
    <n v="58"/>
    <x v="0"/>
    <n v="497"/>
    <x v="0"/>
    <x v="1"/>
  </r>
  <r>
    <x v="402"/>
    <x v="49"/>
    <x v="2"/>
    <s v="26-222-1156"/>
    <x v="33"/>
    <x v="12"/>
    <n v="484"/>
    <n v="99"/>
    <n v="41"/>
    <x v="300"/>
    <n v="2.1463414634146343"/>
    <n v="5.5"/>
    <n v="1.4940577249575553"/>
    <s v="7/30/2024"/>
    <s v="5/20/2024"/>
    <x v="402"/>
    <s v="6482 Ramsey Alley"/>
    <n v="93"/>
    <n v="99"/>
    <x v="2"/>
    <n v="484"/>
    <x v="2"/>
    <x v="0"/>
  </r>
  <r>
    <x v="403"/>
    <x v="49"/>
    <x v="2"/>
    <s v="86-709-5618"/>
    <x v="235"/>
    <x v="57"/>
    <n v="451"/>
    <n v="21"/>
    <n v="85"/>
    <x v="301"/>
    <n v="0.96470588235294119"/>
    <n v="5.5"/>
    <n v="1.3921901528013583"/>
    <s v="4/14/2024"/>
    <s v="3/19/2024"/>
    <x v="403"/>
    <s v="38 Rutledge Plaza"/>
    <n v="39"/>
    <n v="18"/>
    <x v="2"/>
    <n v="451"/>
    <x v="1"/>
    <x v="0"/>
  </r>
  <r>
    <x v="404"/>
    <x v="49"/>
    <x v="2"/>
    <s v="35-906-1010"/>
    <x v="27"/>
    <x v="37"/>
    <n v="121"/>
    <n v="69"/>
    <n v="87"/>
    <x v="302"/>
    <n v="0.25287356321839083"/>
    <n v="5.5"/>
    <n v="0.37351443123938882"/>
    <d v="2025-09-02T00:00:00"/>
    <s v="6/15/2024"/>
    <x v="404"/>
    <s v="95 Garrison Plaza"/>
    <n v="34"/>
    <n v="26"/>
    <x v="2"/>
    <n v="121"/>
    <x v="2"/>
    <x v="0"/>
  </r>
  <r>
    <x v="405"/>
    <x v="49"/>
    <x v="2"/>
    <s v="19-156-3869"/>
    <x v="236"/>
    <x v="12"/>
    <n v="484"/>
    <n v="27"/>
    <n v="92"/>
    <x v="303"/>
    <n v="0.95652173913043481"/>
    <n v="5.5"/>
    <n v="1.4940577249575553"/>
    <s v="11/27/2024"/>
    <s v="4/30/2024"/>
    <x v="405"/>
    <s v="611 Waubesa Circle"/>
    <n v="57"/>
    <n v="37"/>
    <x v="0"/>
    <n v="484"/>
    <x v="0"/>
    <x v="0"/>
  </r>
  <r>
    <x v="406"/>
    <x v="49"/>
    <x v="2"/>
    <s v="02-530-5932"/>
    <x v="237"/>
    <x v="39"/>
    <n v="539"/>
    <n v="62"/>
    <n v="97"/>
    <x v="304"/>
    <n v="1.0103092783505154"/>
    <n v="5.5"/>
    <n v="1.66383701188455"/>
    <s v="3/30/2024"/>
    <s v="8/25/2024"/>
    <x v="406"/>
    <s v="9469 Bayside Plaza"/>
    <n v="59"/>
    <n v="19"/>
    <x v="1"/>
    <n v="539"/>
    <x v="1"/>
    <x v="1"/>
  </r>
  <r>
    <x v="407"/>
    <x v="49"/>
    <x v="2"/>
    <s v="57-204-2098"/>
    <x v="228"/>
    <x v="3"/>
    <n v="71.5"/>
    <n v="61"/>
    <n v="77"/>
    <x v="305"/>
    <n v="0.16883116883116883"/>
    <n v="5.5"/>
    <n v="0.22071307300509338"/>
    <s v="7/22/2024"/>
    <s v="2/21/2025"/>
    <x v="407"/>
    <s v="622 Buena Vista Trail"/>
    <n v="42"/>
    <n v="18"/>
    <x v="2"/>
    <n v="71.5"/>
    <x v="2"/>
    <x v="1"/>
  </r>
  <r>
    <x v="408"/>
    <x v="49"/>
    <x v="2"/>
    <s v="93-180-4005"/>
    <x v="14"/>
    <x v="6"/>
    <n v="203.5"/>
    <n v="45"/>
    <n v="62"/>
    <x v="306"/>
    <n v="0.59677419354838712"/>
    <n v="5.5"/>
    <n v="0.6281833616298812"/>
    <d v="2024-08-12T00:00:00"/>
    <d v="2025-12-01T00:00:00"/>
    <x v="408"/>
    <s v="84239 Meadow Vale Trail"/>
    <n v="34"/>
    <n v="23"/>
    <x v="2"/>
    <n v="203.5"/>
    <x v="2"/>
    <x v="1"/>
  </r>
  <r>
    <x v="409"/>
    <x v="49"/>
    <x v="2"/>
    <s v="17-807-6972"/>
    <x v="238"/>
    <x v="69"/>
    <n v="478.5"/>
    <n v="62"/>
    <n v="2"/>
    <x v="307"/>
    <n v="43.5"/>
    <n v="5.5"/>
    <n v="1.4770797962648556"/>
    <d v="2024-09-07T00:00:00"/>
    <s v="3/25/2024"/>
    <x v="409"/>
    <s v="10 Golf Course Hill"/>
    <n v="22"/>
    <n v="38"/>
    <x v="2"/>
    <n v="478.5"/>
    <x v="1"/>
    <x v="1"/>
  </r>
  <r>
    <x v="410"/>
    <x v="49"/>
    <x v="2"/>
    <s v="23-482-0516"/>
    <x v="232"/>
    <x v="27"/>
    <n v="209"/>
    <n v="72"/>
    <n v="39"/>
    <x v="308"/>
    <n v="0.97435897435897434"/>
    <n v="5.5"/>
    <n v="0.64516129032258063"/>
    <d v="2024-10-07T00:00:00"/>
    <s v="6/24/2024"/>
    <x v="410"/>
    <s v="23704 Algoma Park"/>
    <n v="59"/>
    <n v="8"/>
    <x v="1"/>
    <n v="209"/>
    <x v="2"/>
    <x v="1"/>
  </r>
  <r>
    <x v="411"/>
    <x v="49"/>
    <x v="2"/>
    <s v="28-442-2578"/>
    <x v="239"/>
    <x v="76"/>
    <n v="137.5"/>
    <n v="74"/>
    <n v="100"/>
    <x v="309"/>
    <n v="0.25"/>
    <n v="5.5"/>
    <n v="0.42444821731748728"/>
    <d v="2024-07-06T00:00:00"/>
    <d v="2024-07-12T00:00:00"/>
    <x v="411"/>
    <s v="1 Elmside Parkway"/>
    <n v="41"/>
    <n v="59"/>
    <x v="0"/>
    <n v="137.5"/>
    <x v="0"/>
    <x v="1"/>
  </r>
  <r>
    <x v="412"/>
    <x v="49"/>
    <x v="2"/>
    <s v="80-462-5807"/>
    <x v="83"/>
    <x v="51"/>
    <n v="544.5"/>
    <n v="68"/>
    <n v="1"/>
    <x v="310"/>
    <n v="99"/>
    <n v="5.5"/>
    <n v="1.6808149405772497"/>
    <s v="7/13/2024"/>
    <s v="2/25/2024"/>
    <x v="412"/>
    <s v="38 Esch Pass"/>
    <n v="59"/>
    <n v="16"/>
    <x v="0"/>
    <n v="544.5"/>
    <x v="0"/>
    <x v="1"/>
  </r>
  <r>
    <x v="413"/>
    <x v="49"/>
    <x v="2"/>
    <s v="49-608-3851"/>
    <x v="142"/>
    <x v="70"/>
    <n v="324.5"/>
    <n v="29"/>
    <n v="100"/>
    <x v="309"/>
    <n v="0.59"/>
    <n v="5.5"/>
    <n v="1.0016977928692701"/>
    <d v="2024-04-04T00:00:00"/>
    <s v="11/29/2024"/>
    <x v="413"/>
    <s v="183 Algoma Trail"/>
    <n v="74"/>
    <n v="16"/>
    <x v="0"/>
    <n v="324.5"/>
    <x v="0"/>
    <x v="1"/>
  </r>
  <r>
    <x v="414"/>
    <x v="49"/>
    <x v="2"/>
    <s v="28-521-7083"/>
    <x v="186"/>
    <x v="1"/>
    <n v="297"/>
    <n v="88"/>
    <n v="43"/>
    <x v="311"/>
    <n v="1.2558139534883721"/>
    <n v="5.5"/>
    <n v="0.91680814940577249"/>
    <d v="2025-12-02T00:00:00"/>
    <s v="5/24/2024"/>
    <x v="414"/>
    <s v="4346 Columbus Way"/>
    <n v="81"/>
    <n v="77"/>
    <x v="2"/>
    <n v="297"/>
    <x v="2"/>
    <x v="1"/>
  </r>
  <r>
    <x v="415"/>
    <x v="49"/>
    <x v="2"/>
    <s v="40-515-1141"/>
    <x v="139"/>
    <x v="56"/>
    <n v="165"/>
    <n v="66"/>
    <n v="28"/>
    <x v="284"/>
    <n v="1.0714285714285714"/>
    <n v="5.5"/>
    <n v="0.50933786078098475"/>
    <d v="2024-09-08T00:00:00"/>
    <d v="2025-08-02T00:00:00"/>
    <x v="415"/>
    <s v="898 Rowland Trail"/>
    <n v="63"/>
    <n v="98"/>
    <x v="1"/>
    <n v="165"/>
    <x v="2"/>
    <x v="1"/>
  </r>
  <r>
    <x v="416"/>
    <x v="50"/>
    <x v="5"/>
    <s v="32-182-1895"/>
    <x v="229"/>
    <x v="83"/>
    <n v="273"/>
    <n v="84"/>
    <n v="11"/>
    <x v="283"/>
    <n v="8.2727272727272734"/>
    <n v="3"/>
    <n v="1.5449915110356538"/>
    <d v="2024-04-12T00:00:00"/>
    <d v="2024-02-06T00:00:00"/>
    <x v="416"/>
    <s v="550 Clemons Plaza"/>
    <n v="56"/>
    <n v="90"/>
    <x v="1"/>
    <n v="273"/>
    <x v="1"/>
    <x v="0"/>
  </r>
  <r>
    <x v="417"/>
    <x v="50"/>
    <x v="5"/>
    <s v="01-445-8931"/>
    <x v="8"/>
    <x v="33"/>
    <n v="186"/>
    <n v="2"/>
    <n v="98"/>
    <x v="312"/>
    <n v="0.63265306122448983"/>
    <n v="3"/>
    <n v="1.0526315789473684"/>
    <s v="5/23/2024"/>
    <s v="10/18/2024"/>
    <x v="417"/>
    <s v="95 Onsgard Way"/>
    <n v="50"/>
    <n v="11"/>
    <x v="0"/>
    <n v="186"/>
    <x v="0"/>
    <x v="0"/>
  </r>
  <r>
    <x v="418"/>
    <x v="50"/>
    <x v="2"/>
    <s v="54-537-5633"/>
    <x v="240"/>
    <x v="33"/>
    <n v="3172.54"/>
    <n v="44"/>
    <n v="11"/>
    <x v="313"/>
    <n v="5.6363636363636367"/>
    <n v="51.17"/>
    <n v="1.0526315789473684"/>
    <d v="2025-08-01T00:00:00"/>
    <s v="4/16/2024"/>
    <x v="418"/>
    <s v="3 Hagan Drive"/>
    <n v="92"/>
    <n v="37"/>
    <x v="0"/>
    <n v="3172.54"/>
    <x v="0"/>
    <x v="0"/>
  </r>
  <r>
    <x v="419"/>
    <x v="50"/>
    <x v="5"/>
    <s v="90-727-4816"/>
    <x v="86"/>
    <x v="30"/>
    <n v="270"/>
    <n v="62"/>
    <n v="54"/>
    <x v="314"/>
    <n v="1.6666666666666667"/>
    <n v="3"/>
    <n v="1.5280135823429541"/>
    <s v="1/20/2025"/>
    <d v="2024-07-09T00:00:00"/>
    <x v="419"/>
    <s v="75 Bunting Junction"/>
    <n v="70"/>
    <n v="83"/>
    <x v="0"/>
    <n v="270"/>
    <x v="0"/>
    <x v="0"/>
  </r>
  <r>
    <x v="420"/>
    <x v="50"/>
    <x v="5"/>
    <s v="79-508-5241"/>
    <x v="241"/>
    <x v="60"/>
    <n v="78"/>
    <n v="54"/>
    <n v="90"/>
    <x v="65"/>
    <n v="0.28888888888888886"/>
    <n v="3"/>
    <n v="0.44142614601018676"/>
    <s v="10/15/2024"/>
    <s v="6/19/2024"/>
    <x v="420"/>
    <s v="82 Drewry Junction"/>
    <n v="25"/>
    <n v="81"/>
    <x v="1"/>
    <n v="78"/>
    <x v="2"/>
    <x v="0"/>
  </r>
  <r>
    <x v="421"/>
    <x v="50"/>
    <x v="5"/>
    <s v="42-638-2086"/>
    <x v="147"/>
    <x v="58"/>
    <n v="117"/>
    <n v="55"/>
    <n v="39"/>
    <x v="315"/>
    <n v="1"/>
    <n v="3"/>
    <n v="0.66213921901528017"/>
    <s v="8/15/2024"/>
    <d v="2024-07-07T00:00:00"/>
    <x v="421"/>
    <s v="7 Hooker Way"/>
    <n v="47"/>
    <n v="59"/>
    <x v="2"/>
    <n v="117"/>
    <x v="2"/>
    <x v="1"/>
  </r>
  <r>
    <x v="422"/>
    <x v="50"/>
    <x v="2"/>
    <s v="81-072-8266"/>
    <x v="159"/>
    <x v="73"/>
    <n v="1192.24"/>
    <n v="38"/>
    <n v="23"/>
    <x v="316"/>
    <n v="1.2173913043478262"/>
    <n v="42.58"/>
    <n v="0.47538200339558573"/>
    <s v="10/28/2024"/>
    <s v="12/15/2024"/>
    <x v="422"/>
    <s v="0500 Calypso Pass"/>
    <n v="48"/>
    <n v="56"/>
    <x v="2"/>
    <n v="1192.24"/>
    <x v="2"/>
    <x v="1"/>
  </r>
  <r>
    <x v="423"/>
    <x v="51"/>
    <x v="2"/>
    <s v="51-014-4287"/>
    <x v="162"/>
    <x v="13"/>
    <n v="162"/>
    <n v="99"/>
    <n v="28"/>
    <x v="317"/>
    <n v="2.8928571428571428"/>
    <n v="2"/>
    <n v="1.3752122241086588"/>
    <s v="9/30/2024"/>
    <s v="2/14/2025"/>
    <x v="423"/>
    <s v="37 Browning Trail"/>
    <n v="20"/>
    <n v="85"/>
    <x v="0"/>
    <n v="162"/>
    <x v="0"/>
    <x v="0"/>
  </r>
  <r>
    <x v="424"/>
    <x v="51"/>
    <x v="2"/>
    <s v="38-310-4533"/>
    <x v="24"/>
    <x v="78"/>
    <n v="62"/>
    <n v="55"/>
    <n v="5"/>
    <x v="266"/>
    <n v="6.2"/>
    <n v="2"/>
    <n v="0.52631578947368418"/>
    <d v="2024-10-09T00:00:00"/>
    <s v="2/18/2025"/>
    <x v="424"/>
    <s v="379 Duke Court"/>
    <n v="71"/>
    <n v="46"/>
    <x v="1"/>
    <n v="62"/>
    <x v="2"/>
    <x v="1"/>
  </r>
  <r>
    <x v="425"/>
    <x v="51"/>
    <x v="2"/>
    <s v="30-942-0054"/>
    <x v="180"/>
    <x v="20"/>
    <n v="180.6"/>
    <n v="90"/>
    <n v="39"/>
    <x v="318"/>
    <n v="2.2051282051282053"/>
    <n v="2.1"/>
    <n v="1.4601018675721562"/>
    <s v="10/20/2024"/>
    <s v="2/28/2024"/>
    <x v="425"/>
    <s v="77 Monterey Avenue"/>
    <n v="98"/>
    <n v="85"/>
    <x v="1"/>
    <n v="180.6"/>
    <x v="2"/>
    <x v="0"/>
  </r>
  <r>
    <x v="426"/>
    <x v="51"/>
    <x v="2"/>
    <s v="37-599-8579"/>
    <x v="92"/>
    <x v="71"/>
    <n v="38"/>
    <n v="92"/>
    <n v="41"/>
    <x v="319"/>
    <n v="0.46341463414634149"/>
    <n v="2"/>
    <n v="0.32258064516129031"/>
    <d v="2025-05-01T00:00:00"/>
    <d v="2025-11-01T00:00:00"/>
    <x v="426"/>
    <s v="6 Bay Road"/>
    <n v="51"/>
    <n v="79"/>
    <x v="1"/>
    <n v="38"/>
    <x v="2"/>
    <x v="1"/>
  </r>
  <r>
    <x v="427"/>
    <x v="51"/>
    <x v="2"/>
    <s v="99-145-4924"/>
    <x v="40"/>
    <x v="78"/>
    <n v="65.100000000000009"/>
    <n v="61"/>
    <n v="28"/>
    <x v="320"/>
    <n v="1.1071428571428572"/>
    <n v="2.1"/>
    <n v="0.52631578947368418"/>
    <d v="2024-10-03T00:00:00"/>
    <d v="2024-09-07T00:00:00"/>
    <x v="427"/>
    <s v="62494 Longview Drive"/>
    <n v="55"/>
    <n v="70"/>
    <x v="1"/>
    <n v="65.100000000000009"/>
    <x v="2"/>
    <x v="1"/>
  </r>
  <r>
    <x v="428"/>
    <x v="51"/>
    <x v="2"/>
    <s v="49-901-0828"/>
    <x v="242"/>
    <x v="51"/>
    <n v="207.9"/>
    <n v="37"/>
    <n v="74"/>
    <x v="321"/>
    <n v="1.3378378378378379"/>
    <n v="2.1"/>
    <n v="1.6808149405772497"/>
    <s v="7/25/2024"/>
    <s v="12/21/2024"/>
    <x v="428"/>
    <s v="92 Bartelt Terrace"/>
    <n v="46"/>
    <n v="46"/>
    <x v="1"/>
    <n v="207.9"/>
    <x v="1"/>
    <x v="1"/>
  </r>
  <r>
    <x v="429"/>
    <x v="51"/>
    <x v="2"/>
    <s v="08-824-4585"/>
    <x v="123"/>
    <x v="60"/>
    <n v="52"/>
    <n v="70"/>
    <n v="52"/>
    <x v="322"/>
    <n v="0.5"/>
    <n v="2"/>
    <n v="0.44142614601018676"/>
    <d v="2024-07-09T00:00:00"/>
    <d v="2024-10-03T00:00:00"/>
    <x v="429"/>
    <s v="00 Ridgeway Plaza"/>
    <n v="36"/>
    <n v="10"/>
    <x v="0"/>
    <n v="52"/>
    <x v="0"/>
    <x v="1"/>
  </r>
  <r>
    <x v="430"/>
    <x v="51"/>
    <x v="2"/>
    <s v="04-391-8892"/>
    <x v="67"/>
    <x v="31"/>
    <n v="84"/>
    <n v="48"/>
    <n v="18"/>
    <x v="169"/>
    <n v="2.3333333333333335"/>
    <n v="2"/>
    <n v="0.71307300509337868"/>
    <d v="2025-09-01T00:00:00"/>
    <s v="4/19/2024"/>
    <x v="430"/>
    <s v="1615 Bellgrove Crossing"/>
    <n v="39"/>
    <n v="57"/>
    <x v="1"/>
    <n v="84"/>
    <x v="2"/>
    <x v="1"/>
  </r>
  <r>
    <x v="431"/>
    <x v="52"/>
    <x v="3"/>
    <s v="53-844-0478"/>
    <x v="243"/>
    <x v="33"/>
    <n v="744"/>
    <n v="89"/>
    <n v="18"/>
    <x v="281"/>
    <n v="3.4444444444444446"/>
    <n v="12"/>
    <n v="1.0526315789473684"/>
    <d v="2024-12-03T00:00:00"/>
    <d v="2025-12-02T00:00:00"/>
    <x v="431"/>
    <s v="90865 Sherman Court"/>
    <n v="35"/>
    <n v="36"/>
    <x v="1"/>
    <n v="744"/>
    <x v="2"/>
    <x v="0"/>
  </r>
  <r>
    <x v="432"/>
    <x v="52"/>
    <x v="3"/>
    <s v="56-554-1762"/>
    <x v="244"/>
    <x v="4"/>
    <n v="937.5"/>
    <n v="47"/>
    <n v="33"/>
    <x v="323"/>
    <n v="2.2727272727272729"/>
    <n v="12.5"/>
    <n v="1.2733446519524618"/>
    <s v="6/26/2024"/>
    <d v="2024-09-12T00:00:00"/>
    <x v="432"/>
    <s v="3 Raven Court"/>
    <n v="33"/>
    <n v="12"/>
    <x v="0"/>
    <n v="937.5"/>
    <x v="0"/>
    <x v="1"/>
  </r>
  <r>
    <x v="433"/>
    <x v="52"/>
    <x v="3"/>
    <s v="29-143-2001"/>
    <x v="238"/>
    <x v="74"/>
    <n v="324"/>
    <n v="12"/>
    <n v="93"/>
    <x v="324"/>
    <n v="0.29032258064516131"/>
    <n v="12"/>
    <n v="0.45840407470288624"/>
    <d v="2024-04-03T00:00:00"/>
    <d v="2024-12-07T00:00:00"/>
    <x v="433"/>
    <s v="97 Thierer Terrace"/>
    <n v="88"/>
    <n v="83"/>
    <x v="0"/>
    <n v="324"/>
    <x v="0"/>
    <x v="0"/>
  </r>
  <r>
    <x v="434"/>
    <x v="52"/>
    <x v="3"/>
    <s v="29-359-0109"/>
    <x v="161"/>
    <x v="23"/>
    <n v="516"/>
    <n v="38"/>
    <n v="63"/>
    <x v="325"/>
    <n v="0.68253968253968256"/>
    <n v="12"/>
    <n v="0.7300509337860781"/>
    <s v="3/31/2024"/>
    <d v="2025-02-02T00:00:00"/>
    <x v="434"/>
    <s v="0 Stoughton Terrace"/>
    <n v="88"/>
    <n v="65"/>
    <x v="2"/>
    <n v="516"/>
    <x v="1"/>
    <x v="0"/>
  </r>
  <r>
    <x v="435"/>
    <x v="52"/>
    <x v="3"/>
    <s v="67-404-3362"/>
    <x v="86"/>
    <x v="30"/>
    <n v="1080"/>
    <n v="68"/>
    <n v="74"/>
    <x v="326"/>
    <n v="1.2162162162162162"/>
    <n v="12"/>
    <n v="1.5280135823429541"/>
    <d v="2024-02-04T00:00:00"/>
    <s v="11/26/2024"/>
    <x v="435"/>
    <s v="35 Golf Course Alley"/>
    <n v="81"/>
    <n v="26"/>
    <x v="2"/>
    <n v="1080"/>
    <x v="1"/>
    <x v="1"/>
  </r>
  <r>
    <x v="436"/>
    <x v="52"/>
    <x v="3"/>
    <s v="83-076-5024"/>
    <x v="166"/>
    <x v="85"/>
    <n v="348"/>
    <n v="91"/>
    <n v="48"/>
    <x v="327"/>
    <n v="0.60416666666666663"/>
    <n v="12"/>
    <n v="0.49235993208828527"/>
    <d v="2024-05-10T00:00:00"/>
    <d v="2024-10-07T00:00:00"/>
    <x v="436"/>
    <s v="744 Lakewood Gardens Crossing"/>
    <n v="28"/>
    <n v="40"/>
    <x v="1"/>
    <n v="348"/>
    <x v="2"/>
    <x v="1"/>
  </r>
  <r>
    <x v="437"/>
    <x v="52"/>
    <x v="3"/>
    <s v="22-959-6357"/>
    <x v="138"/>
    <x v="66"/>
    <n v="762.5"/>
    <n v="31"/>
    <n v="100"/>
    <x v="328"/>
    <n v="0.61"/>
    <n v="12.5"/>
    <n v="1.0356536502546689"/>
    <s v="12/30/2024"/>
    <s v="3/16/2024"/>
    <x v="437"/>
    <s v="87 Bluestem Parkway"/>
    <n v="95"/>
    <n v="61"/>
    <x v="1"/>
    <n v="762.5"/>
    <x v="1"/>
    <x v="1"/>
  </r>
  <r>
    <x v="438"/>
    <x v="52"/>
    <x v="3"/>
    <s v="84-835-1656"/>
    <x v="73"/>
    <x v="43"/>
    <n v="240"/>
    <n v="68"/>
    <n v="20"/>
    <x v="216"/>
    <n v="1"/>
    <n v="12"/>
    <n v="0.3395585738539898"/>
    <d v="2025-09-01T00:00:00"/>
    <d v="2024-04-07T00:00:00"/>
    <x v="438"/>
    <s v="581 Oneill Crossing"/>
    <n v="38"/>
    <n v="51"/>
    <x v="1"/>
    <n v="240"/>
    <x v="2"/>
    <x v="1"/>
  </r>
  <r>
    <x v="439"/>
    <x v="53"/>
    <x v="3"/>
    <s v="21-792-1000"/>
    <x v="245"/>
    <x v="77"/>
    <n v="504"/>
    <n v="92"/>
    <n v="26"/>
    <x v="136"/>
    <n v="2.4230769230769229"/>
    <n v="8"/>
    <n v="1.069609507640068"/>
    <s v="8/18/2024"/>
    <d v="2025-12-02T00:00:00"/>
    <x v="439"/>
    <s v="2 Petterle Road"/>
    <n v="93"/>
    <n v="99"/>
    <x v="1"/>
    <n v="504"/>
    <x v="2"/>
    <x v="1"/>
  </r>
  <r>
    <x v="440"/>
    <x v="53"/>
    <x v="3"/>
    <s v="85-670-6379"/>
    <x v="154"/>
    <x v="59"/>
    <n v="120"/>
    <n v="66"/>
    <n v="85"/>
    <x v="329"/>
    <n v="0.17647058823529413"/>
    <n v="8"/>
    <n v="0.25466893039049238"/>
    <s v="10/18/2024"/>
    <d v="2024-03-07T00:00:00"/>
    <x v="440"/>
    <s v="443 Browning Terrace"/>
    <n v="60"/>
    <n v="40"/>
    <x v="2"/>
    <n v="120"/>
    <x v="2"/>
    <x v="0"/>
  </r>
  <r>
    <x v="441"/>
    <x v="53"/>
    <x v="3"/>
    <s v="60-003-2919"/>
    <x v="246"/>
    <x v="19"/>
    <n v="387.59999999999997"/>
    <n v="1"/>
    <n v="61"/>
    <x v="330"/>
    <n v="0.83606557377049184"/>
    <n v="7.6"/>
    <n v="0.86587436332767409"/>
    <s v="3/29/2024"/>
    <s v="6/18/2024"/>
    <x v="441"/>
    <s v="3 Forster Point"/>
    <n v="96"/>
    <n v="26"/>
    <x v="1"/>
    <n v="387.59999999999997"/>
    <x v="1"/>
    <x v="0"/>
  </r>
  <r>
    <x v="442"/>
    <x v="53"/>
    <x v="3"/>
    <s v="07-471-0050"/>
    <x v="247"/>
    <x v="49"/>
    <n v="680"/>
    <n v="54"/>
    <n v="21"/>
    <x v="331"/>
    <n v="3.8095238095238093"/>
    <n v="8.5"/>
    <n v="1.3582342954159592"/>
    <s v="8/24/2024"/>
    <s v="9/30/2024"/>
    <x v="442"/>
    <s v="226 Calypso Road"/>
    <n v="81"/>
    <n v="37"/>
    <x v="1"/>
    <n v="680"/>
    <x v="1"/>
    <x v="0"/>
  </r>
  <r>
    <x v="443"/>
    <x v="53"/>
    <x v="3"/>
    <s v="64-807-5250"/>
    <x v="209"/>
    <x v="46"/>
    <n v="272"/>
    <n v="47"/>
    <n v="99"/>
    <x v="332"/>
    <n v="0.34343434343434343"/>
    <n v="8"/>
    <n v="0.57724957555178269"/>
    <s v="1/23/2025"/>
    <d v="2024-03-07T00:00:00"/>
    <x v="443"/>
    <s v="1223 Monument Drive"/>
    <n v="97"/>
    <n v="47"/>
    <x v="2"/>
    <n v="272"/>
    <x v="2"/>
    <x v="0"/>
  </r>
  <r>
    <x v="444"/>
    <x v="53"/>
    <x v="3"/>
    <s v="92-296-1266"/>
    <x v="248"/>
    <x v="12"/>
    <n v="704"/>
    <n v="50"/>
    <n v="88"/>
    <x v="333"/>
    <n v="1"/>
    <n v="8"/>
    <n v="1.4940577249575553"/>
    <s v="8/23/2024"/>
    <s v="11/13/2024"/>
    <x v="444"/>
    <s v="20073 Northfield Way"/>
    <n v="78"/>
    <n v="28"/>
    <x v="0"/>
    <n v="704"/>
    <x v="0"/>
    <x v="0"/>
  </r>
  <r>
    <x v="445"/>
    <x v="53"/>
    <x v="3"/>
    <s v="01-665-0053"/>
    <x v="21"/>
    <x v="58"/>
    <n v="312"/>
    <n v="88"/>
    <n v="100"/>
    <x v="214"/>
    <n v="0.39"/>
    <n v="8"/>
    <n v="0.66213921901528017"/>
    <s v="11/25/2024"/>
    <s v="1/30/2025"/>
    <x v="445"/>
    <s v="7 Hallows Alley"/>
    <n v="28"/>
    <n v="18"/>
    <x v="2"/>
    <n v="312"/>
    <x v="2"/>
    <x v="1"/>
  </r>
  <r>
    <x v="446"/>
    <x v="53"/>
    <x v="3"/>
    <s v="56-825-0880"/>
    <x v="163"/>
    <x v="55"/>
    <n v="192"/>
    <n v="27"/>
    <n v="35"/>
    <x v="29"/>
    <n v="0.68571428571428572"/>
    <n v="8"/>
    <n v="0.40747028862478779"/>
    <s v="10/14/2024"/>
    <s v="1/31/2025"/>
    <x v="446"/>
    <s v="51369 Dawn Hill"/>
    <n v="49"/>
    <n v="58"/>
    <x v="1"/>
    <n v="192"/>
    <x v="2"/>
    <x v="1"/>
  </r>
  <r>
    <x v="447"/>
    <x v="53"/>
    <x v="3"/>
    <s v="27-493-6787"/>
    <x v="151"/>
    <x v="60"/>
    <n v="208"/>
    <n v="59"/>
    <n v="54"/>
    <x v="55"/>
    <n v="0.48148148148148145"/>
    <n v="8"/>
    <n v="0.44142614601018676"/>
    <d v="2024-10-08T00:00:00"/>
    <s v="11/24/2024"/>
    <x v="447"/>
    <s v="5306 Arkansas Avenue"/>
    <n v="92"/>
    <n v="49"/>
    <x v="1"/>
    <n v="208"/>
    <x v="2"/>
    <x v="1"/>
  </r>
  <r>
    <x v="448"/>
    <x v="53"/>
    <x v="3"/>
    <s v="57-412-5368"/>
    <x v="46"/>
    <x v="21"/>
    <n v="512"/>
    <n v="66"/>
    <n v="28"/>
    <x v="334"/>
    <n v="2.2857142857142856"/>
    <n v="8"/>
    <n v="1.0865874363327674"/>
    <s v="5/28/2024"/>
    <s v="1/14/2025"/>
    <x v="448"/>
    <s v="0 Sutteridge Trail"/>
    <n v="25"/>
    <n v="52"/>
    <x v="0"/>
    <n v="512"/>
    <x v="0"/>
    <x v="1"/>
  </r>
  <r>
    <x v="449"/>
    <x v="54"/>
    <x v="1"/>
    <s v="38-622-5251"/>
    <x v="187"/>
    <x v="36"/>
    <n v="414"/>
    <n v="28"/>
    <n v="73"/>
    <x v="335"/>
    <n v="0.63013698630136983"/>
    <n v="9"/>
    <n v="0.78098471986417661"/>
    <s v="5/28/2024"/>
    <s v="10/28/2024"/>
    <x v="449"/>
    <s v="582 Sauthoff Crossing"/>
    <n v="65"/>
    <n v="57"/>
    <x v="0"/>
    <n v="414"/>
    <x v="0"/>
    <x v="0"/>
  </r>
  <r>
    <x v="450"/>
    <x v="54"/>
    <x v="1"/>
    <s v="62-979-5038"/>
    <x v="249"/>
    <x v="22"/>
    <n v="837"/>
    <n v="62"/>
    <n v="65"/>
    <x v="336"/>
    <n v="1.4307692307692308"/>
    <n v="9"/>
    <n v="1.5789473684210527"/>
    <d v="2024-09-06T00:00:00"/>
    <s v="6/22/2024"/>
    <x v="450"/>
    <s v="1 Westport Crossing"/>
    <n v="78"/>
    <n v="87"/>
    <x v="1"/>
    <n v="837"/>
    <x v="1"/>
    <x v="0"/>
  </r>
  <r>
    <x v="451"/>
    <x v="54"/>
    <x v="1"/>
    <s v="04-786-5408"/>
    <x v="250"/>
    <x v="25"/>
    <n v="153"/>
    <n v="38"/>
    <n v="93"/>
    <x v="337"/>
    <n v="0.18279569892473119"/>
    <n v="9"/>
    <n v="0.28862478777589134"/>
    <s v="2/14/2025"/>
    <s v="8/20/2024"/>
    <x v="451"/>
    <s v="952 Rowland Junction"/>
    <n v="100"/>
    <n v="63"/>
    <x v="1"/>
    <n v="153"/>
    <x v="2"/>
    <x v="0"/>
  </r>
  <r>
    <x v="452"/>
    <x v="54"/>
    <x v="1"/>
    <s v="73-201-2803"/>
    <x v="251"/>
    <x v="26"/>
    <n v="756"/>
    <n v="8"/>
    <n v="54"/>
    <x v="338"/>
    <n v="1.5555555555555556"/>
    <n v="9"/>
    <n v="1.4261460101867574"/>
    <s v="1/14/2025"/>
    <s v="4/23/2024"/>
    <x v="452"/>
    <s v="234 Eagle Crest Avenue"/>
    <n v="60"/>
    <n v="38"/>
    <x v="1"/>
    <n v="756"/>
    <x v="1"/>
    <x v="0"/>
  </r>
  <r>
    <x v="453"/>
    <x v="54"/>
    <x v="1"/>
    <s v="59-781-3399"/>
    <x v="122"/>
    <x v="56"/>
    <n v="270"/>
    <n v="81"/>
    <n v="99"/>
    <x v="339"/>
    <n v="0.30303030303030304"/>
    <n v="9"/>
    <n v="0.50933786078098475"/>
    <s v="7/22/2024"/>
    <s v="1/30/2025"/>
    <x v="453"/>
    <s v="665 Sommers Circle"/>
    <n v="99"/>
    <n v="3"/>
    <x v="2"/>
    <n v="270"/>
    <x v="2"/>
    <x v="0"/>
  </r>
  <r>
    <x v="454"/>
    <x v="54"/>
    <x v="1"/>
    <s v="24-568-9517"/>
    <x v="182"/>
    <x v="4"/>
    <n v="675"/>
    <n v="80"/>
    <n v="87"/>
    <x v="340"/>
    <n v="0.86206896551724133"/>
    <n v="9"/>
    <n v="1.2733446519524618"/>
    <d v="2024-06-07T00:00:00"/>
    <d v="2024-03-10T00:00:00"/>
    <x v="454"/>
    <s v="1 Monica Lane"/>
    <n v="49"/>
    <n v="40"/>
    <x v="2"/>
    <n v="675"/>
    <x v="2"/>
    <x v="0"/>
  </r>
  <r>
    <x v="455"/>
    <x v="54"/>
    <x v="1"/>
    <s v="68-885-5553"/>
    <x v="21"/>
    <x v="23"/>
    <n v="387"/>
    <n v="7"/>
    <n v="63"/>
    <x v="341"/>
    <n v="0.68253968253968256"/>
    <n v="9"/>
    <n v="0.7300509337860781"/>
    <s v="9/26/2024"/>
    <s v="7/24/2024"/>
    <x v="455"/>
    <s v="21379 Stoughton Junction"/>
    <n v="66"/>
    <n v="71"/>
    <x v="1"/>
    <n v="387"/>
    <x v="1"/>
    <x v="1"/>
  </r>
  <r>
    <x v="456"/>
    <x v="54"/>
    <x v="1"/>
    <s v="15-466-5131"/>
    <x v="54"/>
    <x v="5"/>
    <n v="684"/>
    <n v="57"/>
    <n v="78"/>
    <x v="342"/>
    <n v="0.97435897435897434"/>
    <n v="9"/>
    <n v="1.2903225806451613"/>
    <s v="6/18/2024"/>
    <s v="6/27/2024"/>
    <x v="456"/>
    <s v="12 Luster Terrace"/>
    <n v="52"/>
    <n v="86"/>
    <x v="0"/>
    <n v="684"/>
    <x v="0"/>
    <x v="1"/>
  </r>
  <r>
    <x v="457"/>
    <x v="54"/>
    <x v="1"/>
    <s v="28-162-7486"/>
    <x v="252"/>
    <x v="7"/>
    <n v="711"/>
    <n v="53"/>
    <n v="12"/>
    <x v="248"/>
    <n v="6.583333333333333"/>
    <n v="9"/>
    <n v="1.3412563667232598"/>
    <s v="8/18/2024"/>
    <s v="5/29/2024"/>
    <x v="457"/>
    <s v="8 Autumn Leaf Drive"/>
    <n v="45"/>
    <n v="95"/>
    <x v="0"/>
    <n v="711"/>
    <x v="0"/>
    <x v="1"/>
  </r>
  <r>
    <x v="458"/>
    <x v="54"/>
    <x v="1"/>
    <s v="29-542-9338"/>
    <x v="253"/>
    <x v="39"/>
    <n v="882"/>
    <n v="100"/>
    <n v="34"/>
    <x v="343"/>
    <n v="2.8823529411764706"/>
    <n v="9"/>
    <n v="1.66383701188455"/>
    <s v="10/13/2024"/>
    <s v="2/28/2024"/>
    <x v="458"/>
    <s v="9 Anhalt Trail"/>
    <n v="53"/>
    <n v="20"/>
    <x v="1"/>
    <n v="882"/>
    <x v="2"/>
    <x v="1"/>
  </r>
  <r>
    <x v="459"/>
    <x v="54"/>
    <x v="1"/>
    <s v="66-563-9462"/>
    <x v="192"/>
    <x v="61"/>
    <n v="99"/>
    <n v="87"/>
    <n v="43"/>
    <x v="210"/>
    <n v="0.2558139534883721"/>
    <n v="9"/>
    <n v="0.18675721561969441"/>
    <d v="2025-02-01T00:00:00"/>
    <d v="2024-06-06T00:00:00"/>
    <x v="459"/>
    <s v="2 Russell Alley"/>
    <n v="86"/>
    <n v="91"/>
    <x v="1"/>
    <n v="99"/>
    <x v="2"/>
    <x v="1"/>
  </r>
  <r>
    <x v="460"/>
    <x v="54"/>
    <x v="1"/>
    <s v="86-184-4829"/>
    <x v="26"/>
    <x v="84"/>
    <n v="603"/>
    <n v="71"/>
    <n v="4"/>
    <x v="169"/>
    <n v="16.75"/>
    <n v="9"/>
    <n v="1.137521222410866"/>
    <s v="12/19/2024"/>
    <s v="4/14/2024"/>
    <x v="460"/>
    <s v="269 Dakota Trail"/>
    <n v="76"/>
    <n v="34"/>
    <x v="2"/>
    <n v="603"/>
    <x v="2"/>
    <x v="1"/>
  </r>
  <r>
    <x v="461"/>
    <x v="54"/>
    <x v="1"/>
    <s v="30-934-3251"/>
    <x v="253"/>
    <x v="71"/>
    <n v="171"/>
    <n v="99"/>
    <n v="78"/>
    <x v="342"/>
    <n v="0.24358974358974358"/>
    <n v="9"/>
    <n v="0.32258064516129031"/>
    <s v="11/21/2024"/>
    <s v="2/17/2025"/>
    <x v="461"/>
    <s v="1005 Lyons Junction"/>
    <n v="29"/>
    <n v="54"/>
    <x v="0"/>
    <n v="171"/>
    <x v="0"/>
    <x v="1"/>
  </r>
  <r>
    <x v="462"/>
    <x v="54"/>
    <x v="1"/>
    <s v="26-730-0925"/>
    <x v="98"/>
    <x v="66"/>
    <n v="549"/>
    <n v="91"/>
    <n v="40"/>
    <x v="15"/>
    <n v="1.5249999999999999"/>
    <n v="9"/>
    <n v="1.0356536502546689"/>
    <d v="2025-08-01T00:00:00"/>
    <s v="8/27/2024"/>
    <x v="462"/>
    <s v="21530 Prentice Place"/>
    <n v="34"/>
    <n v="76"/>
    <x v="1"/>
    <n v="549"/>
    <x v="2"/>
    <x v="1"/>
  </r>
  <r>
    <x v="463"/>
    <x v="55"/>
    <x v="1"/>
    <s v="14-703-2550"/>
    <x v="12"/>
    <x v="68"/>
    <n v="800"/>
    <n v="81"/>
    <n v="78"/>
    <x v="344"/>
    <n v="0.51282051282051277"/>
    <n v="20"/>
    <n v="0.6791171477079796"/>
    <s v="2/17/2025"/>
    <s v="7/16/2024"/>
    <x v="463"/>
    <s v="21 Sunbrook Court"/>
    <n v="39"/>
    <n v="65"/>
    <x v="2"/>
    <n v="800"/>
    <x v="2"/>
    <x v="0"/>
  </r>
  <r>
    <x v="464"/>
    <x v="55"/>
    <x v="1"/>
    <s v="79-518-8344"/>
    <x v="254"/>
    <x v="50"/>
    <n v="360"/>
    <n v="46"/>
    <n v="26"/>
    <x v="66"/>
    <n v="0.69230769230769229"/>
    <n v="20"/>
    <n v="0.30560271646859083"/>
    <d v="2024-10-04T00:00:00"/>
    <d v="2024-10-10T00:00:00"/>
    <x v="464"/>
    <s v="26266 Esker Point"/>
    <n v="57"/>
    <n v="95"/>
    <x v="2"/>
    <n v="360"/>
    <x v="2"/>
    <x v="0"/>
  </r>
  <r>
    <x v="465"/>
    <x v="55"/>
    <x v="1"/>
    <s v="69-289-8783"/>
    <x v="1"/>
    <x v="79"/>
    <n v="940"/>
    <n v="29"/>
    <n v="70"/>
    <x v="345"/>
    <n v="0.67142857142857137"/>
    <n v="20"/>
    <n v="0.79796264855687604"/>
    <d v="2024-09-08T00:00:00"/>
    <d v="2024-07-12T00:00:00"/>
    <x v="465"/>
    <s v="7 Riverside Road"/>
    <n v="61"/>
    <n v="44"/>
    <x v="1"/>
    <n v="940"/>
    <x v="1"/>
    <x v="0"/>
  </r>
  <r>
    <x v="466"/>
    <x v="55"/>
    <x v="1"/>
    <s v="85-454-9252"/>
    <x v="143"/>
    <x v="57"/>
    <n v="1640"/>
    <n v="31"/>
    <n v="86"/>
    <x v="346"/>
    <n v="0.95348837209302328"/>
    <n v="20"/>
    <n v="1.3921901528013583"/>
    <d v="2024-10-04T00:00:00"/>
    <s v="5/17/2024"/>
    <x v="466"/>
    <s v="6410 Northwestern Pass"/>
    <n v="66"/>
    <n v="74"/>
    <x v="1"/>
    <n v="1640"/>
    <x v="1"/>
    <x v="1"/>
  </r>
  <r>
    <x v="467"/>
    <x v="55"/>
    <x v="1"/>
    <s v="10-950-0546"/>
    <x v="236"/>
    <x v="72"/>
    <n v="700"/>
    <n v="72"/>
    <n v="70"/>
    <x v="345"/>
    <n v="0.5"/>
    <n v="20"/>
    <n v="0.59422750424448223"/>
    <s v="4/17/2024"/>
    <d v="2024-04-04T00:00:00"/>
    <x v="467"/>
    <s v="29150 Farmco Crossing"/>
    <n v="74"/>
    <n v="15"/>
    <x v="2"/>
    <n v="700"/>
    <x v="2"/>
    <x v="1"/>
  </r>
  <r>
    <x v="468"/>
    <x v="55"/>
    <x v="1"/>
    <s v="62-312-2748"/>
    <x v="9"/>
    <x v="12"/>
    <n v="1760"/>
    <n v="42"/>
    <n v="68"/>
    <x v="347"/>
    <n v="1.2941176470588236"/>
    <n v="20"/>
    <n v="1.4940577249575553"/>
    <s v="6/23/2024"/>
    <s v="11/29/2024"/>
    <x v="468"/>
    <s v="1715 Dottie Pass"/>
    <n v="92"/>
    <n v="29"/>
    <x v="1"/>
    <n v="1760"/>
    <x v="1"/>
    <x v="1"/>
  </r>
  <r>
    <x v="469"/>
    <x v="55"/>
    <x v="1"/>
    <s v="28-977-3789"/>
    <x v="68"/>
    <x v="47"/>
    <n v="1360"/>
    <n v="43"/>
    <n v="96"/>
    <x v="348"/>
    <n v="0.70833333333333337"/>
    <n v="20"/>
    <n v="1.1544991511035654"/>
    <s v="11/17/2024"/>
    <s v="4/28/2024"/>
    <x v="469"/>
    <s v="5 Ohio Lane"/>
    <n v="75"/>
    <n v="35"/>
    <x v="2"/>
    <n v="1360"/>
    <x v="1"/>
    <x v="1"/>
  </r>
  <r>
    <x v="470"/>
    <x v="55"/>
    <x v="1"/>
    <s v="19-985-9694"/>
    <x v="255"/>
    <x v="54"/>
    <n v="280"/>
    <n v="67"/>
    <n v="65"/>
    <x v="349"/>
    <n v="0.2153846153846154"/>
    <n v="20"/>
    <n v="0.23769100169779286"/>
    <s v="3/14/2024"/>
    <s v="10/19/2024"/>
    <x v="470"/>
    <s v="3 John Wall Point"/>
    <n v="71"/>
    <n v="94"/>
    <x v="0"/>
    <n v="280"/>
    <x v="0"/>
    <x v="1"/>
  </r>
  <r>
    <x v="471"/>
    <x v="56"/>
    <x v="5"/>
    <s v="01-517-7793"/>
    <x v="214"/>
    <x v="11"/>
    <n v="48"/>
    <n v="60"/>
    <n v="73"/>
    <x v="350"/>
    <n v="0.16438356164383561"/>
    <n v="4"/>
    <n v="0.2037351443123939"/>
    <d v="2025-03-02T00:00:00"/>
    <s v="3/16/2024"/>
    <x v="471"/>
    <s v="00 Luster Alley"/>
    <n v="20"/>
    <n v="35"/>
    <x v="0"/>
    <n v="48"/>
    <x v="0"/>
    <x v="0"/>
  </r>
  <r>
    <x v="472"/>
    <x v="56"/>
    <x v="5"/>
    <s v="97-150-9199"/>
    <x v="108"/>
    <x v="54"/>
    <n v="58.800000000000004"/>
    <n v="99"/>
    <n v="97"/>
    <x v="351"/>
    <n v="0.14432989690721648"/>
    <n v="4.2"/>
    <n v="0.23769100169779286"/>
    <s v="4/21/2024"/>
    <d v="2025-06-01T00:00:00"/>
    <x v="472"/>
    <s v="6 Messerschmidt Place"/>
    <n v="28"/>
    <n v="45"/>
    <x v="0"/>
    <n v="58.800000000000004"/>
    <x v="0"/>
    <x v="0"/>
  </r>
  <r>
    <x v="473"/>
    <x v="56"/>
    <x v="5"/>
    <s v="99-034-7010"/>
    <x v="256"/>
    <x v="75"/>
    <n v="228"/>
    <n v="62"/>
    <n v="72"/>
    <x v="73"/>
    <n v="0.79166666666666663"/>
    <n v="4"/>
    <n v="0.967741935483871"/>
    <s v="2/21/2025"/>
    <s v="9/25/2024"/>
    <x v="473"/>
    <s v="850 Glacier Hill Drive"/>
    <n v="23"/>
    <n v="4"/>
    <x v="2"/>
    <n v="228"/>
    <x v="2"/>
    <x v="0"/>
  </r>
  <r>
    <x v="474"/>
    <x v="56"/>
    <x v="5"/>
    <s v="26-073-5798"/>
    <x v="245"/>
    <x v="77"/>
    <n v="252"/>
    <n v="48"/>
    <n v="22"/>
    <x v="212"/>
    <n v="2.8636363636363638"/>
    <n v="4"/>
    <n v="1.069609507640068"/>
    <s v="5/30/2024"/>
    <s v="2/18/2025"/>
    <x v="474"/>
    <s v="2 Kingsford Center"/>
    <n v="21"/>
    <n v="90"/>
    <x v="0"/>
    <n v="252"/>
    <x v="0"/>
    <x v="0"/>
  </r>
  <r>
    <x v="475"/>
    <x v="56"/>
    <x v="5"/>
    <s v="75-985-6744"/>
    <x v="185"/>
    <x v="57"/>
    <n v="336.2"/>
    <n v="12"/>
    <n v="94"/>
    <x v="352"/>
    <n v="0.87234042553191493"/>
    <n v="4.0999999999999996"/>
    <n v="1.3921901528013583"/>
    <s v="2/28/2024"/>
    <s v="6/20/2024"/>
    <x v="475"/>
    <s v="2 Canary Street"/>
    <n v="69"/>
    <n v="93"/>
    <x v="1"/>
    <n v="336.2"/>
    <x v="1"/>
    <x v="1"/>
  </r>
  <r>
    <x v="476"/>
    <x v="56"/>
    <x v="5"/>
    <s v="07-432-0137"/>
    <x v="37"/>
    <x v="8"/>
    <n v="296"/>
    <n v="62"/>
    <n v="6"/>
    <x v="140"/>
    <n v="12.333333333333334"/>
    <n v="4"/>
    <n v="1.2563667232597624"/>
    <s v="12/27/2024"/>
    <s v="1/13/2025"/>
    <x v="476"/>
    <s v="7943 Amoth Parkway"/>
    <n v="65"/>
    <n v="96"/>
    <x v="1"/>
    <n v="296"/>
    <x v="1"/>
    <x v="1"/>
  </r>
  <r>
    <x v="477"/>
    <x v="56"/>
    <x v="5"/>
    <s v="05-966-6460"/>
    <x v="50"/>
    <x v="8"/>
    <n v="296"/>
    <n v="60"/>
    <n v="27"/>
    <x v="248"/>
    <n v="2.7407407407407409"/>
    <n v="4"/>
    <n v="1.2563667232597624"/>
    <s v="6/17/2024"/>
    <s v="5/22/2024"/>
    <x v="477"/>
    <s v="9848 Little Fleur Point"/>
    <n v="99"/>
    <n v="68"/>
    <x v="2"/>
    <n v="296"/>
    <x v="1"/>
    <x v="1"/>
  </r>
  <r>
    <x v="478"/>
    <x v="56"/>
    <x v="5"/>
    <s v="78-954-5649"/>
    <x v="257"/>
    <x v="10"/>
    <n v="340"/>
    <n v="15"/>
    <n v="30"/>
    <x v="38"/>
    <n v="2.8333333333333335"/>
    <n v="4"/>
    <n v="1.4431239388794568"/>
    <s v="4/16/2024"/>
    <s v="10/25/2024"/>
    <x v="478"/>
    <s v="40113 Blaine Place"/>
    <n v="95"/>
    <n v="63"/>
    <x v="1"/>
    <n v="340"/>
    <x v="1"/>
    <x v="1"/>
  </r>
  <r>
    <x v="479"/>
    <x v="56"/>
    <x v="5"/>
    <s v="84-090-6472"/>
    <x v="69"/>
    <x v="10"/>
    <n v="357"/>
    <n v="66"/>
    <n v="85"/>
    <x v="353"/>
    <n v="1"/>
    <n v="4.2"/>
    <n v="1.4431239388794568"/>
    <d v="2025-06-01T00:00:00"/>
    <s v="10/31/2024"/>
    <x v="479"/>
    <s v="8682 Golf Course Junction"/>
    <n v="65"/>
    <n v="58"/>
    <x v="0"/>
    <n v="357"/>
    <x v="0"/>
    <x v="1"/>
  </r>
  <r>
    <x v="480"/>
    <x v="57"/>
    <x v="3"/>
    <s v="07-809-0926"/>
    <x v="2"/>
    <x v="9"/>
    <n v="2310"/>
    <n v="45"/>
    <n v="75"/>
    <x v="354"/>
    <n v="1.0266666666666666"/>
    <n v="30"/>
    <n v="1.3073005093378609"/>
    <d v="2024-05-11T00:00:00"/>
    <s v="8/19/2024"/>
    <x v="480"/>
    <s v="26175 Oxford Way"/>
    <n v="25"/>
    <n v="37"/>
    <x v="0"/>
    <n v="2310"/>
    <x v="0"/>
    <x v="0"/>
  </r>
  <r>
    <x v="481"/>
    <x v="57"/>
    <x v="3"/>
    <s v="77-566-9826"/>
    <x v="220"/>
    <x v="80"/>
    <n v="1488"/>
    <n v="77"/>
    <n v="81"/>
    <x v="355"/>
    <n v="0.59259259259259256"/>
    <n v="31"/>
    <n v="0.81494057724957558"/>
    <s v="1/28/2025"/>
    <d v="2024-05-10T00:00:00"/>
    <x v="481"/>
    <s v="13 Bluejay Way"/>
    <n v="70"/>
    <n v="74"/>
    <x v="2"/>
    <n v="1488"/>
    <x v="2"/>
    <x v="0"/>
  </r>
  <r>
    <x v="482"/>
    <x v="57"/>
    <x v="3"/>
    <s v="57-544-2465"/>
    <x v="258"/>
    <x v="70"/>
    <n v="1770"/>
    <n v="17"/>
    <n v="1"/>
    <x v="222"/>
    <n v="59"/>
    <n v="30"/>
    <n v="1.0016977928692701"/>
    <s v="7/21/2024"/>
    <s v="8/26/2024"/>
    <x v="482"/>
    <s v="67677 Lakewood Gardens Way"/>
    <n v="69"/>
    <n v="82"/>
    <x v="1"/>
    <n v="1770"/>
    <x v="1"/>
    <x v="1"/>
  </r>
  <r>
    <x v="483"/>
    <x v="57"/>
    <x v="3"/>
    <s v="74-062-7176"/>
    <x v="204"/>
    <x v="43"/>
    <n v="610"/>
    <n v="9"/>
    <n v="12"/>
    <x v="155"/>
    <n v="1.6666666666666667"/>
    <n v="30.5"/>
    <n v="0.3395585738539898"/>
    <s v="6/26/2024"/>
    <s v="2/22/2025"/>
    <x v="483"/>
    <s v="428 Oriole Avenue"/>
    <n v="46"/>
    <n v="32"/>
    <x v="0"/>
    <n v="610"/>
    <x v="0"/>
    <x v="1"/>
  </r>
  <r>
    <x v="484"/>
    <x v="57"/>
    <x v="3"/>
    <s v="98-107-0604"/>
    <x v="25"/>
    <x v="66"/>
    <n v="1830"/>
    <n v="22"/>
    <n v="98"/>
    <x v="356"/>
    <n v="0.62244897959183676"/>
    <n v="30"/>
    <n v="1.0356536502546689"/>
    <d v="2024-07-03T00:00:00"/>
    <d v="2024-02-10T00:00:00"/>
    <x v="484"/>
    <s v="620 Mockingbird Pass"/>
    <n v="90"/>
    <n v="11"/>
    <x v="1"/>
    <n v="1830"/>
    <x v="1"/>
    <x v="1"/>
  </r>
  <r>
    <x v="485"/>
    <x v="57"/>
    <x v="3"/>
    <s v="26-280-5472"/>
    <x v="259"/>
    <x v="74"/>
    <n v="810"/>
    <n v="1"/>
    <n v="3"/>
    <x v="61"/>
    <n v="9"/>
    <n v="30"/>
    <n v="0.45840407470288624"/>
    <s v="4/16/2024"/>
    <d v="2024-09-08T00:00:00"/>
    <x v="485"/>
    <s v="68241 Hanson Circle"/>
    <n v="34"/>
    <n v="63"/>
    <x v="2"/>
    <n v="810"/>
    <x v="1"/>
    <x v="1"/>
  </r>
  <r>
    <x v="486"/>
    <x v="58"/>
    <x v="0"/>
    <s v="83-960-5274"/>
    <x v="37"/>
    <x v="83"/>
    <n v="432.25"/>
    <n v="73"/>
    <n v="77"/>
    <x v="357"/>
    <n v="1.1818181818181819"/>
    <n v="4.75"/>
    <n v="1.5449915110356538"/>
    <d v="2025-01-02T00:00:00"/>
    <s v="8/24/2024"/>
    <x v="486"/>
    <s v="7242 Claremont Avenue"/>
    <n v="51"/>
    <n v="49"/>
    <x v="0"/>
    <n v="432.25"/>
    <x v="0"/>
    <x v="0"/>
  </r>
  <r>
    <x v="487"/>
    <x v="58"/>
    <x v="0"/>
    <s v="66-317-4895"/>
    <x v="260"/>
    <x v="55"/>
    <n v="114"/>
    <n v="15"/>
    <n v="6"/>
    <x v="358"/>
    <n v="4"/>
    <n v="4.75"/>
    <n v="0.40747028862478779"/>
    <s v="2/22/2025"/>
    <s v="6/16/2024"/>
    <x v="487"/>
    <s v="5 Linden Terrace"/>
    <n v="35"/>
    <n v="4"/>
    <x v="0"/>
    <n v="114"/>
    <x v="0"/>
    <x v="0"/>
  </r>
  <r>
    <x v="488"/>
    <x v="58"/>
    <x v="0"/>
    <s v="85-473-1534"/>
    <x v="136"/>
    <x v="25"/>
    <n v="80.75"/>
    <n v="19"/>
    <n v="74"/>
    <x v="359"/>
    <n v="0.22972972972972974"/>
    <n v="4.75"/>
    <n v="0.28862478777589134"/>
    <d v="2024-04-10T00:00:00"/>
    <d v="2024-08-12T00:00:00"/>
    <x v="488"/>
    <s v="2 Miller Lane"/>
    <n v="58"/>
    <n v="27"/>
    <x v="0"/>
    <n v="80.75"/>
    <x v="0"/>
    <x v="1"/>
  </r>
  <r>
    <x v="489"/>
    <x v="58"/>
    <x v="0"/>
    <s v="05-050-4384"/>
    <x v="200"/>
    <x v="45"/>
    <n v="266"/>
    <n v="48"/>
    <n v="82"/>
    <x v="360"/>
    <n v="0.68292682926829273"/>
    <n v="4.75"/>
    <n v="0.95076400679117146"/>
    <s v="10/18/2024"/>
    <s v="12/21/2024"/>
    <x v="489"/>
    <s v="97 Utah Lane"/>
    <n v="71"/>
    <n v="65"/>
    <x v="2"/>
    <n v="266"/>
    <x v="1"/>
    <x v="1"/>
  </r>
  <r>
    <x v="490"/>
    <x v="58"/>
    <x v="0"/>
    <s v="30-605-2164"/>
    <x v="261"/>
    <x v="43"/>
    <n v="95"/>
    <n v="25"/>
    <n v="73"/>
    <x v="361"/>
    <n v="0.27397260273972601"/>
    <n v="4.75"/>
    <n v="0.3395585738539898"/>
    <d v="2024-08-10T00:00:00"/>
    <d v="2024-02-07T00:00:00"/>
    <x v="490"/>
    <s v="2 Fair Oaks Pass"/>
    <n v="78"/>
    <n v="1"/>
    <x v="0"/>
    <n v="95"/>
    <x v="0"/>
    <x v="1"/>
  </r>
  <r>
    <x v="491"/>
    <x v="58"/>
    <x v="0"/>
    <s v="07-500-2023"/>
    <x v="4"/>
    <x v="60"/>
    <n v="123.5"/>
    <n v="83"/>
    <n v="24"/>
    <x v="362"/>
    <n v="1.0833333333333333"/>
    <n v="4.75"/>
    <n v="0.44142614601018676"/>
    <d v="2025-07-02T00:00:00"/>
    <s v="10/29/2024"/>
    <x v="491"/>
    <s v="56 Bonner Point"/>
    <n v="75"/>
    <n v="12"/>
    <x v="2"/>
    <n v="123.5"/>
    <x v="2"/>
    <x v="1"/>
  </r>
  <r>
    <x v="492"/>
    <x v="58"/>
    <x v="0"/>
    <s v="70-402-4816"/>
    <x v="262"/>
    <x v="18"/>
    <n v="209"/>
    <n v="26"/>
    <n v="60"/>
    <x v="363"/>
    <n v="0.73333333333333328"/>
    <n v="4.75"/>
    <n v="0.74702886247877764"/>
    <s v="3/15/2024"/>
    <s v="8/23/2024"/>
    <x v="492"/>
    <s v="5 Prentice Pass"/>
    <n v="63"/>
    <n v="59"/>
    <x v="0"/>
    <n v="209"/>
    <x v="0"/>
    <x v="1"/>
  </r>
  <r>
    <x v="493"/>
    <x v="58"/>
    <x v="0"/>
    <s v="36-451-3173"/>
    <x v="263"/>
    <x v="53"/>
    <n v="251.75"/>
    <n v="26"/>
    <n v="3"/>
    <x v="364"/>
    <n v="17.666666666666668"/>
    <n v="4.75"/>
    <n v="0.89983022071307306"/>
    <d v="2024-02-03T00:00:00"/>
    <d v="2024-04-07T00:00:00"/>
    <x v="493"/>
    <s v="07 Pankratz Point"/>
    <n v="100"/>
    <n v="94"/>
    <x v="1"/>
    <n v="251.75"/>
    <x v="1"/>
    <x v="1"/>
  </r>
  <r>
    <x v="494"/>
    <x v="58"/>
    <x v="0"/>
    <s v="46-316-6919"/>
    <x v="254"/>
    <x v="2"/>
    <n v="237.5"/>
    <n v="14"/>
    <n v="99"/>
    <x v="365"/>
    <n v="0.50505050505050508"/>
    <n v="4.75"/>
    <n v="0.84889643463497455"/>
    <d v="2025-09-01T00:00:00"/>
    <s v="3/28/2024"/>
    <x v="494"/>
    <s v="8182 Hazelcrest Place"/>
    <n v="52"/>
    <n v="75"/>
    <x v="1"/>
    <n v="237.5"/>
    <x v="1"/>
    <x v="1"/>
  </r>
  <r>
    <x v="495"/>
    <x v="58"/>
    <x v="0"/>
    <s v="81-676-3345"/>
    <x v="210"/>
    <x v="67"/>
    <n v="156.75"/>
    <n v="44"/>
    <n v="89"/>
    <x v="366"/>
    <n v="0.3707865168539326"/>
    <n v="4.75"/>
    <n v="0.56027164685908315"/>
    <s v="3/15/2024"/>
    <d v="2024-05-09T00:00:00"/>
    <x v="495"/>
    <s v="75 Cascade Avenue"/>
    <n v="93"/>
    <n v="19"/>
    <x v="0"/>
    <n v="156.75"/>
    <x v="0"/>
    <x v="1"/>
  </r>
  <r>
    <x v="496"/>
    <x v="58"/>
    <x v="0"/>
    <s v="79-091-7381"/>
    <x v="140"/>
    <x v="39"/>
    <n v="465.5"/>
    <n v="20"/>
    <n v="81"/>
    <x v="367"/>
    <n v="1.2098765432098766"/>
    <n v="4.75"/>
    <n v="1.66383701188455"/>
    <s v="8/14/2024"/>
    <d v="2024-10-07T00:00:00"/>
    <x v="496"/>
    <s v="012 Mockingbird Court"/>
    <n v="51"/>
    <n v="23"/>
    <x v="2"/>
    <n v="465.5"/>
    <x v="1"/>
    <x v="1"/>
  </r>
  <r>
    <x v="497"/>
    <x v="58"/>
    <x v="0"/>
    <s v="71-467-4910"/>
    <x v="264"/>
    <x v="36"/>
    <n v="218.5"/>
    <n v="39"/>
    <n v="11"/>
    <x v="368"/>
    <n v="4.1818181818181817"/>
    <n v="4.75"/>
    <n v="0.78098471986417661"/>
    <d v="2024-10-10T00:00:00"/>
    <s v="8/16/2024"/>
    <x v="497"/>
    <s v="63578 Butternut Hill"/>
    <n v="36"/>
    <n v="54"/>
    <x v="1"/>
    <n v="218.5"/>
    <x v="1"/>
    <x v="1"/>
  </r>
  <r>
    <x v="498"/>
    <x v="58"/>
    <x v="0"/>
    <s v="86-841-6074"/>
    <x v="265"/>
    <x v="33"/>
    <n v="294.5"/>
    <n v="36"/>
    <n v="96"/>
    <x v="369"/>
    <n v="0.64583333333333337"/>
    <n v="4.75"/>
    <n v="1.0526315789473684"/>
    <d v="2024-03-04T00:00:00"/>
    <d v="2024-10-04T00:00:00"/>
    <x v="498"/>
    <s v="63 Debra Park"/>
    <n v="31"/>
    <n v="25"/>
    <x v="0"/>
    <n v="294.5"/>
    <x v="0"/>
    <x v="1"/>
  </r>
  <r>
    <x v="499"/>
    <x v="59"/>
    <x v="2"/>
    <s v="66-973-4855"/>
    <x v="266"/>
    <x v="9"/>
    <n v="308"/>
    <n v="52"/>
    <n v="28"/>
    <x v="138"/>
    <n v="2.75"/>
    <n v="4"/>
    <n v="1.3073005093378609"/>
    <s v="12/19/2024"/>
    <s v="11/19/2024"/>
    <x v="499"/>
    <s v="6744 Helena Pass"/>
    <n v="48"/>
    <n v="43"/>
    <x v="1"/>
    <n v="308"/>
    <x v="1"/>
    <x v="0"/>
  </r>
  <r>
    <x v="500"/>
    <x v="59"/>
    <x v="2"/>
    <s v="37-057-3553"/>
    <x v="267"/>
    <x v="66"/>
    <n v="244"/>
    <n v="100"/>
    <n v="94"/>
    <x v="370"/>
    <n v="0.64893617021276595"/>
    <n v="4"/>
    <n v="1.0356536502546689"/>
    <s v="7/20/2024"/>
    <s v="1/14/2025"/>
    <x v="500"/>
    <s v="1034 2nd Point"/>
    <n v="76"/>
    <n v="2"/>
    <x v="2"/>
    <n v="244"/>
    <x v="2"/>
    <x v="0"/>
  </r>
  <r>
    <x v="501"/>
    <x v="59"/>
    <x v="2"/>
    <s v="91-127-7174"/>
    <x v="268"/>
    <x v="7"/>
    <n v="316"/>
    <n v="74"/>
    <n v="87"/>
    <x v="371"/>
    <n v="0.90804597701149425"/>
    <n v="4"/>
    <n v="1.3412563667232598"/>
    <d v="2024-07-08T00:00:00"/>
    <d v="2024-09-04T00:00:00"/>
    <x v="501"/>
    <s v="17 Reinke Circle"/>
    <n v="80"/>
    <n v="26"/>
    <x v="2"/>
    <n v="316"/>
    <x v="1"/>
    <x v="1"/>
  </r>
  <r>
    <x v="502"/>
    <x v="59"/>
    <x v="2"/>
    <s v="49-384-4540"/>
    <x v="223"/>
    <x v="79"/>
    <n v="188"/>
    <n v="22"/>
    <n v="69"/>
    <x v="372"/>
    <n v="0.6811594202898551"/>
    <n v="4"/>
    <n v="0.79796264855687604"/>
    <d v="2024-02-03T00:00:00"/>
    <s v="7/14/2024"/>
    <x v="502"/>
    <s v="85 Farwell Parkway"/>
    <n v="26"/>
    <n v="59"/>
    <x v="2"/>
    <n v="188"/>
    <x v="1"/>
    <x v="1"/>
  </r>
  <r>
    <x v="503"/>
    <x v="59"/>
    <x v="2"/>
    <s v="07-520-1107"/>
    <x v="98"/>
    <x v="14"/>
    <n v="240"/>
    <n v="15"/>
    <n v="89"/>
    <x v="373"/>
    <n v="0.6741573033707865"/>
    <n v="4"/>
    <n v="1.0186757215619695"/>
    <d v="2024-07-06T00:00:00"/>
    <s v="2/21/2025"/>
    <x v="503"/>
    <s v="5325 Milwaukee Lane"/>
    <n v="21"/>
    <n v="29"/>
    <x v="0"/>
    <n v="240"/>
    <x v="0"/>
    <x v="1"/>
  </r>
  <r>
    <x v="504"/>
    <x v="60"/>
    <x v="2"/>
    <s v="46-382-2024"/>
    <x v="247"/>
    <x v="32"/>
    <n v="270"/>
    <n v="24"/>
    <n v="61"/>
    <x v="155"/>
    <n v="0.73770491803278693"/>
    <n v="6"/>
    <n v="0.76400679117147707"/>
    <s v="1/21/2025"/>
    <d v="2025-07-02T00:00:00"/>
    <x v="504"/>
    <s v="80 Old Shore Plaza"/>
    <n v="44"/>
    <n v="34"/>
    <x v="2"/>
    <n v="270"/>
    <x v="1"/>
    <x v="0"/>
  </r>
  <r>
    <x v="505"/>
    <x v="60"/>
    <x v="2"/>
    <s v="78-381-5054"/>
    <x v="269"/>
    <x v="6"/>
    <n v="222"/>
    <n v="8"/>
    <n v="50"/>
    <x v="46"/>
    <n v="0.74"/>
    <n v="6"/>
    <n v="0.6281833616298812"/>
    <d v="2024-06-07T00:00:00"/>
    <s v="5/17/2024"/>
    <x v="505"/>
    <s v="42719 Milwaukee Avenue"/>
    <n v="47"/>
    <n v="62"/>
    <x v="0"/>
    <n v="222"/>
    <x v="0"/>
    <x v="0"/>
  </r>
  <r>
    <x v="506"/>
    <x v="60"/>
    <x v="2"/>
    <s v="57-486-8971"/>
    <x v="270"/>
    <x v="73"/>
    <n v="168"/>
    <n v="27"/>
    <n v="22"/>
    <x v="120"/>
    <n v="1.2727272727272727"/>
    <n v="6"/>
    <n v="0.47538200339558573"/>
    <s v="5/15/2024"/>
    <s v="8/15/2024"/>
    <x v="506"/>
    <s v="1 Lake View Trail"/>
    <n v="70"/>
    <n v="30"/>
    <x v="0"/>
    <n v="168"/>
    <x v="0"/>
    <x v="0"/>
  </r>
  <r>
    <x v="507"/>
    <x v="60"/>
    <x v="2"/>
    <s v="15-947-9718"/>
    <x v="50"/>
    <x v="79"/>
    <n v="282"/>
    <n v="75"/>
    <n v="53"/>
    <x v="374"/>
    <n v="0.8867924528301887"/>
    <n v="6"/>
    <n v="0.79796264855687604"/>
    <d v="2025-06-02T00:00:00"/>
    <d v="2024-03-10T00:00:00"/>
    <x v="507"/>
    <s v="71 Bultman Drive"/>
    <n v="70"/>
    <n v="20"/>
    <x v="0"/>
    <n v="282"/>
    <x v="0"/>
    <x v="0"/>
  </r>
  <r>
    <x v="508"/>
    <x v="60"/>
    <x v="2"/>
    <s v="53-749-6148"/>
    <x v="136"/>
    <x v="27"/>
    <n v="216.6"/>
    <n v="91"/>
    <n v="94"/>
    <x v="375"/>
    <n v="0.40425531914893614"/>
    <n v="5.7"/>
    <n v="0.64516129032258063"/>
    <d v="2024-12-07T00:00:00"/>
    <s v="2/17/2025"/>
    <x v="508"/>
    <s v="555 Butternut Hill"/>
    <n v="53"/>
    <n v="87"/>
    <x v="0"/>
    <n v="216.6"/>
    <x v="0"/>
    <x v="1"/>
  </r>
  <r>
    <x v="509"/>
    <x v="60"/>
    <x v="2"/>
    <s v="98-591-1051"/>
    <x v="58"/>
    <x v="77"/>
    <n v="365.4"/>
    <n v="57"/>
    <n v="11"/>
    <x v="376"/>
    <n v="5.7272727272727275"/>
    <n v="5.8"/>
    <n v="1.069609507640068"/>
    <d v="2025-11-01T00:00:00"/>
    <s v="12/23/2024"/>
    <x v="509"/>
    <s v="50880 Nobel Road"/>
    <n v="20"/>
    <n v="100"/>
    <x v="0"/>
    <n v="365.4"/>
    <x v="0"/>
    <x v="1"/>
  </r>
  <r>
    <x v="510"/>
    <x v="61"/>
    <x v="2"/>
    <s v="34-017-9457"/>
    <x v="232"/>
    <x v="11"/>
    <n v="27.599999999999998"/>
    <n v="7"/>
    <n v="48"/>
    <x v="377"/>
    <n v="0.25"/>
    <n v="2.2999999999999998"/>
    <n v="0.2037351443123939"/>
    <s v="6/24/2024"/>
    <s v="12/25/2024"/>
    <x v="510"/>
    <s v="867 Merrick Place"/>
    <n v="66"/>
    <n v="4"/>
    <x v="0"/>
    <n v="27.599999999999998"/>
    <x v="0"/>
    <x v="0"/>
  </r>
  <r>
    <x v="511"/>
    <x v="61"/>
    <x v="2"/>
    <s v="36-780-8625"/>
    <x v="168"/>
    <x v="77"/>
    <n v="157.5"/>
    <n v="81"/>
    <n v="94"/>
    <x v="189"/>
    <n v="0.67021276595744683"/>
    <n v="2.5"/>
    <n v="1.069609507640068"/>
    <d v="2024-04-06T00:00:00"/>
    <s v="4/20/2024"/>
    <x v="511"/>
    <s v="208 Miller Court"/>
    <n v="56"/>
    <n v="2"/>
    <x v="1"/>
    <n v="157.5"/>
    <x v="2"/>
    <x v="0"/>
  </r>
  <r>
    <x v="512"/>
    <x v="61"/>
    <x v="2"/>
    <s v="48-562-3582"/>
    <x v="155"/>
    <x v="30"/>
    <n v="225"/>
    <n v="92"/>
    <n v="56"/>
    <x v="295"/>
    <n v="1.6071428571428572"/>
    <n v="2.5"/>
    <n v="1.5280135823429541"/>
    <s v="7/28/2024"/>
    <s v="4/27/2024"/>
    <x v="512"/>
    <s v="022 Pierstorff Point"/>
    <n v="71"/>
    <n v="13"/>
    <x v="1"/>
    <n v="225"/>
    <x v="2"/>
    <x v="0"/>
  </r>
  <r>
    <x v="513"/>
    <x v="61"/>
    <x v="2"/>
    <s v="57-633-6273"/>
    <x v="196"/>
    <x v="88"/>
    <n v="176.4"/>
    <n v="32"/>
    <n v="80"/>
    <x v="378"/>
    <n v="0.9"/>
    <n v="2.4500000000000002"/>
    <n v="1.2224108658743633"/>
    <d v="2024-06-07T00:00:00"/>
    <s v="11/17/2024"/>
    <x v="513"/>
    <s v="86 Corben Crossing"/>
    <n v="25"/>
    <n v="9"/>
    <x v="2"/>
    <n v="176.4"/>
    <x v="1"/>
    <x v="0"/>
  </r>
  <r>
    <x v="514"/>
    <x v="61"/>
    <x v="2"/>
    <s v="75-849-4524"/>
    <x v="256"/>
    <x v="83"/>
    <n v="218.4"/>
    <n v="6"/>
    <n v="37"/>
    <x v="379"/>
    <n v="2.4594594594594597"/>
    <n v="2.4"/>
    <n v="1.5449915110356538"/>
    <d v="2024-01-05T00:00:00"/>
    <d v="2024-07-08T00:00:00"/>
    <x v="514"/>
    <s v="5141 Anniversary Crossing"/>
    <n v="38"/>
    <n v="70"/>
    <x v="2"/>
    <n v="218.4"/>
    <x v="1"/>
    <x v="0"/>
  </r>
  <r>
    <x v="515"/>
    <x v="61"/>
    <x v="2"/>
    <s v="63-683-7396"/>
    <x v="80"/>
    <x v="41"/>
    <n v="162.5"/>
    <n v="88"/>
    <n v="20"/>
    <x v="380"/>
    <n v="3.25"/>
    <n v="2.5"/>
    <n v="1.1035653650254669"/>
    <s v="1/28/2025"/>
    <s v="11/20/2024"/>
    <x v="515"/>
    <s v="71796 Waubesa Terrace"/>
    <n v="89"/>
    <n v="37"/>
    <x v="2"/>
    <n v="162.5"/>
    <x v="2"/>
    <x v="0"/>
  </r>
  <r>
    <x v="516"/>
    <x v="61"/>
    <x v="2"/>
    <s v="26-796-0872"/>
    <x v="271"/>
    <x v="77"/>
    <n v="157.5"/>
    <n v="60"/>
    <n v="54"/>
    <x v="146"/>
    <n v="1.1666666666666667"/>
    <n v="2.5"/>
    <n v="1.069609507640068"/>
    <s v="12/26/2024"/>
    <s v="5/21/2024"/>
    <x v="516"/>
    <s v="31057 Roth Place"/>
    <n v="33"/>
    <n v="31"/>
    <x v="2"/>
    <n v="157.5"/>
    <x v="1"/>
    <x v="0"/>
  </r>
  <r>
    <x v="517"/>
    <x v="61"/>
    <x v="2"/>
    <s v="53-247-1844"/>
    <x v="226"/>
    <x v="70"/>
    <n v="144.55000000000001"/>
    <n v="82"/>
    <n v="69"/>
    <x v="381"/>
    <n v="0.85507246376811596"/>
    <n v="2.4500000000000002"/>
    <n v="1.0016977928692701"/>
    <d v="2024-04-05T00:00:00"/>
    <s v="3/25/2024"/>
    <x v="517"/>
    <s v="01 Straubel Hill"/>
    <n v="30"/>
    <n v="34"/>
    <x v="0"/>
    <n v="144.55000000000001"/>
    <x v="0"/>
    <x v="1"/>
  </r>
  <r>
    <x v="518"/>
    <x v="61"/>
    <x v="2"/>
    <s v="17-546-8875"/>
    <x v="215"/>
    <x v="69"/>
    <n v="217.5"/>
    <n v="1"/>
    <n v="98"/>
    <x v="195"/>
    <n v="0.88775510204081631"/>
    <n v="2.5"/>
    <n v="1.4770797962648556"/>
    <d v="2024-07-04T00:00:00"/>
    <d v="2024-07-10T00:00:00"/>
    <x v="518"/>
    <s v="30968 Anzinger Court"/>
    <n v="61"/>
    <n v="84"/>
    <x v="0"/>
    <n v="217.5"/>
    <x v="0"/>
    <x v="1"/>
  </r>
  <r>
    <x v="519"/>
    <x v="62"/>
    <x v="2"/>
    <s v="70-463-6597"/>
    <x v="272"/>
    <x v="90"/>
    <n v="116"/>
    <n v="5"/>
    <n v="1"/>
    <x v="382"/>
    <n v="58"/>
    <n v="2"/>
    <n v="0.98471986417657054"/>
    <d v="2024-02-10T00:00:00"/>
    <s v="10/14/2024"/>
    <x v="519"/>
    <s v="19069 Cordelia Drive"/>
    <n v="53"/>
    <n v="80"/>
    <x v="1"/>
    <n v="116"/>
    <x v="1"/>
    <x v="0"/>
  </r>
  <r>
    <x v="520"/>
    <x v="62"/>
    <x v="2"/>
    <s v="99-178-0951"/>
    <x v="273"/>
    <x v="15"/>
    <n v="200"/>
    <n v="7"/>
    <n v="14"/>
    <x v="383"/>
    <n v="7.1428571428571432"/>
    <n v="2"/>
    <n v="1.6977928692699491"/>
    <s v="12/16/2024"/>
    <d v="2024-06-03T00:00:00"/>
    <x v="520"/>
    <s v="9 Cardinal Alley"/>
    <n v="26"/>
    <n v="33"/>
    <x v="2"/>
    <n v="200"/>
    <x v="1"/>
    <x v="1"/>
  </r>
  <r>
    <x v="521"/>
    <x v="62"/>
    <x v="2"/>
    <s v="00-912-3545"/>
    <x v="217"/>
    <x v="37"/>
    <n v="44"/>
    <n v="22"/>
    <n v="65"/>
    <x v="217"/>
    <n v="0.33846153846153848"/>
    <n v="2"/>
    <n v="0.37351443123938882"/>
    <s v="1/15/2025"/>
    <s v="4/30/2024"/>
    <x v="521"/>
    <s v="03 Ryan Circle"/>
    <n v="62"/>
    <n v="78"/>
    <x v="2"/>
    <n v="44"/>
    <x v="1"/>
    <x v="1"/>
  </r>
  <r>
    <x v="522"/>
    <x v="62"/>
    <x v="2"/>
    <s v="55-251-3001"/>
    <x v="60"/>
    <x v="12"/>
    <n v="176"/>
    <n v="56"/>
    <n v="72"/>
    <x v="384"/>
    <n v="1.2222222222222223"/>
    <n v="2"/>
    <n v="1.4940577249575553"/>
    <d v="2025-12-01T00:00:00"/>
    <d v="2024-12-04T00:00:00"/>
    <x v="522"/>
    <s v="7698 Logan Drive"/>
    <n v="25"/>
    <n v="36"/>
    <x v="1"/>
    <n v="176"/>
    <x v="1"/>
    <x v="1"/>
  </r>
  <r>
    <x v="523"/>
    <x v="63"/>
    <x v="2"/>
    <s v="40-417-9838"/>
    <x v="64"/>
    <x v="34"/>
    <n v="42"/>
    <n v="30"/>
    <n v="32"/>
    <x v="229"/>
    <n v="0.65625"/>
    <n v="2"/>
    <n v="0.35653650254668934"/>
    <s v="1/22/2025"/>
    <d v="2025-07-02T00:00:00"/>
    <x v="523"/>
    <s v="453 Dryden Park"/>
    <n v="43"/>
    <n v="54"/>
    <x v="2"/>
    <n v="42"/>
    <x v="2"/>
    <x v="0"/>
  </r>
  <r>
    <x v="524"/>
    <x v="63"/>
    <x v="2"/>
    <s v="32-914-1424"/>
    <x v="270"/>
    <x v="85"/>
    <n v="58"/>
    <n v="83"/>
    <n v="91"/>
    <x v="385"/>
    <n v="0.31868131868131866"/>
    <n v="2"/>
    <n v="0.49235993208828527"/>
    <s v="11/29/2024"/>
    <d v="2025-07-02T00:00:00"/>
    <x v="524"/>
    <s v="083 Mccormick Park"/>
    <n v="81"/>
    <n v="53"/>
    <x v="2"/>
    <n v="58"/>
    <x v="2"/>
    <x v="0"/>
  </r>
  <r>
    <x v="525"/>
    <x v="63"/>
    <x v="2"/>
    <s v="56-823-5908"/>
    <x v="274"/>
    <x v="50"/>
    <n v="36"/>
    <n v="8"/>
    <n v="68"/>
    <x v="386"/>
    <n v="0.26470588235294118"/>
    <n v="2"/>
    <n v="0.30560271646859083"/>
    <d v="2024-02-06T00:00:00"/>
    <d v="2024-03-10T00:00:00"/>
    <x v="525"/>
    <s v="3 Meadow Valley Court"/>
    <n v="54"/>
    <n v="45"/>
    <x v="2"/>
    <n v="36"/>
    <x v="1"/>
    <x v="1"/>
  </r>
  <r>
    <x v="526"/>
    <x v="63"/>
    <x v="2"/>
    <s v="09-902-6272"/>
    <x v="275"/>
    <x v="4"/>
    <n v="150"/>
    <n v="18"/>
    <n v="65"/>
    <x v="217"/>
    <n v="1.1538461538461537"/>
    <n v="2"/>
    <n v="1.2733446519524618"/>
    <s v="2/17/2025"/>
    <s v="12/30/2024"/>
    <x v="526"/>
    <s v="1 Logan Road"/>
    <n v="32"/>
    <n v="92"/>
    <x v="1"/>
    <n v="150"/>
    <x v="1"/>
    <x v="1"/>
  </r>
  <r>
    <x v="527"/>
    <x v="63"/>
    <x v="2"/>
    <s v="33-546-5056"/>
    <x v="256"/>
    <x v="4"/>
    <n v="142.5"/>
    <n v="56"/>
    <n v="57"/>
    <x v="387"/>
    <n v="1.3157894736842106"/>
    <n v="1.9"/>
    <n v="1.2733446519524618"/>
    <s v="10/27/2024"/>
    <s v="10/25/2024"/>
    <x v="527"/>
    <s v="7 Talmadge Street"/>
    <n v="63"/>
    <n v="64"/>
    <x v="0"/>
    <n v="142.5"/>
    <x v="0"/>
    <x v="1"/>
  </r>
  <r>
    <x v="528"/>
    <x v="63"/>
    <x v="2"/>
    <s v="60-038-7810"/>
    <x v="110"/>
    <x v="5"/>
    <n v="152"/>
    <n v="39"/>
    <n v="15"/>
    <x v="222"/>
    <n v="5.0666666666666664"/>
    <n v="2"/>
    <n v="1.2903225806451613"/>
    <d v="2024-06-12T00:00:00"/>
    <s v="6/23/2024"/>
    <x v="528"/>
    <s v="2718 Londonderry Plaza"/>
    <n v="77"/>
    <n v="70"/>
    <x v="2"/>
    <n v="152"/>
    <x v="1"/>
    <x v="1"/>
  </r>
  <r>
    <x v="529"/>
    <x v="63"/>
    <x v="2"/>
    <s v="67-674-0287"/>
    <x v="9"/>
    <x v="54"/>
    <n v="26.599999999999998"/>
    <n v="75"/>
    <n v="19"/>
    <x v="388"/>
    <n v="0.73684210526315785"/>
    <n v="1.9"/>
    <n v="0.23769100169779286"/>
    <s v="12/24/2024"/>
    <d v="2024-11-05T00:00:00"/>
    <x v="529"/>
    <s v="4033 Sloan Hill"/>
    <n v="100"/>
    <n v="84"/>
    <x v="2"/>
    <n v="26.599999999999998"/>
    <x v="2"/>
    <x v="1"/>
  </r>
  <r>
    <x v="530"/>
    <x v="64"/>
    <x v="0"/>
    <s v="63-492-7603"/>
    <x v="267"/>
    <x v="11"/>
    <n v="18"/>
    <n v="59"/>
    <n v="62"/>
    <x v="389"/>
    <n v="0.19354838709677419"/>
    <n v="1.5"/>
    <n v="0.2037351443123939"/>
    <d v="2024-08-12T00:00:00"/>
    <s v="2/19/2025"/>
    <x v="530"/>
    <s v="3 Westerfield Crossing"/>
    <n v="95"/>
    <n v="99"/>
    <x v="1"/>
    <n v="18"/>
    <x v="2"/>
    <x v="0"/>
  </r>
  <r>
    <x v="531"/>
    <x v="64"/>
    <x v="0"/>
    <s v="62-029-0827"/>
    <x v="31"/>
    <x v="33"/>
    <n v="99.2"/>
    <n v="81"/>
    <n v="91"/>
    <x v="390"/>
    <n v="0.68131868131868134"/>
    <n v="1.6"/>
    <n v="1.0526315789473684"/>
    <s v="12/18/2024"/>
    <s v="5/24/2024"/>
    <x v="531"/>
    <s v="04776 Saint Paul Park"/>
    <n v="100"/>
    <n v="42"/>
    <x v="0"/>
    <n v="99.2"/>
    <x v="0"/>
    <x v="0"/>
  </r>
  <r>
    <x v="532"/>
    <x v="64"/>
    <x v="0"/>
    <s v="70-515-9048"/>
    <x v="42"/>
    <x v="84"/>
    <n v="100.5"/>
    <n v="88"/>
    <n v="32"/>
    <x v="391"/>
    <n v="2.09375"/>
    <n v="1.5"/>
    <n v="1.137521222410866"/>
    <d v="2024-06-04T00:00:00"/>
    <d v="2024-01-05T00:00:00"/>
    <x v="532"/>
    <s v="00397 Bay Terrace"/>
    <n v="66"/>
    <n v="42"/>
    <x v="0"/>
    <n v="100.5"/>
    <x v="0"/>
    <x v="0"/>
  </r>
  <r>
    <x v="533"/>
    <x v="64"/>
    <x v="0"/>
    <s v="49-092-2735"/>
    <x v="26"/>
    <x v="60"/>
    <n v="39"/>
    <n v="82"/>
    <n v="19"/>
    <x v="358"/>
    <n v="1.368421052631579"/>
    <n v="1.5"/>
    <n v="0.44142614601018676"/>
    <s v="9/23/2024"/>
    <d v="2024-10-07T00:00:00"/>
    <x v="533"/>
    <s v="61224 Northridge Avenue"/>
    <n v="76"/>
    <n v="88"/>
    <x v="1"/>
    <n v="39"/>
    <x v="2"/>
    <x v="0"/>
  </r>
  <r>
    <x v="534"/>
    <x v="64"/>
    <x v="0"/>
    <s v="01-431-7544"/>
    <x v="266"/>
    <x v="82"/>
    <n v="103.5"/>
    <n v="82"/>
    <n v="58"/>
    <x v="392"/>
    <n v="1.1896551724137931"/>
    <n v="1.5"/>
    <n v="1.1714770797962648"/>
    <d v="2024-07-07T00:00:00"/>
    <s v="4/29/2024"/>
    <x v="534"/>
    <s v="38 Superior Road"/>
    <n v="34"/>
    <n v="22"/>
    <x v="0"/>
    <n v="103.5"/>
    <x v="0"/>
    <x v="0"/>
  </r>
  <r>
    <x v="535"/>
    <x v="64"/>
    <x v="0"/>
    <s v="65-068-1200"/>
    <x v="145"/>
    <x v="24"/>
    <n v="106.5"/>
    <n v="10"/>
    <n v="49"/>
    <x v="393"/>
    <n v="1.4489795918367347"/>
    <n v="1.5"/>
    <n v="1.2054329371816639"/>
    <d v="2024-11-08T00:00:00"/>
    <s v="3/16/2024"/>
    <x v="535"/>
    <s v="8 Dovetail Junction"/>
    <n v="66"/>
    <n v="43"/>
    <x v="1"/>
    <n v="106.5"/>
    <x v="1"/>
    <x v="0"/>
  </r>
  <r>
    <x v="536"/>
    <x v="64"/>
    <x v="0"/>
    <s v="02-057-9401"/>
    <x v="134"/>
    <x v="39"/>
    <n v="147"/>
    <n v="40"/>
    <n v="93"/>
    <x v="394"/>
    <n v="1.053763440860215"/>
    <n v="1.5"/>
    <n v="1.66383701188455"/>
    <s v="2/19/2025"/>
    <d v="2025-11-02T00:00:00"/>
    <x v="536"/>
    <s v="848 Mariners Cove Junction"/>
    <n v="30"/>
    <n v="53"/>
    <x v="1"/>
    <n v="147"/>
    <x v="1"/>
    <x v="0"/>
  </r>
  <r>
    <x v="537"/>
    <x v="64"/>
    <x v="0"/>
    <s v="88-615-2915"/>
    <x v="155"/>
    <x v="61"/>
    <n v="16.5"/>
    <n v="10"/>
    <n v="80"/>
    <x v="38"/>
    <n v="0.13750000000000001"/>
    <n v="1.5"/>
    <n v="0.18675721561969441"/>
    <d v="2024-05-06T00:00:00"/>
    <s v="9/27/2024"/>
    <x v="537"/>
    <s v="49263 Graceland Pass"/>
    <n v="48"/>
    <n v="65"/>
    <x v="0"/>
    <n v="16.5"/>
    <x v="0"/>
    <x v="0"/>
  </r>
  <r>
    <x v="538"/>
    <x v="64"/>
    <x v="0"/>
    <s v="52-340-4509"/>
    <x v="222"/>
    <x v="58"/>
    <n v="56.55"/>
    <n v="2"/>
    <n v="71"/>
    <x v="395"/>
    <n v="0.54929577464788737"/>
    <n v="1.45"/>
    <n v="0.66213921901528017"/>
    <s v="4/29/2024"/>
    <s v="3/18/2024"/>
    <x v="538"/>
    <s v="09 Londonderry Hill"/>
    <n v="20"/>
    <n v="70"/>
    <x v="2"/>
    <n v="56.55"/>
    <x v="1"/>
    <x v="1"/>
  </r>
  <r>
    <x v="539"/>
    <x v="65"/>
    <x v="1"/>
    <s v="94-145-9423"/>
    <x v="276"/>
    <x v="24"/>
    <n v="532.5"/>
    <n v="7"/>
    <n v="6"/>
    <x v="131"/>
    <n v="11.833333333333334"/>
    <n v="7.5"/>
    <n v="1.2054329371816639"/>
    <s v="8/29/2024"/>
    <d v="2024-02-12T00:00:00"/>
    <x v="539"/>
    <s v="376 Reinke Court"/>
    <n v="52"/>
    <n v="68"/>
    <x v="2"/>
    <n v="532.5"/>
    <x v="1"/>
    <x v="0"/>
  </r>
  <r>
    <x v="540"/>
    <x v="65"/>
    <x v="1"/>
    <s v="31-163-5871"/>
    <x v="266"/>
    <x v="57"/>
    <n v="615"/>
    <n v="25"/>
    <n v="94"/>
    <x v="396"/>
    <n v="0.87234042553191493"/>
    <n v="7.5"/>
    <n v="1.3921901528013583"/>
    <s v="3/30/2024"/>
    <s v="3/16/2024"/>
    <x v="540"/>
    <s v="9 Cordelia Trail"/>
    <n v="66"/>
    <n v="14"/>
    <x v="2"/>
    <n v="615"/>
    <x v="1"/>
    <x v="0"/>
  </r>
  <r>
    <x v="541"/>
    <x v="65"/>
    <x v="1"/>
    <s v="50-305-3936"/>
    <x v="277"/>
    <x v="56"/>
    <n v="225"/>
    <n v="29"/>
    <n v="70"/>
    <x v="43"/>
    <n v="0.42857142857142855"/>
    <n v="7.5"/>
    <n v="0.50933786078098475"/>
    <s v="6/22/2024"/>
    <s v="10/13/2024"/>
    <x v="541"/>
    <s v="0743 4th Place"/>
    <n v="80"/>
    <n v="43"/>
    <x v="2"/>
    <n v="225"/>
    <x v="1"/>
    <x v="0"/>
  </r>
  <r>
    <x v="542"/>
    <x v="65"/>
    <x v="1"/>
    <s v="36-138-9045"/>
    <x v="278"/>
    <x v="29"/>
    <n v="667.5"/>
    <n v="26"/>
    <n v="36"/>
    <x v="65"/>
    <n v="2.4722222222222223"/>
    <n v="7.5"/>
    <n v="1.5110356536502547"/>
    <s v="10/24/2024"/>
    <s v="7/30/2024"/>
    <x v="542"/>
    <s v="85953 Clyde Gallagher Drive"/>
    <n v="48"/>
    <n v="94"/>
    <x v="1"/>
    <n v="667.5"/>
    <x v="1"/>
    <x v="1"/>
  </r>
  <r>
    <x v="543"/>
    <x v="65"/>
    <x v="1"/>
    <s v="26-454-7297"/>
    <x v="279"/>
    <x v="5"/>
    <n v="570"/>
    <n v="21"/>
    <n v="3"/>
    <x v="397"/>
    <n v="25.333333333333332"/>
    <n v="7.5"/>
    <n v="1.2903225806451613"/>
    <s v="1/21/2025"/>
    <d v="2024-10-08T00:00:00"/>
    <x v="543"/>
    <s v="08545 Lillian Street"/>
    <n v="31"/>
    <n v="47"/>
    <x v="0"/>
    <n v="570"/>
    <x v="0"/>
    <x v="1"/>
  </r>
  <r>
    <x v="544"/>
    <x v="65"/>
    <x v="1"/>
    <s v="74-032-7560"/>
    <x v="25"/>
    <x v="32"/>
    <n v="337.5"/>
    <n v="56"/>
    <n v="64"/>
    <x v="398"/>
    <n v="0.703125"/>
    <n v="7.5"/>
    <n v="0.76400679117147707"/>
    <s v="7/14/2024"/>
    <s v="8/26/2024"/>
    <x v="544"/>
    <s v="2869 Hudson Drive"/>
    <n v="35"/>
    <n v="82"/>
    <x v="0"/>
    <n v="337.5"/>
    <x v="0"/>
    <x v="1"/>
  </r>
  <r>
    <x v="545"/>
    <x v="65"/>
    <x v="1"/>
    <s v="34-014-5873"/>
    <x v="108"/>
    <x v="83"/>
    <n v="682.5"/>
    <n v="96"/>
    <n v="90"/>
    <x v="399"/>
    <n v="1.0111111111111111"/>
    <n v="7.5"/>
    <n v="1.5449915110356538"/>
    <s v="2/14/2025"/>
    <d v="2024-11-08T00:00:00"/>
    <x v="545"/>
    <s v="884 Sloan Drive"/>
    <n v="90"/>
    <n v="75"/>
    <x v="2"/>
    <n v="682.5"/>
    <x v="2"/>
    <x v="1"/>
  </r>
  <r>
    <x v="546"/>
    <x v="66"/>
    <x v="2"/>
    <s v="50-918-1373"/>
    <x v="137"/>
    <x v="55"/>
    <n v="120"/>
    <n v="55"/>
    <n v="51"/>
    <x v="400"/>
    <n v="0.47058823529411764"/>
    <n v="5"/>
    <n v="0.40747028862478779"/>
    <s v="4/26/2024"/>
    <s v="2/24/2025"/>
    <x v="546"/>
    <s v="108 Morning Center"/>
    <n v="39"/>
    <n v="15"/>
    <x v="0"/>
    <n v="120"/>
    <x v="0"/>
    <x v="0"/>
  </r>
  <r>
    <x v="547"/>
    <x v="66"/>
    <x v="2"/>
    <s v="98-940-7545"/>
    <x v="17"/>
    <x v="48"/>
    <n v="460"/>
    <n v="46"/>
    <n v="13"/>
    <x v="193"/>
    <n v="7.0769230769230766"/>
    <n v="5"/>
    <n v="1.5619694397283532"/>
    <s v="7/28/2024"/>
    <s v="10/18/2024"/>
    <x v="547"/>
    <s v="387 Jay Point"/>
    <n v="24"/>
    <n v="75"/>
    <x v="0"/>
    <n v="460"/>
    <x v="0"/>
    <x v="0"/>
  </r>
  <r>
    <x v="548"/>
    <x v="66"/>
    <x v="2"/>
    <s v="42-224-8186"/>
    <x v="280"/>
    <x v="14"/>
    <n v="270"/>
    <n v="36"/>
    <n v="28"/>
    <x v="239"/>
    <n v="2.1428571428571428"/>
    <n v="4.5"/>
    <n v="1.0186757215619695"/>
    <s v="6/30/2024"/>
    <s v="9/18/2024"/>
    <x v="548"/>
    <s v="081 Bellgrove Place"/>
    <n v="26"/>
    <n v="29"/>
    <x v="1"/>
    <n v="270"/>
    <x v="1"/>
    <x v="0"/>
  </r>
  <r>
    <x v="549"/>
    <x v="66"/>
    <x v="2"/>
    <s v="47-509-7282"/>
    <x v="134"/>
    <x v="29"/>
    <n v="427.2"/>
    <n v="92"/>
    <n v="62"/>
    <x v="401"/>
    <n v="1.435483870967742"/>
    <n v="4.8"/>
    <n v="1.5110356536502547"/>
    <d v="2024-02-03T00:00:00"/>
    <d v="2024-08-07T00:00:00"/>
    <x v="549"/>
    <s v="48 Vahlen Place"/>
    <n v="46"/>
    <n v="11"/>
    <x v="2"/>
    <n v="427.2"/>
    <x v="2"/>
    <x v="0"/>
  </r>
  <r>
    <x v="550"/>
    <x v="66"/>
    <x v="2"/>
    <s v="01-285-0018"/>
    <x v="281"/>
    <x v="90"/>
    <n v="272.60000000000002"/>
    <n v="58"/>
    <n v="28"/>
    <x v="402"/>
    <n v="2.0714285714285716"/>
    <n v="4.7"/>
    <n v="0.98471986417657054"/>
    <s v="3/18/2024"/>
    <d v="2024-05-08T00:00:00"/>
    <x v="550"/>
    <s v="18 Warrior Circle"/>
    <n v="85"/>
    <n v="63"/>
    <x v="1"/>
    <n v="272.60000000000002"/>
    <x v="1"/>
    <x v="0"/>
  </r>
  <r>
    <x v="551"/>
    <x v="66"/>
    <x v="2"/>
    <s v="42-080-6579"/>
    <x v="282"/>
    <x v="26"/>
    <n v="420"/>
    <n v="9"/>
    <n v="46"/>
    <x v="63"/>
    <n v="1.826086956521739"/>
    <n v="5"/>
    <n v="1.4261460101867574"/>
    <d v="2024-08-06T00:00:00"/>
    <s v="5/19/2024"/>
    <x v="551"/>
    <s v="44051 Old Shore Junction"/>
    <n v="30"/>
    <n v="68"/>
    <x v="2"/>
    <n v="420"/>
    <x v="1"/>
    <x v="1"/>
  </r>
  <r>
    <x v="552"/>
    <x v="66"/>
    <x v="2"/>
    <s v="69-832-7009"/>
    <x v="134"/>
    <x v="51"/>
    <n v="495"/>
    <n v="59"/>
    <n v="12"/>
    <x v="190"/>
    <n v="8.25"/>
    <n v="5"/>
    <n v="1.6808149405772497"/>
    <s v="6/24/2024"/>
    <s v="9/20/2024"/>
    <x v="552"/>
    <s v="1 Judy Street"/>
    <n v="52"/>
    <n v="57"/>
    <x v="2"/>
    <n v="495"/>
    <x v="1"/>
    <x v="1"/>
  </r>
  <r>
    <x v="553"/>
    <x v="66"/>
    <x v="2"/>
    <s v="44-495-6660"/>
    <x v="283"/>
    <x v="66"/>
    <n v="317.2"/>
    <n v="14"/>
    <n v="49"/>
    <x v="403"/>
    <n v="1.2448979591836735"/>
    <n v="5.2"/>
    <n v="1.0356536502546689"/>
    <d v="2024-10-06T00:00:00"/>
    <d v="2024-12-12T00:00:00"/>
    <x v="553"/>
    <s v="545 Linden Alley"/>
    <n v="74"/>
    <n v="35"/>
    <x v="0"/>
    <n v="317.2"/>
    <x v="0"/>
    <x v="1"/>
  </r>
  <r>
    <x v="554"/>
    <x v="66"/>
    <x v="2"/>
    <s v="35-835-8848"/>
    <x v="280"/>
    <x v="87"/>
    <n v="156.80000000000001"/>
    <n v="63"/>
    <n v="92"/>
    <x v="404"/>
    <n v="0.34782608695652173"/>
    <n v="4.9000000000000004"/>
    <n v="0.54329371816638372"/>
    <s v="11/17/2024"/>
    <s v="7/25/2024"/>
    <x v="554"/>
    <s v="8239 Laurel Way"/>
    <n v="84"/>
    <n v="34"/>
    <x v="0"/>
    <n v="156.80000000000001"/>
    <x v="0"/>
    <x v="1"/>
  </r>
  <r>
    <x v="555"/>
    <x v="66"/>
    <x v="2"/>
    <s v="94-157-1762"/>
    <x v="284"/>
    <x v="53"/>
    <n v="265"/>
    <n v="98"/>
    <n v="23"/>
    <x v="196"/>
    <n v="2.3043478260869565"/>
    <n v="5"/>
    <n v="0.89983022071307306"/>
    <s v="2/24/2025"/>
    <d v="2024-04-07T00:00:00"/>
    <x v="555"/>
    <s v="917 Westerfield Terrace"/>
    <n v="41"/>
    <n v="84"/>
    <x v="2"/>
    <n v="265"/>
    <x v="2"/>
    <x v="1"/>
  </r>
  <r>
    <x v="556"/>
    <x v="66"/>
    <x v="2"/>
    <s v="86-441-7850"/>
    <x v="209"/>
    <x v="28"/>
    <n v="365"/>
    <n v="69"/>
    <n v="1"/>
    <x v="235"/>
    <n v="73"/>
    <n v="5"/>
    <n v="1.2393887945670627"/>
    <d v="2024-05-11T00:00:00"/>
    <s v="5/14/2024"/>
    <x v="556"/>
    <s v="54706 Prairieview Point"/>
    <n v="50"/>
    <n v="67"/>
    <x v="1"/>
    <n v="365"/>
    <x v="1"/>
    <x v="1"/>
  </r>
  <r>
    <x v="557"/>
    <x v="67"/>
    <x v="5"/>
    <s v="39-521-8484"/>
    <x v="248"/>
    <x v="23"/>
    <n v="43"/>
    <n v="88"/>
    <n v="33"/>
    <x v="283"/>
    <n v="1.303030303030303"/>
    <n v="1"/>
    <n v="0.7300509337860781"/>
    <s v="7/19/2024"/>
    <d v="2025-03-02T00:00:00"/>
    <x v="557"/>
    <s v="5030 Moose Junction"/>
    <n v="84"/>
    <n v="75"/>
    <x v="0"/>
    <n v="43"/>
    <x v="0"/>
    <x v="0"/>
  </r>
  <r>
    <x v="558"/>
    <x v="67"/>
    <x v="5"/>
    <s v="51-054-3811"/>
    <x v="92"/>
    <x v="8"/>
    <n v="74"/>
    <n v="90"/>
    <n v="26"/>
    <x v="405"/>
    <n v="2.8461538461538463"/>
    <n v="1"/>
    <n v="1.2563667232597624"/>
    <s v="5/23/2024"/>
    <d v="2025-07-02T00:00:00"/>
    <x v="558"/>
    <s v="4 Bashford Court"/>
    <n v="24"/>
    <n v="11"/>
    <x v="0"/>
    <n v="74"/>
    <x v="0"/>
    <x v="0"/>
  </r>
  <r>
    <x v="559"/>
    <x v="67"/>
    <x v="5"/>
    <s v="09-489-6314"/>
    <x v="285"/>
    <x v="50"/>
    <n v="18"/>
    <n v="64"/>
    <n v="86"/>
    <x v="406"/>
    <n v="0.20930232558139536"/>
    <n v="1"/>
    <n v="0.30560271646859083"/>
    <s v="9/13/2024"/>
    <d v="2024-09-06T00:00:00"/>
    <x v="559"/>
    <s v="53 Homewood Alley"/>
    <n v="73"/>
    <n v="38"/>
    <x v="1"/>
    <n v="18"/>
    <x v="2"/>
    <x v="1"/>
  </r>
  <r>
    <x v="560"/>
    <x v="67"/>
    <x v="5"/>
    <s v="16-019-7101"/>
    <x v="226"/>
    <x v="3"/>
    <n v="11.700000000000001"/>
    <n v="39"/>
    <n v="98"/>
    <x v="407"/>
    <n v="0.1326530612244898"/>
    <n v="0.9"/>
    <n v="0.22071307300509338"/>
    <d v="2024-02-06T00:00:00"/>
    <d v="2024-05-11T00:00:00"/>
    <x v="560"/>
    <s v="36483 Burning Wood Pass"/>
    <n v="46"/>
    <n v="46"/>
    <x v="2"/>
    <n v="11.700000000000001"/>
    <x v="2"/>
    <x v="1"/>
  </r>
  <r>
    <x v="561"/>
    <x v="67"/>
    <x v="5"/>
    <s v="88-418-3855"/>
    <x v="20"/>
    <x v="11"/>
    <n v="12"/>
    <n v="54"/>
    <n v="48"/>
    <x v="391"/>
    <n v="0.25"/>
    <n v="1"/>
    <n v="0.2037351443123939"/>
    <d v="2024-06-11T00:00:00"/>
    <s v="12/20/2024"/>
    <x v="561"/>
    <s v="591 Maple Wood Drive"/>
    <n v="31"/>
    <n v="88"/>
    <x v="2"/>
    <n v="12"/>
    <x v="2"/>
    <x v="1"/>
  </r>
  <r>
    <x v="562"/>
    <x v="68"/>
    <x v="5"/>
    <s v="58-474-3510"/>
    <x v="63"/>
    <x v="32"/>
    <n v="315"/>
    <n v="63"/>
    <n v="75"/>
    <x v="43"/>
    <n v="0.6"/>
    <n v="7"/>
    <n v="0.76400679117147707"/>
    <s v="1/28/2025"/>
    <s v="11/20/2024"/>
    <x v="562"/>
    <s v="9305 Warrior Way"/>
    <n v="83"/>
    <n v="5"/>
    <x v="0"/>
    <n v="315"/>
    <x v="0"/>
    <x v="0"/>
  </r>
  <r>
    <x v="563"/>
    <x v="68"/>
    <x v="5"/>
    <s v="93-719-9817"/>
    <x v="41"/>
    <x v="62"/>
    <n v="672"/>
    <n v="38"/>
    <n v="17"/>
    <x v="1"/>
    <n v="5.6470588235294121"/>
    <n v="7"/>
    <n v="1.6298811544991512"/>
    <s v="4/19/2024"/>
    <d v="2024-01-10T00:00:00"/>
    <x v="563"/>
    <s v="109 Twin Pines Avenue"/>
    <n v="72"/>
    <n v="84"/>
    <x v="1"/>
    <n v="672"/>
    <x v="1"/>
    <x v="0"/>
  </r>
  <r>
    <x v="564"/>
    <x v="68"/>
    <x v="5"/>
    <s v="83-361-7509"/>
    <x v="52"/>
    <x v="86"/>
    <n v="115.2"/>
    <n v="56"/>
    <n v="13"/>
    <x v="408"/>
    <n v="1.2307692307692308"/>
    <n v="7.2"/>
    <n v="0.27164685908319186"/>
    <d v="2025-10-02T00:00:00"/>
    <d v="2024-10-03T00:00:00"/>
    <x v="564"/>
    <s v="4 Warbler Center"/>
    <n v="56"/>
    <n v="28"/>
    <x v="0"/>
    <n v="115.2"/>
    <x v="0"/>
    <x v="0"/>
  </r>
  <r>
    <x v="565"/>
    <x v="68"/>
    <x v="5"/>
    <s v="94-453-3755"/>
    <x v="286"/>
    <x v="90"/>
    <n v="406"/>
    <n v="17"/>
    <n v="26"/>
    <x v="385"/>
    <n v="2.2307692307692308"/>
    <n v="7"/>
    <n v="0.98471986417657054"/>
    <s v="6/23/2024"/>
    <d v="2024-07-07T00:00:00"/>
    <x v="565"/>
    <s v="63464 Jana Court"/>
    <n v="62"/>
    <n v="89"/>
    <x v="2"/>
    <n v="406"/>
    <x v="1"/>
    <x v="1"/>
  </r>
  <r>
    <x v="566"/>
    <x v="68"/>
    <x v="5"/>
    <s v="48-707-5857"/>
    <x v="250"/>
    <x v="38"/>
    <n v="255.6"/>
    <n v="82"/>
    <n v="85"/>
    <x v="409"/>
    <n v="0.42352941176470588"/>
    <n v="7.1"/>
    <n v="0.61120543293718166"/>
    <s v="4/28/2024"/>
    <s v="3/29/2024"/>
    <x v="566"/>
    <s v="018 Oxford Crossing"/>
    <n v="27"/>
    <n v="67"/>
    <x v="0"/>
    <n v="255.6"/>
    <x v="0"/>
    <x v="1"/>
  </r>
  <r>
    <x v="567"/>
    <x v="68"/>
    <x v="5"/>
    <s v="23-931-2988"/>
    <x v="287"/>
    <x v="0"/>
    <n v="396"/>
    <n v="58"/>
    <n v="6"/>
    <x v="410"/>
    <n v="9.1666666666666661"/>
    <n v="7.2"/>
    <n v="0.93378607809847203"/>
    <s v="1/17/2025"/>
    <d v="2024-12-07T00:00:00"/>
    <x v="567"/>
    <s v="61 Transport Parkway"/>
    <n v="48"/>
    <n v="17"/>
    <x v="0"/>
    <n v="396"/>
    <x v="0"/>
    <x v="1"/>
  </r>
  <r>
    <x v="568"/>
    <x v="68"/>
    <x v="5"/>
    <s v="02-510-0629"/>
    <x v="105"/>
    <x v="55"/>
    <n v="168"/>
    <n v="1"/>
    <n v="65"/>
    <x v="411"/>
    <n v="0.36923076923076925"/>
    <n v="7"/>
    <n v="0.40747028862478779"/>
    <s v="11/18/2024"/>
    <d v="2024-12-07T00:00:00"/>
    <x v="568"/>
    <s v="40 Merchant Terrace"/>
    <n v="58"/>
    <n v="61"/>
    <x v="1"/>
    <n v="168"/>
    <x v="1"/>
    <x v="1"/>
  </r>
  <r>
    <x v="569"/>
    <x v="69"/>
    <x v="6"/>
    <s v="85-532-0172"/>
    <x v="181"/>
    <x v="41"/>
    <n v="227.5"/>
    <n v="36"/>
    <n v="37"/>
    <x v="412"/>
    <n v="1.7567567567567568"/>
    <n v="3.5"/>
    <n v="1.1035653650254669"/>
    <s v="4/21/2024"/>
    <d v="2024-12-06T00:00:00"/>
    <x v="569"/>
    <s v="6 Lunder Parkway"/>
    <n v="32"/>
    <n v="70"/>
    <x v="2"/>
    <n v="227.5"/>
    <x v="1"/>
    <x v="0"/>
  </r>
  <r>
    <x v="570"/>
    <x v="69"/>
    <x v="6"/>
    <s v="06-303-4127"/>
    <x v="129"/>
    <x v="45"/>
    <n v="179.20000000000002"/>
    <n v="86"/>
    <n v="23"/>
    <x v="413"/>
    <n v="2.4347826086956523"/>
    <n v="3.2"/>
    <n v="0.95076400679117146"/>
    <s v="4/15/2024"/>
    <s v="4/29/2024"/>
    <x v="570"/>
    <s v="85408 Toban Crossing"/>
    <n v="67"/>
    <n v="56"/>
    <x v="2"/>
    <n v="179.20000000000002"/>
    <x v="2"/>
    <x v="0"/>
  </r>
  <r>
    <x v="571"/>
    <x v="69"/>
    <x v="6"/>
    <s v="41-800-2842"/>
    <x v="288"/>
    <x v="36"/>
    <n v="161"/>
    <n v="43"/>
    <n v="46"/>
    <x v="414"/>
    <n v="1"/>
    <n v="3.5"/>
    <n v="0.78098471986417661"/>
    <d v="2025-10-01T00:00:00"/>
    <d v="2024-05-10T00:00:00"/>
    <x v="571"/>
    <s v="894 Kingsford Road"/>
    <n v="68"/>
    <n v="59"/>
    <x v="2"/>
    <n v="161"/>
    <x v="1"/>
    <x v="0"/>
  </r>
  <r>
    <x v="572"/>
    <x v="69"/>
    <x v="6"/>
    <s v="32-506-0556"/>
    <x v="284"/>
    <x v="10"/>
    <n v="297.5"/>
    <n v="57"/>
    <n v="25"/>
    <x v="415"/>
    <n v="3.4"/>
    <n v="3.5"/>
    <n v="1.4431239388794568"/>
    <s v="2/18/2025"/>
    <s v="9/26/2024"/>
    <x v="572"/>
    <s v="7 Prairieview Place"/>
    <n v="30"/>
    <n v="42"/>
    <x v="0"/>
    <n v="297.5"/>
    <x v="0"/>
    <x v="0"/>
  </r>
  <r>
    <x v="573"/>
    <x v="69"/>
    <x v="6"/>
    <s v="81-694-0300"/>
    <x v="263"/>
    <x v="69"/>
    <n v="278.40000000000003"/>
    <n v="70"/>
    <n v="77"/>
    <x v="416"/>
    <n v="1.1298701298701299"/>
    <n v="3.2"/>
    <n v="1.4770797962648556"/>
    <d v="2024-08-05T00:00:00"/>
    <s v="2/27/2024"/>
    <x v="573"/>
    <s v="8 Mayer Trail"/>
    <n v="73"/>
    <n v="44"/>
    <x v="1"/>
    <n v="278.40000000000003"/>
    <x v="1"/>
    <x v="1"/>
  </r>
  <r>
    <x v="574"/>
    <x v="69"/>
    <x v="6"/>
    <s v="64-070-7611"/>
    <x v="109"/>
    <x v="79"/>
    <n v="152.75"/>
    <n v="26"/>
    <n v="40"/>
    <x v="217"/>
    <n v="1.175"/>
    <n v="3.25"/>
    <n v="0.79796264855687604"/>
    <s v="12/13/2024"/>
    <d v="2025-12-01T00:00:00"/>
    <x v="574"/>
    <s v="55276 Golf Hill"/>
    <n v="30"/>
    <n v="72"/>
    <x v="1"/>
    <n v="152.75"/>
    <x v="1"/>
    <x v="1"/>
  </r>
  <r>
    <x v="575"/>
    <x v="69"/>
    <x v="6"/>
    <s v="68-493-0378"/>
    <x v="193"/>
    <x v="27"/>
    <n v="133"/>
    <n v="37"/>
    <n v="27"/>
    <x v="417"/>
    <n v="1.4074074074074074"/>
    <n v="3.5"/>
    <n v="0.64516129032258063"/>
    <s v="6/14/2024"/>
    <d v="2024-05-10T00:00:00"/>
    <x v="575"/>
    <s v="883 Marcy Place"/>
    <n v="45"/>
    <n v="88"/>
    <x v="2"/>
    <n v="133"/>
    <x v="1"/>
    <x v="1"/>
  </r>
  <r>
    <x v="576"/>
    <x v="69"/>
    <x v="6"/>
    <s v="44-451-2764"/>
    <x v="140"/>
    <x v="22"/>
    <n v="302.25"/>
    <n v="55"/>
    <n v="95"/>
    <x v="418"/>
    <n v="0.97894736842105268"/>
    <n v="3.25"/>
    <n v="1.5789473684210527"/>
    <d v="2025-11-02T00:00:00"/>
    <d v="2024-05-03T00:00:00"/>
    <x v="576"/>
    <s v="4 Orin Lane"/>
    <n v="56"/>
    <n v="72"/>
    <x v="2"/>
    <n v="302.25"/>
    <x v="1"/>
    <x v="1"/>
  </r>
  <r>
    <x v="577"/>
    <x v="70"/>
    <x v="2"/>
    <s v="67-771-7656"/>
    <x v="289"/>
    <x v="88"/>
    <n v="432"/>
    <n v="87"/>
    <n v="39"/>
    <x v="419"/>
    <n v="1.8461538461538463"/>
    <n v="6"/>
    <n v="1.2224108658743633"/>
    <s v="6/24/2024"/>
    <s v="2/24/2025"/>
    <x v="577"/>
    <s v="91 Kinsman Terrace"/>
    <n v="94"/>
    <n v="57"/>
    <x v="1"/>
    <n v="432"/>
    <x v="2"/>
    <x v="0"/>
  </r>
  <r>
    <x v="578"/>
    <x v="70"/>
    <x v="2"/>
    <s v="58-827-9061"/>
    <x v="65"/>
    <x v="19"/>
    <n v="306"/>
    <n v="62"/>
    <n v="95"/>
    <x v="420"/>
    <n v="0.5368421052631579"/>
    <n v="6"/>
    <n v="0.86587436332767409"/>
    <d v="2024-07-04T00:00:00"/>
    <s v="3/28/2024"/>
    <x v="578"/>
    <s v="37973 Parkside Junction"/>
    <n v="52"/>
    <n v="21"/>
    <x v="1"/>
    <n v="306"/>
    <x v="2"/>
    <x v="0"/>
  </r>
  <r>
    <x v="579"/>
    <x v="70"/>
    <x v="2"/>
    <s v="50-050-5707"/>
    <x v="130"/>
    <x v="72"/>
    <n v="227.5"/>
    <n v="19"/>
    <n v="30"/>
    <x v="62"/>
    <n v="1.1666666666666667"/>
    <n v="6.5"/>
    <n v="0.59422750424448223"/>
    <d v="2025-06-01T00:00:00"/>
    <s v="11/30/2024"/>
    <x v="579"/>
    <s v="615 Mayer Drive"/>
    <n v="88"/>
    <n v="6"/>
    <x v="2"/>
    <n v="227.5"/>
    <x v="1"/>
    <x v="0"/>
  </r>
  <r>
    <x v="580"/>
    <x v="70"/>
    <x v="2"/>
    <s v="08-439-3820"/>
    <x v="227"/>
    <x v="7"/>
    <n v="474"/>
    <n v="45"/>
    <n v="39"/>
    <x v="419"/>
    <n v="2.0256410256410255"/>
    <n v="6"/>
    <n v="1.3412563667232598"/>
    <s v="10/29/2024"/>
    <d v="2024-07-11T00:00:00"/>
    <x v="580"/>
    <s v="524 Saint Paul Park"/>
    <n v="55"/>
    <n v="20"/>
    <x v="2"/>
    <n v="474"/>
    <x v="1"/>
    <x v="0"/>
  </r>
  <r>
    <x v="581"/>
    <x v="70"/>
    <x v="2"/>
    <s v="14-231-9135"/>
    <x v="180"/>
    <x v="46"/>
    <n v="210.8"/>
    <n v="1"/>
    <n v="79"/>
    <x v="421"/>
    <n v="0.43037974683544306"/>
    <n v="6.2"/>
    <n v="0.57724957555178269"/>
    <d v="2024-12-06T00:00:00"/>
    <s v="12/20/2024"/>
    <x v="581"/>
    <s v="81533 John Wall Court"/>
    <n v="58"/>
    <n v="36"/>
    <x v="0"/>
    <n v="210.8"/>
    <x v="0"/>
    <x v="0"/>
  </r>
  <r>
    <x v="582"/>
    <x v="70"/>
    <x v="2"/>
    <s v="03-117-6217"/>
    <x v="290"/>
    <x v="55"/>
    <n v="144"/>
    <n v="21"/>
    <n v="4"/>
    <x v="140"/>
    <n v="6"/>
    <n v="6"/>
    <n v="0.40747028862478779"/>
    <d v="2024-05-04T00:00:00"/>
    <s v="6/27/2024"/>
    <x v="582"/>
    <s v="61 Waubesa Court"/>
    <n v="85"/>
    <n v="17"/>
    <x v="2"/>
    <n v="144"/>
    <x v="1"/>
    <x v="1"/>
  </r>
  <r>
    <x v="583"/>
    <x v="70"/>
    <x v="2"/>
    <s v="91-215-9838"/>
    <x v="216"/>
    <x v="41"/>
    <n v="409.5"/>
    <n v="42"/>
    <n v="62"/>
    <x v="422"/>
    <n v="1.0483870967741935"/>
    <n v="6.3"/>
    <n v="1.1035653650254669"/>
    <s v="10/24/2024"/>
    <s v="6/19/2024"/>
    <x v="583"/>
    <s v="33145 Butterfield Avenue"/>
    <n v="54"/>
    <n v="2"/>
    <x v="1"/>
    <n v="409.5"/>
    <x v="1"/>
    <x v="1"/>
  </r>
  <r>
    <x v="584"/>
    <x v="70"/>
    <x v="2"/>
    <s v="70-825-7341"/>
    <x v="23"/>
    <x v="13"/>
    <n v="506.25"/>
    <n v="23"/>
    <n v="17"/>
    <x v="423"/>
    <n v="4.7647058823529411"/>
    <n v="6.25"/>
    <n v="1.3752122241086588"/>
    <s v="5/26/2024"/>
    <d v="2024-08-05T00:00:00"/>
    <x v="584"/>
    <s v="911 Merry Junction"/>
    <n v="92"/>
    <n v="78"/>
    <x v="1"/>
    <n v="506.25"/>
    <x v="1"/>
    <x v="1"/>
  </r>
  <r>
    <x v="585"/>
    <x v="71"/>
    <x v="6"/>
    <s v="75-503-9347"/>
    <x v="162"/>
    <x v="86"/>
    <n v="80"/>
    <n v="9"/>
    <n v="32"/>
    <x v="424"/>
    <n v="0.5"/>
    <n v="5"/>
    <n v="0.27164685908319186"/>
    <s v="7/16/2024"/>
    <s v="8/21/2024"/>
    <x v="585"/>
    <s v="492 Shoshone Road"/>
    <n v="50"/>
    <n v="98"/>
    <x v="2"/>
    <n v="80"/>
    <x v="1"/>
    <x v="0"/>
  </r>
  <r>
    <x v="586"/>
    <x v="71"/>
    <x v="6"/>
    <s v="75-328-1709"/>
    <x v="291"/>
    <x v="46"/>
    <n v="170"/>
    <n v="55"/>
    <n v="22"/>
    <x v="425"/>
    <n v="1.5454545454545454"/>
    <n v="5"/>
    <n v="0.57724957555178269"/>
    <d v="2024-11-10T00:00:00"/>
    <s v="6/29/2024"/>
    <x v="586"/>
    <s v="86 Maryland Junction"/>
    <n v="77"/>
    <n v="85"/>
    <x v="1"/>
    <n v="170"/>
    <x v="2"/>
    <x v="0"/>
  </r>
  <r>
    <x v="587"/>
    <x v="71"/>
    <x v="6"/>
    <s v="29-273-1595"/>
    <x v="163"/>
    <x v="22"/>
    <n v="465"/>
    <n v="50"/>
    <n v="43"/>
    <x v="426"/>
    <n v="2.1627906976744184"/>
    <n v="5"/>
    <n v="1.5789473684210527"/>
    <s v="6/27/2024"/>
    <s v="5/16/2024"/>
    <x v="587"/>
    <s v="3 Melrose Trail"/>
    <n v="76"/>
    <n v="35"/>
    <x v="0"/>
    <n v="465"/>
    <x v="0"/>
    <x v="1"/>
  </r>
  <r>
    <x v="588"/>
    <x v="71"/>
    <x v="6"/>
    <s v="90-447-5123"/>
    <x v="165"/>
    <x v="57"/>
    <n v="410"/>
    <n v="6"/>
    <n v="53"/>
    <x v="427"/>
    <n v="1.5471698113207548"/>
    <n v="5"/>
    <n v="1.3921901528013583"/>
    <d v="2024-07-11T00:00:00"/>
    <s v="4/29/2024"/>
    <x v="588"/>
    <s v="6 Lillian Junction"/>
    <n v="21"/>
    <n v="58"/>
    <x v="1"/>
    <n v="410"/>
    <x v="1"/>
    <x v="1"/>
  </r>
  <r>
    <x v="589"/>
    <x v="71"/>
    <x v="6"/>
    <s v="06-286-2758"/>
    <x v="182"/>
    <x v="89"/>
    <n v="205"/>
    <n v="21"/>
    <n v="47"/>
    <x v="189"/>
    <n v="0.87234042553191493"/>
    <n v="5"/>
    <n v="0.69609507640067914"/>
    <d v="2024-07-03T00:00:00"/>
    <d v="2025-01-01T00:00:00"/>
    <x v="589"/>
    <s v="9269 Main Trail"/>
    <n v="50"/>
    <n v="99"/>
    <x v="1"/>
    <n v="205"/>
    <x v="1"/>
    <x v="1"/>
  </r>
  <r>
    <x v="590"/>
    <x v="71"/>
    <x v="6"/>
    <s v="51-600-6076"/>
    <x v="59"/>
    <x v="73"/>
    <n v="140"/>
    <n v="62"/>
    <n v="81"/>
    <x v="57"/>
    <n v="0.34567901234567899"/>
    <n v="5"/>
    <n v="0.47538200339558573"/>
    <s v="3/27/2024"/>
    <s v="6/25/2024"/>
    <x v="590"/>
    <s v="39 Oxford Drive"/>
    <n v="28"/>
    <n v="30"/>
    <x v="0"/>
    <n v="140"/>
    <x v="0"/>
    <x v="1"/>
  </r>
  <r>
    <x v="591"/>
    <x v="72"/>
    <x v="4"/>
    <s v="65-842-6819"/>
    <x v="104"/>
    <x v="79"/>
    <n v="282"/>
    <n v="48"/>
    <n v="73"/>
    <x v="428"/>
    <n v="0.64383561643835618"/>
    <n v="6"/>
    <n v="0.79796264855687604"/>
    <s v="8/13/2024"/>
    <s v="6/28/2024"/>
    <x v="591"/>
    <s v="504 Green Park"/>
    <n v="42"/>
    <n v="51"/>
    <x v="0"/>
    <n v="282"/>
    <x v="0"/>
    <x v="0"/>
  </r>
  <r>
    <x v="592"/>
    <x v="72"/>
    <x v="4"/>
    <s v="08-209-1598"/>
    <x v="286"/>
    <x v="73"/>
    <n v="168"/>
    <n v="17"/>
    <n v="28"/>
    <x v="158"/>
    <n v="1"/>
    <n v="6"/>
    <n v="0.47538200339558573"/>
    <s v="10/24/2024"/>
    <s v="8/20/2024"/>
    <x v="592"/>
    <s v="76928 Tennyson Parkway"/>
    <n v="38"/>
    <n v="25"/>
    <x v="1"/>
    <n v="168"/>
    <x v="1"/>
    <x v="0"/>
  </r>
  <r>
    <x v="593"/>
    <x v="72"/>
    <x v="4"/>
    <s v="91-492-8216"/>
    <x v="187"/>
    <x v="15"/>
    <n v="600"/>
    <n v="92"/>
    <n v="26"/>
    <x v="429"/>
    <n v="3.8461538461538463"/>
    <n v="6"/>
    <n v="1.6977928692699491"/>
    <d v="2024-05-05T00:00:00"/>
    <s v="1/23/2025"/>
    <x v="593"/>
    <s v="8626 Chinook Parkway"/>
    <n v="84"/>
    <n v="9"/>
    <x v="1"/>
    <n v="600"/>
    <x v="1"/>
    <x v="0"/>
  </r>
  <r>
    <x v="594"/>
    <x v="72"/>
    <x v="4"/>
    <s v="55-557-8544"/>
    <x v="232"/>
    <x v="81"/>
    <n v="312"/>
    <n v="88"/>
    <n v="55"/>
    <x v="223"/>
    <n v="0.94545454545454544"/>
    <n v="6"/>
    <n v="0.88285229202037352"/>
    <s v="5/27/2024"/>
    <d v="2024-05-05T00:00:00"/>
    <x v="594"/>
    <s v="482 Green Center"/>
    <n v="100"/>
    <n v="46"/>
    <x v="0"/>
    <n v="312"/>
    <x v="0"/>
    <x v="1"/>
  </r>
  <r>
    <x v="595"/>
    <x v="72"/>
    <x v="4"/>
    <s v="14-483-5712"/>
    <x v="292"/>
    <x v="17"/>
    <n v="498"/>
    <n v="52"/>
    <n v="32"/>
    <x v="430"/>
    <n v="2.59375"/>
    <n v="6"/>
    <n v="1.4091680814940577"/>
    <s v="10/17/2024"/>
    <s v="8/26/2024"/>
    <x v="595"/>
    <s v="205 Straubel Court"/>
    <n v="47"/>
    <n v="7"/>
    <x v="1"/>
    <n v="498"/>
    <x v="1"/>
    <x v="0"/>
  </r>
  <r>
    <x v="596"/>
    <x v="72"/>
    <x v="4"/>
    <s v="41-772-9238"/>
    <x v="53"/>
    <x v="38"/>
    <n v="216"/>
    <n v="3"/>
    <n v="54"/>
    <x v="431"/>
    <n v="0.66666666666666663"/>
    <n v="6"/>
    <n v="0.61120543293718166"/>
    <d v="2024-03-03T00:00:00"/>
    <s v="6/13/2024"/>
    <x v="596"/>
    <s v="65 Chinook Circle"/>
    <n v="74"/>
    <n v="8"/>
    <x v="0"/>
    <n v="216"/>
    <x v="0"/>
    <x v="1"/>
  </r>
  <r>
    <x v="597"/>
    <x v="73"/>
    <x v="2"/>
    <s v="68-836-0350"/>
    <x v="212"/>
    <x v="58"/>
    <n v="78"/>
    <n v="22"/>
    <n v="73"/>
    <x v="432"/>
    <n v="0.53424657534246578"/>
    <n v="2"/>
    <n v="0.66213921901528017"/>
    <d v="2024-11-06T00:00:00"/>
    <s v="7/23/2024"/>
    <x v="597"/>
    <s v="13 Corscot Hill"/>
    <n v="60"/>
    <n v="2"/>
    <x v="1"/>
    <n v="78"/>
    <x v="1"/>
    <x v="0"/>
  </r>
  <r>
    <x v="598"/>
    <x v="73"/>
    <x v="2"/>
    <s v="06-159-1957"/>
    <x v="293"/>
    <x v="72"/>
    <n v="70"/>
    <n v="92"/>
    <n v="74"/>
    <x v="433"/>
    <n v="0.47297297297297297"/>
    <n v="2"/>
    <n v="0.59422750424448223"/>
    <s v="11/25/2024"/>
    <d v="2025-03-02T00:00:00"/>
    <x v="598"/>
    <s v="82737 Ryan Place"/>
    <n v="76"/>
    <n v="32"/>
    <x v="1"/>
    <n v="70"/>
    <x v="2"/>
    <x v="0"/>
  </r>
  <r>
    <x v="599"/>
    <x v="73"/>
    <x v="2"/>
    <s v="37-686-1726"/>
    <x v="211"/>
    <x v="46"/>
    <n v="68"/>
    <n v="29"/>
    <n v="65"/>
    <x v="217"/>
    <n v="0.52307692307692311"/>
    <n v="2"/>
    <n v="0.57724957555178269"/>
    <d v="2024-03-05T00:00:00"/>
    <d v="2024-04-10T00:00:00"/>
    <x v="599"/>
    <s v="74 Menomonie Point"/>
    <n v="90"/>
    <n v="23"/>
    <x v="0"/>
    <n v="68"/>
    <x v="0"/>
    <x v="0"/>
  </r>
  <r>
    <x v="600"/>
    <x v="73"/>
    <x v="2"/>
    <s v="96-786-0667"/>
    <x v="237"/>
    <x v="2"/>
    <n v="100"/>
    <n v="20"/>
    <n v="74"/>
    <x v="433"/>
    <n v="0.67567567567567566"/>
    <n v="2"/>
    <n v="0.84889643463497455"/>
    <s v="2/13/2025"/>
    <d v="2024-03-08T00:00:00"/>
    <x v="600"/>
    <s v="6435 Burning Wood Drive"/>
    <n v="30"/>
    <n v="57"/>
    <x v="2"/>
    <n v="100"/>
    <x v="1"/>
    <x v="0"/>
  </r>
  <r>
    <x v="601"/>
    <x v="73"/>
    <x v="2"/>
    <s v="14-486-5626"/>
    <x v="86"/>
    <x v="47"/>
    <n v="136"/>
    <n v="10"/>
    <n v="29"/>
    <x v="434"/>
    <n v="2.3448275862068964"/>
    <n v="2"/>
    <n v="1.1544991511035654"/>
    <s v="10/31/2024"/>
    <d v="2024-07-06T00:00:00"/>
    <x v="601"/>
    <s v="03 Roth Court"/>
    <n v="37"/>
    <n v="11"/>
    <x v="0"/>
    <n v="136"/>
    <x v="0"/>
    <x v="1"/>
  </r>
  <r>
    <x v="602"/>
    <x v="73"/>
    <x v="2"/>
    <s v="40-800-4739"/>
    <x v="62"/>
    <x v="86"/>
    <n v="32"/>
    <n v="75"/>
    <n v="42"/>
    <x v="435"/>
    <n v="0.38095238095238093"/>
    <n v="2"/>
    <n v="0.27164685908319186"/>
    <s v="7/23/2024"/>
    <s v="3/21/2024"/>
    <x v="602"/>
    <s v="992 East Point"/>
    <n v="22"/>
    <n v="46"/>
    <x v="1"/>
    <n v="32"/>
    <x v="2"/>
    <x v="1"/>
  </r>
  <r>
    <x v="603"/>
    <x v="73"/>
    <x v="2"/>
    <s v="75-406-6250"/>
    <x v="255"/>
    <x v="43"/>
    <n v="40"/>
    <n v="65"/>
    <n v="61"/>
    <x v="436"/>
    <n v="0.32786885245901637"/>
    <n v="2"/>
    <n v="0.3395585738539898"/>
    <d v="2024-04-07T00:00:00"/>
    <d v="2024-10-07T00:00:00"/>
    <x v="603"/>
    <s v="1991 Kropf Way"/>
    <n v="51"/>
    <n v="78"/>
    <x v="1"/>
    <n v="40"/>
    <x v="2"/>
    <x v="1"/>
  </r>
  <r>
    <x v="604"/>
    <x v="73"/>
    <x v="2"/>
    <s v="23-450-0301"/>
    <x v="83"/>
    <x v="2"/>
    <n v="100"/>
    <n v="68"/>
    <n v="90"/>
    <x v="71"/>
    <n v="0.55555555555555558"/>
    <n v="2"/>
    <n v="0.84889643463497455"/>
    <d v="2024-12-12T00:00:00"/>
    <d v="2024-09-05T00:00:00"/>
    <x v="604"/>
    <s v="49884 Brickson Park Plaza"/>
    <n v="40"/>
    <n v="13"/>
    <x v="0"/>
    <n v="100"/>
    <x v="0"/>
    <x v="1"/>
  </r>
  <r>
    <x v="605"/>
    <x v="73"/>
    <x v="2"/>
    <s v="75-256-5638"/>
    <x v="230"/>
    <x v="58"/>
    <n v="78"/>
    <n v="37"/>
    <n v="48"/>
    <x v="59"/>
    <n v="0.8125"/>
    <n v="2"/>
    <n v="0.66213921901528017"/>
    <s v="11/27/2024"/>
    <s v="8/26/2024"/>
    <x v="605"/>
    <s v="425 Shasta Terrace"/>
    <n v="25"/>
    <n v="19"/>
    <x v="1"/>
    <n v="78"/>
    <x v="1"/>
    <x v="1"/>
  </r>
  <r>
    <x v="606"/>
    <x v="73"/>
    <x v="2"/>
    <s v="30-820-2883"/>
    <x v="19"/>
    <x v="39"/>
    <n v="196"/>
    <n v="40"/>
    <n v="100"/>
    <x v="14"/>
    <n v="0.98"/>
    <n v="2"/>
    <n v="1.66383701188455"/>
    <d v="2025-03-02T00:00:00"/>
    <s v="10/30/2024"/>
    <x v="606"/>
    <s v="9171 Norway Maple Trail"/>
    <n v="46"/>
    <n v="9"/>
    <x v="1"/>
    <n v="196"/>
    <x v="1"/>
    <x v="1"/>
  </r>
  <r>
    <x v="607"/>
    <x v="73"/>
    <x v="2"/>
    <s v="27-061-4764"/>
    <x v="284"/>
    <x v="43"/>
    <n v="40"/>
    <n v="93"/>
    <n v="37"/>
    <x v="261"/>
    <n v="0.54054054054054057"/>
    <n v="2"/>
    <n v="0.3395585738539898"/>
    <s v="10/20/2024"/>
    <d v="2024-07-03T00:00:00"/>
    <x v="607"/>
    <s v="06 Shopko Pass"/>
    <n v="23"/>
    <n v="2"/>
    <x v="0"/>
    <n v="40"/>
    <x v="0"/>
    <x v="1"/>
  </r>
  <r>
    <x v="608"/>
    <x v="73"/>
    <x v="2"/>
    <s v="09-387-1119"/>
    <x v="173"/>
    <x v="8"/>
    <n v="148"/>
    <n v="4"/>
    <n v="39"/>
    <x v="437"/>
    <n v="1.8974358974358974"/>
    <n v="2"/>
    <n v="1.2563667232597624"/>
    <s v="12/26/2024"/>
    <d v="2024-05-04T00:00:00"/>
    <x v="608"/>
    <s v="42 Green Ridge Terrace"/>
    <n v="97"/>
    <n v="24"/>
    <x v="2"/>
    <n v="148"/>
    <x v="1"/>
    <x v="1"/>
  </r>
  <r>
    <x v="609"/>
    <x v="74"/>
    <x v="2"/>
    <s v="84-047-0017"/>
    <x v="98"/>
    <x v="10"/>
    <n v="255"/>
    <n v="45"/>
    <n v="71"/>
    <x v="438"/>
    <n v="1.1971830985915493"/>
    <n v="3"/>
    <n v="1.4431239388794568"/>
    <s v="3/20/2024"/>
    <s v="12/28/2024"/>
    <x v="609"/>
    <s v="44022 Barnett Way"/>
    <n v="95"/>
    <n v="72"/>
    <x v="0"/>
    <n v="255"/>
    <x v="0"/>
    <x v="0"/>
  </r>
  <r>
    <x v="610"/>
    <x v="74"/>
    <x v="2"/>
    <s v="87-893-6089"/>
    <x v="61"/>
    <x v="12"/>
    <n v="255.2"/>
    <n v="37"/>
    <n v="61"/>
    <x v="439"/>
    <n v="1.4426229508196722"/>
    <n v="2.9"/>
    <n v="1.4940577249575553"/>
    <d v="2025-03-02T00:00:00"/>
    <s v="11/13/2024"/>
    <x v="610"/>
    <s v="812 Shelley Circle"/>
    <n v="63"/>
    <n v="35"/>
    <x v="0"/>
    <n v="255.2"/>
    <x v="0"/>
    <x v="0"/>
  </r>
  <r>
    <x v="611"/>
    <x v="74"/>
    <x v="2"/>
    <s v="43-035-3382"/>
    <x v="67"/>
    <x v="59"/>
    <n v="45"/>
    <n v="44"/>
    <n v="88"/>
    <x v="440"/>
    <n v="0.17045454545454544"/>
    <n v="3"/>
    <n v="0.25466893039049238"/>
    <s v="8/31/2024"/>
    <s v="2/13/2025"/>
    <x v="611"/>
    <s v="9516 Burrows Circle"/>
    <n v="56"/>
    <n v="12"/>
    <x v="0"/>
    <n v="45"/>
    <x v="0"/>
    <x v="0"/>
  </r>
  <r>
    <x v="612"/>
    <x v="74"/>
    <x v="2"/>
    <s v="51-666-7174"/>
    <x v="17"/>
    <x v="89"/>
    <n v="123"/>
    <n v="94"/>
    <n v="4"/>
    <x v="133"/>
    <n v="10.25"/>
    <n v="3"/>
    <n v="0.69609507640067914"/>
    <d v="2025-04-02T00:00:00"/>
    <s v="7/26/2024"/>
    <x v="612"/>
    <s v="757 Grasskamp Drive"/>
    <n v="88"/>
    <n v="92"/>
    <x v="0"/>
    <n v="123"/>
    <x v="0"/>
    <x v="0"/>
  </r>
  <r>
    <x v="613"/>
    <x v="74"/>
    <x v="2"/>
    <s v="78-644-5877"/>
    <x v="294"/>
    <x v="48"/>
    <n v="285.2"/>
    <n v="54"/>
    <n v="73"/>
    <x v="441"/>
    <n v="1.2602739726027397"/>
    <n v="3.1"/>
    <n v="1.5619694397283532"/>
    <d v="2025-07-02T00:00:00"/>
    <s v="1/17/2025"/>
    <x v="613"/>
    <s v="77 Prairie Rose Park"/>
    <n v="79"/>
    <n v="1"/>
    <x v="2"/>
    <n v="285.2"/>
    <x v="1"/>
    <x v="0"/>
  </r>
  <r>
    <x v="614"/>
    <x v="74"/>
    <x v="2"/>
    <s v="16-656-4821"/>
    <x v="9"/>
    <x v="26"/>
    <n v="239.4"/>
    <n v="95"/>
    <n v="22"/>
    <x v="442"/>
    <n v="3.8181818181818183"/>
    <n v="2.85"/>
    <n v="1.4261460101867574"/>
    <s v="6/20/2024"/>
    <s v="5/14/2024"/>
    <x v="614"/>
    <s v="3 Logan Trail"/>
    <n v="48"/>
    <n v="82"/>
    <x v="0"/>
    <n v="239.4"/>
    <x v="0"/>
    <x v="0"/>
  </r>
  <r>
    <x v="615"/>
    <x v="74"/>
    <x v="2"/>
    <s v="86-079-1525"/>
    <x v="120"/>
    <x v="18"/>
    <n v="129.80000000000001"/>
    <n v="8"/>
    <n v="52"/>
    <x v="443"/>
    <n v="0.84615384615384615"/>
    <n v="2.95"/>
    <n v="0.74702886247877764"/>
    <d v="2024-11-05T00:00:00"/>
    <d v="2024-10-12T00:00:00"/>
    <x v="615"/>
    <s v="43211 Anzinger Drive"/>
    <n v="42"/>
    <n v="66"/>
    <x v="1"/>
    <n v="129.80000000000001"/>
    <x v="1"/>
    <x v="1"/>
  </r>
  <r>
    <x v="616"/>
    <x v="74"/>
    <x v="2"/>
    <s v="02-656-3112"/>
    <x v="295"/>
    <x v="65"/>
    <n v="272.59999999999997"/>
    <n v="58"/>
    <n v="17"/>
    <x v="444"/>
    <n v="5.5294117647058822"/>
    <n v="2.9"/>
    <n v="1.5959252971137521"/>
    <d v="2024-01-08T00:00:00"/>
    <d v="2024-05-07T00:00:00"/>
    <x v="616"/>
    <s v="3 Bashford Court"/>
    <n v="57"/>
    <n v="74"/>
    <x v="2"/>
    <n v="272.59999999999997"/>
    <x v="1"/>
    <x v="1"/>
  </r>
  <r>
    <x v="617"/>
    <x v="74"/>
    <x v="2"/>
    <s v="40-180-0752"/>
    <x v="211"/>
    <x v="4"/>
    <n v="225"/>
    <n v="48"/>
    <n v="25"/>
    <x v="90"/>
    <n v="3"/>
    <n v="3"/>
    <n v="1.2733446519524618"/>
    <d v="2024-11-12T00:00:00"/>
    <s v="8/17/2024"/>
    <x v="617"/>
    <s v="72090 Northfield Place"/>
    <n v="96"/>
    <n v="65"/>
    <x v="2"/>
    <n v="225"/>
    <x v="1"/>
    <x v="1"/>
  </r>
  <r>
    <x v="618"/>
    <x v="74"/>
    <x v="2"/>
    <s v="61-793-0279"/>
    <x v="294"/>
    <x v="13"/>
    <n v="243"/>
    <n v="35"/>
    <n v="82"/>
    <x v="159"/>
    <n v="0.98780487804878048"/>
    <n v="3"/>
    <n v="1.3752122241086588"/>
    <s v="12/30/2024"/>
    <s v="3/25/2024"/>
    <x v="618"/>
    <s v="4826 Drewry Center"/>
    <n v="86"/>
    <n v="71"/>
    <x v="2"/>
    <n v="243"/>
    <x v="1"/>
    <x v="1"/>
  </r>
  <r>
    <x v="619"/>
    <x v="74"/>
    <x v="2"/>
    <s v="22-506-4911"/>
    <x v="112"/>
    <x v="38"/>
    <n v="108"/>
    <n v="59"/>
    <n v="90"/>
    <x v="65"/>
    <n v="0.4"/>
    <n v="3"/>
    <n v="0.61120543293718166"/>
    <d v="2024-08-07T00:00:00"/>
    <d v="2024-09-12T00:00:00"/>
    <x v="619"/>
    <s v="183 Buell Park"/>
    <n v="25"/>
    <n v="60"/>
    <x v="0"/>
    <n v="108"/>
    <x v="0"/>
    <x v="1"/>
  </r>
  <r>
    <x v="620"/>
    <x v="75"/>
    <x v="4"/>
    <s v="18-631-1458"/>
    <x v="296"/>
    <x v="23"/>
    <n v="77.400000000000006"/>
    <n v="63"/>
    <n v="80"/>
    <x v="384"/>
    <n v="0.53749999999999998"/>
    <n v="1.8"/>
    <n v="0.7300509337860781"/>
    <s v="6/23/2024"/>
    <s v="7/31/2024"/>
    <x v="620"/>
    <s v="97 Sunnyside Court"/>
    <n v="33"/>
    <n v="96"/>
    <x v="0"/>
    <n v="77.400000000000006"/>
    <x v="0"/>
    <x v="0"/>
  </r>
  <r>
    <x v="621"/>
    <x v="75"/>
    <x v="4"/>
    <s v="95-148-9287"/>
    <x v="297"/>
    <x v="68"/>
    <n v="72"/>
    <n v="2"/>
    <n v="58"/>
    <x v="445"/>
    <n v="0.68965517241379315"/>
    <n v="1.8"/>
    <n v="0.6791171477079796"/>
    <s v="10/31/2024"/>
    <s v="8/13/2024"/>
    <x v="621"/>
    <s v="357 High Crossing Parkway"/>
    <n v="71"/>
    <n v="10"/>
    <x v="1"/>
    <n v="72"/>
    <x v="1"/>
    <x v="0"/>
  </r>
  <r>
    <x v="622"/>
    <x v="75"/>
    <x v="4"/>
    <s v="91-030-6609"/>
    <x v="31"/>
    <x v="8"/>
    <n v="133.20000000000002"/>
    <n v="4"/>
    <n v="67"/>
    <x v="446"/>
    <n v="1.1044776119402986"/>
    <n v="1.8"/>
    <n v="1.2563667232597624"/>
    <s v="3/26/2024"/>
    <s v="4/13/2024"/>
    <x v="622"/>
    <s v="2005 Mccormick Road"/>
    <n v="31"/>
    <n v="34"/>
    <x v="2"/>
    <n v="133.20000000000002"/>
    <x v="1"/>
    <x v="0"/>
  </r>
  <r>
    <x v="623"/>
    <x v="75"/>
    <x v="4"/>
    <s v="08-312-0872"/>
    <x v="179"/>
    <x v="72"/>
    <n v="63"/>
    <n v="41"/>
    <n v="84"/>
    <x v="447"/>
    <n v="0.41666666666666669"/>
    <n v="1.8"/>
    <n v="0.59422750424448223"/>
    <s v="8/17/2024"/>
    <s v="7/28/2024"/>
    <x v="623"/>
    <s v="94451 Arkansas Park"/>
    <n v="62"/>
    <n v="14"/>
    <x v="2"/>
    <n v="63"/>
    <x v="2"/>
    <x v="0"/>
  </r>
  <r>
    <x v="624"/>
    <x v="75"/>
    <x v="4"/>
    <s v="64-604-1679"/>
    <x v="298"/>
    <x v="90"/>
    <n v="104.4"/>
    <n v="23"/>
    <n v="66"/>
    <x v="448"/>
    <n v="0.87878787878787878"/>
    <n v="1.8"/>
    <n v="0.98471986417657054"/>
    <s v="4/29/2024"/>
    <d v="2024-12-05T00:00:00"/>
    <x v="624"/>
    <s v="7232 Ridgeway Center"/>
    <n v="82"/>
    <n v="61"/>
    <x v="2"/>
    <n v="104.4"/>
    <x v="1"/>
    <x v="1"/>
  </r>
  <r>
    <x v="625"/>
    <x v="75"/>
    <x v="4"/>
    <s v="82-525-7224"/>
    <x v="299"/>
    <x v="84"/>
    <n v="120.60000000000001"/>
    <n v="57"/>
    <n v="36"/>
    <x v="270"/>
    <n v="1.8611111111111112"/>
    <n v="1.8"/>
    <n v="1.137521222410866"/>
    <d v="2024-02-08T00:00:00"/>
    <d v="2024-10-04T00:00:00"/>
    <x v="625"/>
    <s v="703 Hermina Center"/>
    <n v="78"/>
    <n v="60"/>
    <x v="1"/>
    <n v="120.60000000000001"/>
    <x v="1"/>
    <x v="1"/>
  </r>
  <r>
    <x v="626"/>
    <x v="75"/>
    <x v="4"/>
    <s v="36-964-9838"/>
    <x v="149"/>
    <x v="82"/>
    <n v="124.2"/>
    <n v="59"/>
    <n v="29"/>
    <x v="449"/>
    <n v="2.3793103448275863"/>
    <n v="1.8"/>
    <n v="1.1714770797962648"/>
    <s v="10/30/2024"/>
    <s v="5/23/2024"/>
    <x v="626"/>
    <s v="4571 Fremont Way"/>
    <n v="63"/>
    <n v="91"/>
    <x v="1"/>
    <n v="124.2"/>
    <x v="1"/>
    <x v="1"/>
  </r>
  <r>
    <x v="627"/>
    <x v="75"/>
    <x v="4"/>
    <s v="05-779-0378"/>
    <x v="94"/>
    <x v="18"/>
    <n v="79.2"/>
    <n v="83"/>
    <n v="78"/>
    <x v="450"/>
    <n v="0.5641025641025641"/>
    <n v="1.8"/>
    <n v="0.74702886247877764"/>
    <d v="2024-08-07T00:00:00"/>
    <d v="2025-07-01T00:00:00"/>
    <x v="627"/>
    <s v="70156 7th Junction"/>
    <n v="46"/>
    <n v="4"/>
    <x v="0"/>
    <n v="79.2"/>
    <x v="0"/>
    <x v="1"/>
  </r>
  <r>
    <x v="628"/>
    <x v="76"/>
    <x v="2"/>
    <s v="54-907-6531"/>
    <x v="227"/>
    <x v="70"/>
    <n v="265.5"/>
    <n v="74"/>
    <n v="100"/>
    <x v="109"/>
    <n v="0.59"/>
    <n v="4.5"/>
    <n v="1.0016977928692701"/>
    <s v="3/26/2024"/>
    <s v="9/15/2024"/>
    <x v="628"/>
    <s v="38695 Kenwood Circle"/>
    <n v="63"/>
    <n v="69"/>
    <x v="1"/>
    <n v="265.5"/>
    <x v="2"/>
    <x v="0"/>
  </r>
  <r>
    <x v="629"/>
    <x v="76"/>
    <x v="2"/>
    <s v="78-098-4468"/>
    <x v="114"/>
    <x v="32"/>
    <n v="202.5"/>
    <n v="28"/>
    <n v="6"/>
    <x v="123"/>
    <n v="7.5"/>
    <n v="4.5"/>
    <n v="0.76400679117147707"/>
    <s v="3/18/2024"/>
    <s v="1/23/2025"/>
    <x v="629"/>
    <s v="2 Sachtjen Park"/>
    <n v="35"/>
    <n v="16"/>
    <x v="0"/>
    <n v="202.5"/>
    <x v="0"/>
    <x v="0"/>
  </r>
  <r>
    <x v="630"/>
    <x v="76"/>
    <x v="2"/>
    <s v="95-721-9228"/>
    <x v="267"/>
    <x v="43"/>
    <n v="90"/>
    <n v="91"/>
    <n v="12"/>
    <x v="129"/>
    <n v="1.6666666666666667"/>
    <n v="4.5"/>
    <n v="0.3395585738539898"/>
    <s v="11/26/2024"/>
    <s v="12/13/2024"/>
    <x v="630"/>
    <s v="11 Kedzie Avenue"/>
    <n v="35"/>
    <n v="50"/>
    <x v="1"/>
    <n v="90"/>
    <x v="2"/>
    <x v="0"/>
  </r>
  <r>
    <x v="631"/>
    <x v="76"/>
    <x v="2"/>
    <s v="75-286-4153"/>
    <x v="300"/>
    <x v="26"/>
    <n v="369.6"/>
    <n v="28"/>
    <n v="29"/>
    <x v="451"/>
    <n v="2.896551724137931"/>
    <n v="4.4000000000000004"/>
    <n v="1.4261460101867574"/>
    <d v="2025-09-02T00:00:00"/>
    <s v="2/15/2025"/>
    <x v="631"/>
    <s v="227 Tennyson Plaza"/>
    <n v="54"/>
    <n v="32"/>
    <x v="0"/>
    <n v="369.6"/>
    <x v="0"/>
    <x v="1"/>
  </r>
  <r>
    <x v="632"/>
    <x v="76"/>
    <x v="2"/>
    <s v="72-306-8602"/>
    <x v="243"/>
    <x v="55"/>
    <n v="108"/>
    <n v="25"/>
    <n v="52"/>
    <x v="419"/>
    <n v="0.46153846153846156"/>
    <n v="4.5"/>
    <n v="0.40747028862478779"/>
    <s v="5/25/2024"/>
    <s v="5/23/2024"/>
    <x v="632"/>
    <s v="851 Hollow Ridge Center"/>
    <n v="24"/>
    <n v="77"/>
    <x v="2"/>
    <n v="108"/>
    <x v="2"/>
    <x v="1"/>
  </r>
  <r>
    <x v="633"/>
    <x v="76"/>
    <x v="2"/>
    <s v="01-210-3485"/>
    <x v="267"/>
    <x v="13"/>
    <n v="348.3"/>
    <n v="16"/>
    <n v="69"/>
    <x v="452"/>
    <n v="1.173913043478261"/>
    <n v="4.3"/>
    <n v="1.3752122241086588"/>
    <d v="2025-06-01T00:00:00"/>
    <d v="2024-04-08T00:00:00"/>
    <x v="633"/>
    <s v="59449 Sherman Parkway"/>
    <n v="23"/>
    <n v="96"/>
    <x v="2"/>
    <n v="348.3"/>
    <x v="1"/>
    <x v="1"/>
  </r>
  <r>
    <x v="634"/>
    <x v="76"/>
    <x v="2"/>
    <s v="93-793-4398"/>
    <x v="61"/>
    <x v="35"/>
    <n v="436.5"/>
    <n v="97"/>
    <n v="71"/>
    <x v="453"/>
    <n v="1.3661971830985915"/>
    <n v="4.5"/>
    <n v="1.6468590831918506"/>
    <d v="2024-12-07T00:00:00"/>
    <s v="9/29/2024"/>
    <x v="634"/>
    <s v="561 Pennsylvania Way"/>
    <n v="53"/>
    <n v="31"/>
    <x v="1"/>
    <n v="436.5"/>
    <x v="1"/>
    <x v="1"/>
  </r>
  <r>
    <x v="635"/>
    <x v="76"/>
    <x v="2"/>
    <s v="93-358-1118"/>
    <x v="290"/>
    <x v="71"/>
    <n v="85.5"/>
    <n v="28"/>
    <n v="83"/>
    <x v="454"/>
    <n v="0.2289156626506024"/>
    <n v="4.5"/>
    <n v="0.32258064516129031"/>
    <s v="11/26/2024"/>
    <d v="2024-01-03T00:00:00"/>
    <x v="635"/>
    <s v="309 Burning Wood Center"/>
    <n v="91"/>
    <n v="73"/>
    <x v="0"/>
    <n v="85.5"/>
    <x v="0"/>
    <x v="1"/>
  </r>
  <r>
    <x v="636"/>
    <x v="77"/>
    <x v="5"/>
    <s v="75-465-6257"/>
    <x v="301"/>
    <x v="77"/>
    <n v="756"/>
    <n v="4"/>
    <n v="85"/>
    <x v="455"/>
    <n v="0.74117647058823533"/>
    <n v="12"/>
    <n v="1.069609507640068"/>
    <s v="12/21/2024"/>
    <s v="1/13/2025"/>
    <x v="636"/>
    <s v="49869 Bunker Hill Terrace"/>
    <n v="59"/>
    <n v="71"/>
    <x v="1"/>
    <n v="756"/>
    <x v="1"/>
    <x v="0"/>
  </r>
  <r>
    <x v="637"/>
    <x v="77"/>
    <x v="5"/>
    <s v="98-304-8407"/>
    <x v="233"/>
    <x v="62"/>
    <n v="1132.8000000000002"/>
    <n v="9"/>
    <n v="57"/>
    <x v="456"/>
    <n v="1.6842105263157894"/>
    <n v="11.8"/>
    <n v="1.6298811544991512"/>
    <s v="1/26/2025"/>
    <s v="6/16/2024"/>
    <x v="637"/>
    <s v="89 Springs Alley"/>
    <n v="78"/>
    <n v="67"/>
    <x v="1"/>
    <n v="1132.8000000000002"/>
    <x v="1"/>
    <x v="0"/>
  </r>
  <r>
    <x v="638"/>
    <x v="77"/>
    <x v="5"/>
    <s v="08-359-2568"/>
    <x v="75"/>
    <x v="51"/>
    <n v="1188"/>
    <n v="10"/>
    <n v="88"/>
    <x v="457"/>
    <n v="1.125"/>
    <n v="12"/>
    <n v="1.6808149405772497"/>
    <s v="7/14/2024"/>
    <d v="2024-05-12T00:00:00"/>
    <x v="638"/>
    <s v="8 Dawn Court"/>
    <n v="69"/>
    <n v="98"/>
    <x v="1"/>
    <n v="1188"/>
    <x v="1"/>
    <x v="1"/>
  </r>
  <r>
    <x v="639"/>
    <x v="77"/>
    <x v="5"/>
    <s v="69-666-2257"/>
    <x v="68"/>
    <x v="6"/>
    <n v="444"/>
    <n v="3"/>
    <n v="45"/>
    <x v="114"/>
    <n v="0.82222222222222219"/>
    <n v="12"/>
    <n v="0.6281833616298812"/>
    <s v="10/25/2024"/>
    <s v="4/22/2024"/>
    <x v="639"/>
    <s v="27 School Court"/>
    <n v="39"/>
    <n v="28"/>
    <x v="0"/>
    <n v="444"/>
    <x v="0"/>
    <x v="1"/>
  </r>
  <r>
    <x v="640"/>
    <x v="77"/>
    <x v="5"/>
    <s v="02-811-7933"/>
    <x v="55"/>
    <x v="77"/>
    <n v="749.7"/>
    <n v="41"/>
    <n v="98"/>
    <x v="458"/>
    <n v="0.6428571428571429"/>
    <n v="11.9"/>
    <n v="1.069609507640068"/>
    <s v="10/22/2024"/>
    <s v="12/17/2024"/>
    <x v="640"/>
    <s v="854 Kipling Point"/>
    <n v="37"/>
    <n v="7"/>
    <x v="1"/>
    <n v="749.7"/>
    <x v="1"/>
    <x v="1"/>
  </r>
  <r>
    <x v="641"/>
    <x v="77"/>
    <x v="5"/>
    <s v="39-714-7313"/>
    <x v="302"/>
    <x v="81"/>
    <n v="624"/>
    <n v="56"/>
    <n v="34"/>
    <x v="459"/>
    <n v="1.5294117647058822"/>
    <n v="12"/>
    <n v="0.88285229202037352"/>
    <s v="9/27/2024"/>
    <d v="2024-04-10T00:00:00"/>
    <x v="641"/>
    <s v="0 Fordem Place"/>
    <n v="31"/>
    <n v="69"/>
    <x v="2"/>
    <n v="624"/>
    <x v="2"/>
    <x v="1"/>
  </r>
  <r>
    <x v="642"/>
    <x v="77"/>
    <x v="5"/>
    <s v="35-927-4986"/>
    <x v="289"/>
    <x v="49"/>
    <n v="960"/>
    <n v="100"/>
    <n v="48"/>
    <x v="327"/>
    <n v="1.6666666666666667"/>
    <n v="12"/>
    <n v="1.3582342954159592"/>
    <s v="8/18/2024"/>
    <d v="2024-12-10T00:00:00"/>
    <x v="642"/>
    <s v="9463 Northland Court"/>
    <n v="100"/>
    <n v="28"/>
    <x v="2"/>
    <n v="960"/>
    <x v="2"/>
    <x v="1"/>
  </r>
  <r>
    <x v="643"/>
    <x v="77"/>
    <x v="5"/>
    <s v="60-284-1974"/>
    <x v="15"/>
    <x v="41"/>
    <n v="780"/>
    <n v="54"/>
    <n v="29"/>
    <x v="371"/>
    <n v="2.2413793103448274"/>
    <n v="12"/>
    <n v="1.1035653650254669"/>
    <s v="11/30/2024"/>
    <s v="11/29/2024"/>
    <x v="643"/>
    <s v="3 Bayside Point"/>
    <n v="69"/>
    <n v="79"/>
    <x v="2"/>
    <n v="780"/>
    <x v="1"/>
    <x v="1"/>
  </r>
  <r>
    <x v="644"/>
    <x v="77"/>
    <x v="5"/>
    <s v="82-995-0739"/>
    <x v="92"/>
    <x v="27"/>
    <n v="456"/>
    <n v="67"/>
    <n v="66"/>
    <x v="332"/>
    <n v="0.5757575757575758"/>
    <n v="12"/>
    <n v="0.64516129032258063"/>
    <d v="2024-01-04T00:00:00"/>
    <s v="12/21/2024"/>
    <x v="644"/>
    <s v="73 Graedel Street"/>
    <n v="35"/>
    <n v="24"/>
    <x v="0"/>
    <n v="456"/>
    <x v="0"/>
    <x v="1"/>
  </r>
  <r>
    <x v="645"/>
    <x v="78"/>
    <x v="2"/>
    <s v="11-146-9880"/>
    <x v="303"/>
    <x v="79"/>
    <n v="188"/>
    <n v="72"/>
    <n v="73"/>
    <x v="350"/>
    <n v="0.64383561643835618"/>
    <n v="4"/>
    <n v="0.79796264855687604"/>
    <s v="5/21/2024"/>
    <s v="3/30/2024"/>
    <x v="645"/>
    <s v="7 West Street"/>
    <n v="93"/>
    <n v="27"/>
    <x v="2"/>
    <n v="188"/>
    <x v="2"/>
    <x v="0"/>
  </r>
  <r>
    <x v="646"/>
    <x v="78"/>
    <x v="2"/>
    <s v="29-975-3449"/>
    <x v="255"/>
    <x v="68"/>
    <n v="160"/>
    <n v="53"/>
    <n v="7"/>
    <x v="383"/>
    <n v="5.7142857142857144"/>
    <n v="4"/>
    <n v="0.6791171477079796"/>
    <s v="2/21/2025"/>
    <d v="2024-06-03T00:00:00"/>
    <x v="646"/>
    <s v="082 Clove Plaza"/>
    <n v="70"/>
    <n v="20"/>
    <x v="2"/>
    <n v="160"/>
    <x v="2"/>
    <x v="0"/>
  </r>
  <r>
    <x v="647"/>
    <x v="78"/>
    <x v="2"/>
    <s v="54-711-1582"/>
    <x v="280"/>
    <x v="59"/>
    <n v="60"/>
    <n v="27"/>
    <n v="21"/>
    <x v="435"/>
    <n v="0.7142857142857143"/>
    <n v="4"/>
    <n v="0.25466893039049238"/>
    <d v="2024-11-06T00:00:00"/>
    <s v="2/21/2025"/>
    <x v="647"/>
    <s v="3104 Ridge Oak Hill"/>
    <n v="37"/>
    <n v="67"/>
    <x v="2"/>
    <n v="60"/>
    <x v="2"/>
    <x v="0"/>
  </r>
  <r>
    <x v="648"/>
    <x v="78"/>
    <x v="2"/>
    <s v="69-087-6645"/>
    <x v="254"/>
    <x v="6"/>
    <n v="148"/>
    <n v="38"/>
    <n v="24"/>
    <x v="59"/>
    <n v="1.5416666666666667"/>
    <n v="4"/>
    <n v="0.6281833616298812"/>
    <s v="6/15/2024"/>
    <d v="2024-02-09T00:00:00"/>
    <x v="648"/>
    <s v="0 Oak Valley Lane"/>
    <n v="93"/>
    <n v="32"/>
    <x v="1"/>
    <n v="148"/>
    <x v="2"/>
    <x v="0"/>
  </r>
  <r>
    <x v="649"/>
    <x v="78"/>
    <x v="2"/>
    <s v="51-213-5660"/>
    <x v="222"/>
    <x v="28"/>
    <n v="292"/>
    <n v="90"/>
    <n v="77"/>
    <x v="460"/>
    <n v="0.94805194805194803"/>
    <n v="4"/>
    <n v="1.2393887945670627"/>
    <s v="2/26/2024"/>
    <s v="8/15/2024"/>
    <x v="649"/>
    <s v="7 Roxbury Circle"/>
    <n v="75"/>
    <n v="19"/>
    <x v="2"/>
    <n v="292"/>
    <x v="2"/>
    <x v="1"/>
  </r>
  <r>
    <x v="650"/>
    <x v="78"/>
    <x v="2"/>
    <s v="78-726-6352"/>
    <x v="65"/>
    <x v="79"/>
    <n v="188"/>
    <n v="67"/>
    <n v="57"/>
    <x v="246"/>
    <n v="0.82456140350877194"/>
    <n v="4"/>
    <n v="0.79796264855687604"/>
    <d v="2024-04-12T00:00:00"/>
    <s v="7/22/2024"/>
    <x v="650"/>
    <s v="04 Hagan Crossing"/>
    <n v="36"/>
    <n v="48"/>
    <x v="2"/>
    <n v="188"/>
    <x v="2"/>
    <x v="1"/>
  </r>
  <r>
    <x v="651"/>
    <x v="78"/>
    <x v="2"/>
    <s v="70-591-9841"/>
    <x v="246"/>
    <x v="68"/>
    <n v="160"/>
    <n v="83"/>
    <n v="50"/>
    <x v="14"/>
    <n v="0.8"/>
    <n v="4"/>
    <n v="0.6791171477079796"/>
    <d v="2024-05-06T00:00:00"/>
    <d v="2024-03-09T00:00:00"/>
    <x v="651"/>
    <s v="36124 Carberry Junction"/>
    <n v="92"/>
    <n v="50"/>
    <x v="1"/>
    <n v="160"/>
    <x v="2"/>
    <x v="1"/>
  </r>
  <r>
    <x v="652"/>
    <x v="78"/>
    <x v="2"/>
    <s v="61-382-5182"/>
    <x v="223"/>
    <x v="65"/>
    <n v="376"/>
    <n v="69"/>
    <n v="68"/>
    <x v="461"/>
    <n v="1.3823529411764706"/>
    <n v="4"/>
    <n v="1.5959252971137521"/>
    <d v="2024-08-07T00:00:00"/>
    <s v="1/16/2025"/>
    <x v="652"/>
    <s v="832 Goodland Alley"/>
    <n v="24"/>
    <n v="20"/>
    <x v="0"/>
    <n v="376"/>
    <x v="0"/>
    <x v="1"/>
  </r>
  <r>
    <x v="653"/>
    <x v="78"/>
    <x v="2"/>
    <s v="95-944-5323"/>
    <x v="298"/>
    <x v="32"/>
    <n v="180"/>
    <n v="79"/>
    <n v="95"/>
    <x v="106"/>
    <n v="0.47368421052631576"/>
    <n v="4"/>
    <n v="0.76400679117147707"/>
    <d v="2024-06-12T00:00:00"/>
    <s v="6/26/2024"/>
    <x v="653"/>
    <s v="41 Stephen Crossing"/>
    <n v="84"/>
    <n v="62"/>
    <x v="2"/>
    <n v="180"/>
    <x v="2"/>
    <x v="1"/>
  </r>
  <r>
    <x v="654"/>
    <x v="79"/>
    <x v="4"/>
    <s v="43-786-9229"/>
    <x v="216"/>
    <x v="21"/>
    <n v="256"/>
    <n v="21"/>
    <n v="13"/>
    <x v="462"/>
    <n v="4.9230769230769234"/>
    <n v="4"/>
    <n v="1.0865874363327674"/>
    <s v="1/30/2025"/>
    <d v="2024-11-10T00:00:00"/>
    <x v="654"/>
    <s v="16 Autumn Leaf Way"/>
    <n v="51"/>
    <n v="26"/>
    <x v="2"/>
    <n v="256"/>
    <x v="1"/>
    <x v="0"/>
  </r>
  <r>
    <x v="655"/>
    <x v="79"/>
    <x v="4"/>
    <s v="10-038-3988"/>
    <x v="304"/>
    <x v="75"/>
    <n v="228"/>
    <n v="36"/>
    <n v="53"/>
    <x v="463"/>
    <n v="1.0754716981132075"/>
    <n v="4"/>
    <n v="0.967741935483871"/>
    <d v="2024-04-06T00:00:00"/>
    <s v="6/16/2024"/>
    <x v="655"/>
    <s v="203 Mariners Cove Junction"/>
    <n v="56"/>
    <n v="32"/>
    <x v="2"/>
    <n v="228"/>
    <x v="1"/>
    <x v="0"/>
  </r>
  <r>
    <x v="656"/>
    <x v="79"/>
    <x v="4"/>
    <s v="34-158-6684"/>
    <x v="105"/>
    <x v="14"/>
    <n v="240"/>
    <n v="88"/>
    <n v="65"/>
    <x v="34"/>
    <n v="0.92307692307692313"/>
    <n v="4"/>
    <n v="1.0186757215619695"/>
    <s v="8/29/2024"/>
    <s v="1/16/2025"/>
    <x v="656"/>
    <s v="6 Harbort Hill"/>
    <n v="94"/>
    <n v="15"/>
    <x v="1"/>
    <n v="240"/>
    <x v="2"/>
    <x v="0"/>
  </r>
  <r>
    <x v="657"/>
    <x v="79"/>
    <x v="4"/>
    <s v="81-233-6894"/>
    <x v="200"/>
    <x v="64"/>
    <n v="196"/>
    <n v="17"/>
    <n v="54"/>
    <x v="281"/>
    <n v="0.90740740740740744"/>
    <n v="4"/>
    <n v="0.83191850594227501"/>
    <s v="9/23/2024"/>
    <s v="11/30/2024"/>
    <x v="657"/>
    <s v="0109 Stang Terrace"/>
    <n v="45"/>
    <n v="96"/>
    <x v="0"/>
    <n v="196"/>
    <x v="0"/>
    <x v="0"/>
  </r>
  <r>
    <x v="658"/>
    <x v="79"/>
    <x v="4"/>
    <s v="19-893-7698"/>
    <x v="305"/>
    <x v="7"/>
    <n v="316"/>
    <n v="3"/>
    <n v="36"/>
    <x v="384"/>
    <n v="2.1944444444444446"/>
    <n v="4"/>
    <n v="1.3412563667232598"/>
    <s v="8/16/2024"/>
    <s v="1/25/2025"/>
    <x v="658"/>
    <s v="76 Independence Drive"/>
    <n v="46"/>
    <n v="29"/>
    <x v="0"/>
    <n v="316"/>
    <x v="0"/>
    <x v="1"/>
  </r>
  <r>
    <x v="659"/>
    <x v="79"/>
    <x v="4"/>
    <s v="58-213-1146"/>
    <x v="61"/>
    <x v="34"/>
    <n v="84"/>
    <n v="52"/>
    <n v="80"/>
    <x v="464"/>
    <n v="0.26250000000000001"/>
    <n v="4"/>
    <n v="0.35653650254668934"/>
    <d v="2024-03-06T00:00:00"/>
    <d v="2024-04-11T00:00:00"/>
    <x v="659"/>
    <s v="1170 Shasta Circle"/>
    <n v="49"/>
    <n v="37"/>
    <x v="2"/>
    <n v="84"/>
    <x v="2"/>
    <x v="1"/>
  </r>
  <r>
    <x v="660"/>
    <x v="79"/>
    <x v="4"/>
    <s v="86-995-7254"/>
    <x v="284"/>
    <x v="55"/>
    <n v="96"/>
    <n v="14"/>
    <n v="5"/>
    <x v="288"/>
    <n v="4.8"/>
    <n v="4"/>
    <n v="0.40747028862478779"/>
    <s v="6/20/2024"/>
    <s v="3/30/2024"/>
    <x v="660"/>
    <s v="0 Lawn Parkway"/>
    <n v="98"/>
    <n v="9"/>
    <x v="1"/>
    <n v="96"/>
    <x v="1"/>
    <x v="1"/>
  </r>
  <r>
    <x v="661"/>
    <x v="79"/>
    <x v="4"/>
    <s v="25-741-5987"/>
    <x v="141"/>
    <x v="27"/>
    <n v="152"/>
    <n v="62"/>
    <n v="47"/>
    <x v="465"/>
    <n v="0.80851063829787229"/>
    <n v="4"/>
    <n v="0.64516129032258063"/>
    <d v="2024-02-12T00:00:00"/>
    <d v="2024-12-12T00:00:00"/>
    <x v="661"/>
    <s v="13 Westport Hill"/>
    <n v="41"/>
    <n v="34"/>
    <x v="0"/>
    <n v="152"/>
    <x v="0"/>
    <x v="1"/>
  </r>
  <r>
    <x v="662"/>
    <x v="79"/>
    <x v="4"/>
    <s v="90-378-8463"/>
    <x v="130"/>
    <x v="34"/>
    <n v="84"/>
    <n v="25"/>
    <n v="39"/>
    <x v="429"/>
    <n v="0.53846153846153844"/>
    <n v="4"/>
    <n v="0.35653650254668934"/>
    <s v="7/30/2024"/>
    <d v="2024-10-09T00:00:00"/>
    <x v="662"/>
    <s v="99 Twin Pines Alley"/>
    <n v="79"/>
    <n v="30"/>
    <x v="1"/>
    <n v="84"/>
    <x v="2"/>
    <x v="1"/>
  </r>
  <r>
    <x v="663"/>
    <x v="80"/>
    <x v="2"/>
    <s v="09-090-6360"/>
    <x v="186"/>
    <x v="9"/>
    <n v="346.5"/>
    <n v="20"/>
    <n v="5"/>
    <x v="397"/>
    <n v="15.4"/>
    <n v="4.5"/>
    <n v="1.3073005093378609"/>
    <s v="8/18/2024"/>
    <s v="11/19/2024"/>
    <x v="663"/>
    <s v="3 Hooker Way"/>
    <n v="61"/>
    <n v="62"/>
    <x v="0"/>
    <n v="346.5"/>
    <x v="0"/>
    <x v="0"/>
  </r>
  <r>
    <x v="664"/>
    <x v="80"/>
    <x v="2"/>
    <s v="05-593-1927"/>
    <x v="306"/>
    <x v="57"/>
    <n v="364.90000000000003"/>
    <n v="65"/>
    <n v="69"/>
    <x v="466"/>
    <n v="1.1884057971014492"/>
    <n v="4.45"/>
    <n v="1.3921901528013583"/>
    <d v="2024-11-04T00:00:00"/>
    <d v="2024-12-11T00:00:00"/>
    <x v="664"/>
    <s v="622 Anthes Lane"/>
    <n v="30"/>
    <n v="78"/>
    <x v="2"/>
    <n v="364.90000000000003"/>
    <x v="1"/>
    <x v="0"/>
  </r>
  <r>
    <x v="665"/>
    <x v="80"/>
    <x v="2"/>
    <s v="80-863-1186"/>
    <x v="239"/>
    <x v="66"/>
    <n v="274.5"/>
    <n v="50"/>
    <n v="9"/>
    <x v="84"/>
    <n v="6.7777777777777777"/>
    <n v="4.5"/>
    <n v="1.0356536502546689"/>
    <d v="2024-08-10T00:00:00"/>
    <s v="2/26/2024"/>
    <x v="665"/>
    <s v="6 Charing Cross Circle"/>
    <n v="24"/>
    <n v="92"/>
    <x v="1"/>
    <n v="274.5"/>
    <x v="1"/>
    <x v="0"/>
  </r>
  <r>
    <x v="666"/>
    <x v="80"/>
    <x v="2"/>
    <s v="33-141-1402"/>
    <x v="146"/>
    <x v="85"/>
    <n v="130.5"/>
    <n v="20"/>
    <n v="85"/>
    <x v="467"/>
    <n v="0.3411764705882353"/>
    <n v="4.5"/>
    <n v="0.49235993208828527"/>
    <s v="10/27/2024"/>
    <s v="2/20/2025"/>
    <x v="666"/>
    <s v="84642 Clarendon Point"/>
    <n v="31"/>
    <n v="31"/>
    <x v="1"/>
    <n v="130.5"/>
    <x v="1"/>
    <x v="0"/>
  </r>
  <r>
    <x v="667"/>
    <x v="80"/>
    <x v="2"/>
    <s v="88-108-3774"/>
    <x v="145"/>
    <x v="89"/>
    <n v="184.5"/>
    <n v="52"/>
    <n v="75"/>
    <x v="468"/>
    <n v="0.54666666666666663"/>
    <n v="4.5"/>
    <n v="0.69609507640067914"/>
    <d v="2024-06-04T00:00:00"/>
    <s v="4/24/2024"/>
    <x v="667"/>
    <s v="7 Bonner Terrace"/>
    <n v="57"/>
    <n v="62"/>
    <x v="2"/>
    <n v="184.5"/>
    <x v="2"/>
    <x v="0"/>
  </r>
  <r>
    <x v="668"/>
    <x v="80"/>
    <x v="2"/>
    <s v="23-280-1300"/>
    <x v="177"/>
    <x v="60"/>
    <n v="117"/>
    <n v="95"/>
    <n v="36"/>
    <x v="314"/>
    <n v="0.72222222222222221"/>
    <n v="4.5"/>
    <n v="0.44142614601018676"/>
    <s v="7/29/2024"/>
    <d v="2025-06-01T00:00:00"/>
    <x v="668"/>
    <s v="582 Dahle Center"/>
    <n v="92"/>
    <n v="14"/>
    <x v="1"/>
    <n v="117"/>
    <x v="2"/>
    <x v="0"/>
  </r>
  <r>
    <x v="669"/>
    <x v="80"/>
    <x v="2"/>
    <s v="60-394-8955"/>
    <x v="307"/>
    <x v="90"/>
    <n v="258.10000000000002"/>
    <n v="55"/>
    <n v="5"/>
    <x v="469"/>
    <n v="11.6"/>
    <n v="4.45"/>
    <n v="0.98471986417657054"/>
    <s v="12/31/2024"/>
    <s v="4/17/2024"/>
    <x v="669"/>
    <s v="0 Ruskin Way"/>
    <n v="62"/>
    <n v="89"/>
    <x v="1"/>
    <n v="258.10000000000002"/>
    <x v="1"/>
    <x v="1"/>
  </r>
  <r>
    <x v="670"/>
    <x v="80"/>
    <x v="2"/>
    <s v="25-706-2146"/>
    <x v="287"/>
    <x v="7"/>
    <n v="355.5"/>
    <n v="37"/>
    <n v="98"/>
    <x v="205"/>
    <n v="0.80612244897959184"/>
    <n v="4.5"/>
    <n v="1.3412563667232598"/>
    <d v="2024-01-09T00:00:00"/>
    <d v="2024-02-03T00:00:00"/>
    <x v="670"/>
    <s v="2004 Cody Plaza"/>
    <n v="33"/>
    <n v="20"/>
    <x v="0"/>
    <n v="355.5"/>
    <x v="0"/>
    <x v="1"/>
  </r>
  <r>
    <x v="671"/>
    <x v="80"/>
    <x v="2"/>
    <s v="75-553-7424"/>
    <x v="39"/>
    <x v="26"/>
    <n v="378"/>
    <n v="74"/>
    <n v="48"/>
    <x v="281"/>
    <n v="1.75"/>
    <n v="4.5"/>
    <n v="1.4261460101867574"/>
    <s v="12/24/2024"/>
    <s v="10/17/2024"/>
    <x v="671"/>
    <s v="7051 Calypso Place"/>
    <n v="64"/>
    <n v="32"/>
    <x v="2"/>
    <n v="378"/>
    <x v="1"/>
    <x v="1"/>
  </r>
  <r>
    <x v="672"/>
    <x v="81"/>
    <x v="2"/>
    <s v="42-380-8881"/>
    <x v="308"/>
    <x v="51"/>
    <n v="297"/>
    <n v="1"/>
    <n v="4"/>
    <x v="133"/>
    <n v="24.75"/>
    <n v="3"/>
    <n v="1.6808149405772497"/>
    <s v="12/13/2024"/>
    <s v="1/27/2025"/>
    <x v="672"/>
    <s v="553 Mayfield Crossing"/>
    <n v="50"/>
    <n v="53"/>
    <x v="2"/>
    <n v="297"/>
    <x v="1"/>
    <x v="0"/>
  </r>
  <r>
    <x v="673"/>
    <x v="81"/>
    <x v="2"/>
    <s v="41-083-3955"/>
    <x v="17"/>
    <x v="64"/>
    <n v="147"/>
    <n v="46"/>
    <n v="8"/>
    <x v="140"/>
    <n v="6.125"/>
    <n v="3"/>
    <n v="0.83191850594227501"/>
    <s v="10/22/2024"/>
    <s v="3/31/2024"/>
    <x v="673"/>
    <s v="160 Kings Street"/>
    <n v="82"/>
    <n v="21"/>
    <x v="0"/>
    <n v="147"/>
    <x v="0"/>
    <x v="0"/>
  </r>
  <r>
    <x v="674"/>
    <x v="81"/>
    <x v="2"/>
    <s v="83-936-5065"/>
    <x v="309"/>
    <x v="11"/>
    <n v="36"/>
    <n v="28"/>
    <n v="11"/>
    <x v="283"/>
    <n v="1.0909090909090908"/>
    <n v="3"/>
    <n v="0.2037351443123939"/>
    <s v="5/18/2024"/>
    <d v="2025-05-01T00:00:00"/>
    <x v="674"/>
    <s v="6 Anthes Court"/>
    <n v="46"/>
    <n v="88"/>
    <x v="2"/>
    <n v="36"/>
    <x v="2"/>
    <x v="0"/>
  </r>
  <r>
    <x v="675"/>
    <x v="81"/>
    <x v="2"/>
    <s v="69-472-4067"/>
    <x v="310"/>
    <x v="4"/>
    <n v="225"/>
    <n v="91"/>
    <n v="68"/>
    <x v="470"/>
    <n v="1.1029411764705883"/>
    <n v="3"/>
    <n v="1.2733446519524618"/>
    <s v="10/31/2024"/>
    <s v="4/23/2024"/>
    <x v="675"/>
    <s v="7182 Summit Court"/>
    <n v="96"/>
    <n v="73"/>
    <x v="2"/>
    <n v="225"/>
    <x v="2"/>
    <x v="1"/>
  </r>
  <r>
    <x v="676"/>
    <x v="81"/>
    <x v="2"/>
    <s v="42-976-2737"/>
    <x v="311"/>
    <x v="80"/>
    <n v="144"/>
    <n v="72"/>
    <n v="55"/>
    <x v="231"/>
    <n v="0.87272727272727268"/>
    <n v="3"/>
    <n v="0.81494057724957558"/>
    <s v="9/18/2024"/>
    <d v="2024-12-05T00:00:00"/>
    <x v="676"/>
    <s v="39 Dovetail Terrace"/>
    <n v="51"/>
    <n v="41"/>
    <x v="1"/>
    <n v="144"/>
    <x v="2"/>
    <x v="1"/>
  </r>
  <r>
    <x v="677"/>
    <x v="81"/>
    <x v="2"/>
    <s v="34-315-1199"/>
    <x v="185"/>
    <x v="15"/>
    <n v="300"/>
    <n v="52"/>
    <n v="2"/>
    <x v="471"/>
    <n v="50"/>
    <n v="3"/>
    <n v="1.6977928692699491"/>
    <d v="2024-08-03T00:00:00"/>
    <s v="11/29/2024"/>
    <x v="677"/>
    <s v="56 Esker Park"/>
    <n v="86"/>
    <n v="70"/>
    <x v="2"/>
    <n v="300"/>
    <x v="1"/>
    <x v="1"/>
  </r>
  <r>
    <x v="678"/>
    <x v="82"/>
    <x v="2"/>
    <s v="88-663-3393"/>
    <x v="312"/>
    <x v="50"/>
    <n v="63"/>
    <n v="52"/>
    <n v="22"/>
    <x v="260"/>
    <n v="0.81818181818181823"/>
    <n v="3.5"/>
    <n v="0.30560271646859083"/>
    <s v="8/23/2024"/>
    <s v="10/13/2024"/>
    <x v="678"/>
    <s v="3645 Ridge Oak Drive"/>
    <n v="42"/>
    <n v="32"/>
    <x v="2"/>
    <n v="63"/>
    <x v="2"/>
    <x v="0"/>
  </r>
  <r>
    <x v="679"/>
    <x v="82"/>
    <x v="2"/>
    <s v="94-217-4781"/>
    <x v="82"/>
    <x v="80"/>
    <n v="165.60000000000002"/>
    <n v="48"/>
    <n v="39"/>
    <x v="472"/>
    <n v="1.2307692307692308"/>
    <n v="3.45"/>
    <n v="0.81494057724957558"/>
    <s v="3/17/2024"/>
    <s v="1/25/2025"/>
    <x v="679"/>
    <s v="4 Raven Drive"/>
    <n v="51"/>
    <n v="50"/>
    <x v="0"/>
    <n v="165.60000000000002"/>
    <x v="0"/>
    <x v="0"/>
  </r>
  <r>
    <x v="680"/>
    <x v="82"/>
    <x v="2"/>
    <s v="48-878-3021"/>
    <x v="71"/>
    <x v="18"/>
    <n v="149.6"/>
    <n v="80"/>
    <n v="84"/>
    <x v="473"/>
    <n v="0.52380952380952384"/>
    <n v="3.4"/>
    <n v="0.74702886247877764"/>
    <s v="8/30/2024"/>
    <s v="10/17/2024"/>
    <x v="680"/>
    <s v="3 Ronald Regan Center"/>
    <n v="96"/>
    <n v="68"/>
    <x v="0"/>
    <n v="149.6"/>
    <x v="0"/>
    <x v="0"/>
  </r>
  <r>
    <x v="681"/>
    <x v="82"/>
    <x v="2"/>
    <s v="19-704-4404"/>
    <x v="135"/>
    <x v="63"/>
    <n v="245"/>
    <n v="30"/>
    <n v="69"/>
    <x v="474"/>
    <n v="1.0144927536231885"/>
    <n v="3.5"/>
    <n v="1.1884550084889645"/>
    <s v="8/13/2024"/>
    <d v="2025-03-02T00:00:00"/>
    <x v="681"/>
    <s v="9 Bartillon Trail"/>
    <n v="44"/>
    <n v="42"/>
    <x v="0"/>
    <n v="245"/>
    <x v="0"/>
    <x v="0"/>
  </r>
  <r>
    <x v="682"/>
    <x v="82"/>
    <x v="2"/>
    <s v="69-928-4929"/>
    <x v="88"/>
    <x v="0"/>
    <n v="192.5"/>
    <n v="91"/>
    <n v="35"/>
    <x v="263"/>
    <n v="1.5714285714285714"/>
    <n v="3.5"/>
    <n v="0.93378607809847203"/>
    <d v="2024-08-05T00:00:00"/>
    <s v="5/22/2024"/>
    <x v="682"/>
    <s v="4 Sundown Place"/>
    <n v="81"/>
    <n v="19"/>
    <x v="1"/>
    <n v="192.5"/>
    <x v="2"/>
    <x v="0"/>
  </r>
  <r>
    <x v="683"/>
    <x v="82"/>
    <x v="2"/>
    <s v="78-787-7171"/>
    <x v="28"/>
    <x v="41"/>
    <n v="227.5"/>
    <n v="35"/>
    <n v="3"/>
    <x v="132"/>
    <n v="21.666666666666668"/>
    <n v="3.5"/>
    <n v="1.1035653650254669"/>
    <d v="2024-11-08T00:00:00"/>
    <s v="1/18/2025"/>
    <x v="683"/>
    <s v="4 4th Place"/>
    <n v="25"/>
    <n v="13"/>
    <x v="1"/>
    <n v="227.5"/>
    <x v="1"/>
    <x v="0"/>
  </r>
  <r>
    <x v="684"/>
    <x v="82"/>
    <x v="2"/>
    <s v="11-445-3951"/>
    <x v="28"/>
    <x v="47"/>
    <n v="238"/>
    <n v="25"/>
    <n v="16"/>
    <x v="317"/>
    <n v="4.25"/>
    <n v="3.5"/>
    <n v="1.1544991511035654"/>
    <d v="2024-04-04T00:00:00"/>
    <s v="8/19/2024"/>
    <x v="684"/>
    <s v="0584 Lindbergh Alley"/>
    <n v="25"/>
    <n v="83"/>
    <x v="1"/>
    <n v="238"/>
    <x v="1"/>
    <x v="1"/>
  </r>
  <r>
    <x v="685"/>
    <x v="82"/>
    <x v="2"/>
    <s v="07-055-5188"/>
    <x v="145"/>
    <x v="50"/>
    <n v="63"/>
    <n v="7"/>
    <n v="58"/>
    <x v="475"/>
    <n v="0.31034482758620691"/>
    <n v="3.5"/>
    <n v="0.30560271646859083"/>
    <s v="11/26/2024"/>
    <d v="2024-05-08T00:00:00"/>
    <x v="685"/>
    <s v="1 Pleasure Hill"/>
    <n v="88"/>
    <n v="96"/>
    <x v="0"/>
    <n v="63"/>
    <x v="0"/>
    <x v="1"/>
  </r>
  <r>
    <x v="686"/>
    <x v="82"/>
    <x v="2"/>
    <s v="59-570-2020"/>
    <x v="3"/>
    <x v="43"/>
    <n v="70"/>
    <n v="51"/>
    <n v="33"/>
    <x v="476"/>
    <n v="0.60606060606060608"/>
    <n v="3.5"/>
    <n v="0.3395585738539898"/>
    <d v="2024-03-04T00:00:00"/>
    <s v="1/24/2025"/>
    <x v="686"/>
    <s v="0 Delladonna Place"/>
    <n v="80"/>
    <n v="41"/>
    <x v="1"/>
    <n v="70"/>
    <x v="2"/>
    <x v="1"/>
  </r>
  <r>
    <x v="687"/>
    <x v="82"/>
    <x v="2"/>
    <s v="54-724-8610"/>
    <x v="233"/>
    <x v="54"/>
    <n v="49"/>
    <n v="81"/>
    <n v="65"/>
    <x v="477"/>
    <n v="0.2153846153846154"/>
    <n v="3.5"/>
    <n v="0.23769100169779286"/>
    <s v="11/17/2024"/>
    <s v="3/15/2024"/>
    <x v="687"/>
    <s v="1661 Springview Terrace"/>
    <n v="74"/>
    <n v="84"/>
    <x v="1"/>
    <n v="49"/>
    <x v="2"/>
    <x v="1"/>
  </r>
  <r>
    <x v="688"/>
    <x v="83"/>
    <x v="2"/>
    <s v="54-226-4308"/>
    <x v="96"/>
    <x v="6"/>
    <n v="148"/>
    <n v="30"/>
    <n v="74"/>
    <x v="478"/>
    <n v="0.5"/>
    <n v="4"/>
    <n v="0.6281833616298812"/>
    <d v="2024-03-07T00:00:00"/>
    <d v="2024-11-10T00:00:00"/>
    <x v="688"/>
    <s v="15068 Scoville Court"/>
    <n v="62"/>
    <n v="25"/>
    <x v="2"/>
    <n v="148"/>
    <x v="1"/>
    <x v="0"/>
  </r>
  <r>
    <x v="689"/>
    <x v="83"/>
    <x v="2"/>
    <s v="75-190-3627"/>
    <x v="36"/>
    <x v="44"/>
    <n v="380"/>
    <n v="50"/>
    <n v="76"/>
    <x v="139"/>
    <n v="1.25"/>
    <n v="4"/>
    <n v="1.6129032258064517"/>
    <d v="2024-05-04T00:00:00"/>
    <s v="9/21/2024"/>
    <x v="689"/>
    <s v="5104 Jana Court"/>
    <n v="69"/>
    <n v="5"/>
    <x v="1"/>
    <n v="380"/>
    <x v="1"/>
    <x v="0"/>
  </r>
  <r>
    <x v="690"/>
    <x v="83"/>
    <x v="2"/>
    <s v="72-931-9828"/>
    <x v="313"/>
    <x v="43"/>
    <n v="77"/>
    <n v="42"/>
    <n v="21"/>
    <x v="479"/>
    <n v="0.95238095238095233"/>
    <n v="3.85"/>
    <n v="0.3395585738539898"/>
    <s v="11/28/2024"/>
    <s v="1/27/2025"/>
    <x v="690"/>
    <s v="21633 Sycamore Center"/>
    <n v="61"/>
    <n v="25"/>
    <x v="0"/>
    <n v="77"/>
    <x v="0"/>
    <x v="0"/>
  </r>
  <r>
    <x v="691"/>
    <x v="83"/>
    <x v="2"/>
    <s v="69-112-6969"/>
    <x v="59"/>
    <x v="61"/>
    <n v="42.9"/>
    <n v="56"/>
    <n v="62"/>
    <x v="480"/>
    <n v="0.17741935483870969"/>
    <n v="3.9"/>
    <n v="0.18675721561969441"/>
    <s v="4/14/2024"/>
    <d v="2025-10-01T00:00:00"/>
    <x v="691"/>
    <s v="27 New Castle Avenue"/>
    <n v="40"/>
    <n v="5"/>
    <x v="2"/>
    <n v="42.9"/>
    <x v="2"/>
    <x v="0"/>
  </r>
  <r>
    <x v="692"/>
    <x v="83"/>
    <x v="2"/>
    <s v="06-569-4690"/>
    <x v="301"/>
    <x v="60"/>
    <n v="104"/>
    <n v="69"/>
    <n v="90"/>
    <x v="15"/>
    <n v="0.28888888888888886"/>
    <n v="4"/>
    <n v="0.44142614601018676"/>
    <d v="2024-12-12T00:00:00"/>
    <d v="2024-08-06T00:00:00"/>
    <x v="692"/>
    <s v="46758 Hallows Center"/>
    <n v="47"/>
    <n v="35"/>
    <x v="1"/>
    <n v="104"/>
    <x v="2"/>
    <x v="0"/>
  </r>
  <r>
    <x v="693"/>
    <x v="83"/>
    <x v="2"/>
    <s v="65-611-4749"/>
    <x v="76"/>
    <x v="21"/>
    <n v="249.6"/>
    <n v="71"/>
    <n v="69"/>
    <x v="481"/>
    <n v="0.92753623188405798"/>
    <n v="3.9"/>
    <n v="1.0865874363327674"/>
    <d v="2024-10-10T00:00:00"/>
    <s v="6/14/2024"/>
    <x v="693"/>
    <s v="2 Scofield Street"/>
    <n v="60"/>
    <n v="67"/>
    <x v="1"/>
    <n v="249.6"/>
    <x v="2"/>
    <x v="1"/>
  </r>
  <r>
    <x v="694"/>
    <x v="83"/>
    <x v="2"/>
    <s v="67-252-3923"/>
    <x v="138"/>
    <x v="10"/>
    <n v="327.25"/>
    <n v="16"/>
    <n v="74"/>
    <x v="482"/>
    <n v="1.1486486486486487"/>
    <n v="3.85"/>
    <n v="1.4431239388794568"/>
    <s v="11/18/2024"/>
    <d v="2024-08-10T00:00:00"/>
    <x v="694"/>
    <s v="8 Oriole Terrace"/>
    <n v="58"/>
    <n v="36"/>
    <x v="2"/>
    <n v="327.25"/>
    <x v="1"/>
    <x v="1"/>
  </r>
  <r>
    <x v="695"/>
    <x v="83"/>
    <x v="2"/>
    <s v="61-100-8296"/>
    <x v="314"/>
    <x v="61"/>
    <n v="44"/>
    <n v="58"/>
    <n v="32"/>
    <x v="483"/>
    <n v="0.34375"/>
    <n v="4"/>
    <n v="0.18675721561969441"/>
    <s v="2/28/2024"/>
    <d v="2024-09-07T00:00:00"/>
    <x v="695"/>
    <s v="34832 Autumn Leaf Terrace"/>
    <n v="99"/>
    <n v="94"/>
    <x v="1"/>
    <n v="44"/>
    <x v="2"/>
    <x v="1"/>
  </r>
  <r>
    <x v="696"/>
    <x v="83"/>
    <x v="2"/>
    <s v="84-941-3034"/>
    <x v="16"/>
    <x v="68"/>
    <n v="160"/>
    <n v="3"/>
    <n v="5"/>
    <x v="288"/>
    <n v="8"/>
    <n v="4"/>
    <n v="0.6791171477079796"/>
    <d v="2024-04-03T00:00:00"/>
    <s v="6/15/2024"/>
    <x v="696"/>
    <s v="29 Vera Drive"/>
    <n v="45"/>
    <n v="69"/>
    <x v="0"/>
    <n v="160"/>
    <x v="0"/>
    <x v="1"/>
  </r>
  <r>
    <x v="697"/>
    <x v="83"/>
    <x v="2"/>
    <s v="69-415-3675"/>
    <x v="315"/>
    <x v="37"/>
    <n v="88"/>
    <n v="56"/>
    <n v="72"/>
    <x v="73"/>
    <n v="0.30555555555555558"/>
    <n v="4"/>
    <n v="0.37351443123938882"/>
    <d v="2024-09-04T00:00:00"/>
    <d v="2024-08-06T00:00:00"/>
    <x v="697"/>
    <s v="95 Kingsford Terrace"/>
    <n v="70"/>
    <n v="39"/>
    <x v="0"/>
    <n v="88"/>
    <x v="0"/>
    <x v="1"/>
  </r>
  <r>
    <x v="698"/>
    <x v="84"/>
    <x v="2"/>
    <s v="21-490-8051"/>
    <x v="149"/>
    <x v="14"/>
    <n v="360"/>
    <n v="61"/>
    <n v="2"/>
    <x v="133"/>
    <n v="30"/>
    <n v="6"/>
    <n v="1.0186757215619695"/>
    <s v="5/13/2024"/>
    <d v="2024-12-08T00:00:00"/>
    <x v="698"/>
    <s v="005 Tomscot Hill"/>
    <n v="96"/>
    <n v="50"/>
    <x v="1"/>
    <n v="360"/>
    <x v="2"/>
    <x v="1"/>
  </r>
  <r>
    <x v="699"/>
    <x v="84"/>
    <x v="2"/>
    <s v="15-444-8224"/>
    <x v="14"/>
    <x v="71"/>
    <n v="114"/>
    <n v="65"/>
    <n v="48"/>
    <x v="73"/>
    <n v="0.39583333333333331"/>
    <n v="6"/>
    <n v="0.32258064516129031"/>
    <d v="2024-09-09T00:00:00"/>
    <s v="2/14/2025"/>
    <x v="699"/>
    <s v="92655 Pond Park"/>
    <n v="59"/>
    <n v="53"/>
    <x v="0"/>
    <n v="114"/>
    <x v="0"/>
    <x v="0"/>
  </r>
  <r>
    <x v="700"/>
    <x v="84"/>
    <x v="2"/>
    <s v="27-636-1606"/>
    <x v="104"/>
    <x v="54"/>
    <n v="84"/>
    <n v="66"/>
    <n v="1"/>
    <x v="471"/>
    <n v="14"/>
    <n v="6"/>
    <n v="0.23769100169779286"/>
    <s v="8/13/2024"/>
    <s v="12/13/2024"/>
    <x v="700"/>
    <s v="5900 Vahlen Avenue"/>
    <n v="86"/>
    <n v="15"/>
    <x v="2"/>
    <n v="84"/>
    <x v="2"/>
    <x v="0"/>
  </r>
  <r>
    <x v="701"/>
    <x v="84"/>
    <x v="2"/>
    <s v="18-085-1667"/>
    <x v="11"/>
    <x v="48"/>
    <n v="552"/>
    <n v="96"/>
    <n v="56"/>
    <x v="249"/>
    <n v="1.6428571428571428"/>
    <n v="6"/>
    <n v="1.5619694397283532"/>
    <s v="11/18/2024"/>
    <s v="6/25/2024"/>
    <x v="701"/>
    <s v="54 Pawling Crossing"/>
    <n v="32"/>
    <n v="22"/>
    <x v="0"/>
    <n v="552"/>
    <x v="0"/>
    <x v="0"/>
  </r>
  <r>
    <x v="702"/>
    <x v="84"/>
    <x v="2"/>
    <s v="41-821-0197"/>
    <x v="193"/>
    <x v="81"/>
    <n v="312"/>
    <n v="8"/>
    <n v="37"/>
    <x v="484"/>
    <n v="1.4054054054054055"/>
    <n v="6"/>
    <n v="0.88285229202037352"/>
    <s v="8/31/2024"/>
    <s v="8/15/2024"/>
    <x v="702"/>
    <s v="1008 Welch Street"/>
    <n v="38"/>
    <n v="81"/>
    <x v="1"/>
    <n v="312"/>
    <x v="1"/>
    <x v="0"/>
  </r>
  <r>
    <x v="703"/>
    <x v="84"/>
    <x v="2"/>
    <s v="24-087-5935"/>
    <x v="316"/>
    <x v="23"/>
    <n v="258"/>
    <n v="65"/>
    <n v="66"/>
    <x v="78"/>
    <n v="0.65151515151515149"/>
    <n v="6"/>
    <n v="0.7300509337860781"/>
    <s v="12/21/2024"/>
    <d v="2024-03-09T00:00:00"/>
    <x v="703"/>
    <s v="7 Schiller Court"/>
    <n v="78"/>
    <n v="73"/>
    <x v="2"/>
    <n v="258"/>
    <x v="2"/>
    <x v="0"/>
  </r>
  <r>
    <x v="704"/>
    <x v="84"/>
    <x v="2"/>
    <s v="29-156-0691"/>
    <x v="240"/>
    <x v="70"/>
    <n v="354"/>
    <n v="79"/>
    <n v="87"/>
    <x v="485"/>
    <n v="0.67816091954022983"/>
    <n v="6"/>
    <n v="1.0016977928692701"/>
    <d v="2024-03-09T00:00:00"/>
    <d v="2024-03-10T00:00:00"/>
    <x v="704"/>
    <s v="31892 Pennsylvania Street"/>
    <n v="47"/>
    <n v="18"/>
    <x v="1"/>
    <n v="354"/>
    <x v="2"/>
    <x v="0"/>
  </r>
  <r>
    <x v="705"/>
    <x v="84"/>
    <x v="2"/>
    <s v="20-103-9525"/>
    <x v="317"/>
    <x v="33"/>
    <n v="372"/>
    <n v="40"/>
    <n v="86"/>
    <x v="486"/>
    <n v="0.72093023255813948"/>
    <n v="6"/>
    <n v="1.0526315789473684"/>
    <s v="7/15/2024"/>
    <s v="11/16/2024"/>
    <x v="705"/>
    <s v="4 Esch Point"/>
    <n v="45"/>
    <n v="86"/>
    <x v="2"/>
    <n v="372"/>
    <x v="1"/>
    <x v="1"/>
  </r>
  <r>
    <x v="706"/>
    <x v="84"/>
    <x v="2"/>
    <s v="95-734-4024"/>
    <x v="134"/>
    <x v="60"/>
    <n v="156"/>
    <n v="1"/>
    <n v="9"/>
    <x v="129"/>
    <n v="2.8888888888888888"/>
    <n v="6"/>
    <n v="0.44142614601018676"/>
    <d v="2025-10-02T00:00:00"/>
    <d v="2024-05-04T00:00:00"/>
    <x v="706"/>
    <s v="03 Little Fleur Pass"/>
    <n v="82"/>
    <n v="8"/>
    <x v="2"/>
    <n v="156"/>
    <x v="1"/>
    <x v="1"/>
  </r>
  <r>
    <x v="707"/>
    <x v="84"/>
    <x v="2"/>
    <s v="67-272-8844"/>
    <x v="298"/>
    <x v="13"/>
    <n v="486"/>
    <n v="87"/>
    <n v="15"/>
    <x v="61"/>
    <n v="5.4"/>
    <n v="6"/>
    <n v="1.3752122241086588"/>
    <d v="2025-08-01T00:00:00"/>
    <s v="1/25/2025"/>
    <x v="707"/>
    <s v="72778 Loftsgordon Center"/>
    <n v="94"/>
    <n v="10"/>
    <x v="2"/>
    <n v="486"/>
    <x v="2"/>
    <x v="1"/>
  </r>
  <r>
    <x v="708"/>
    <x v="84"/>
    <x v="2"/>
    <s v="37-281-2537"/>
    <x v="318"/>
    <x v="41"/>
    <n v="390"/>
    <n v="69"/>
    <n v="4"/>
    <x v="140"/>
    <n v="16.25"/>
    <n v="6"/>
    <n v="1.1035653650254669"/>
    <s v="8/14/2024"/>
    <s v="6/15/2024"/>
    <x v="708"/>
    <s v="4 Old Shore Avenue"/>
    <n v="80"/>
    <n v="26"/>
    <x v="1"/>
    <n v="390"/>
    <x v="2"/>
    <x v="1"/>
  </r>
  <r>
    <x v="709"/>
    <x v="84"/>
    <x v="2"/>
    <s v="30-780-7583"/>
    <x v="319"/>
    <x v="25"/>
    <n v="102"/>
    <n v="45"/>
    <n v="44"/>
    <x v="440"/>
    <n v="0.38636363636363635"/>
    <n v="6"/>
    <n v="0.28862478777589134"/>
    <s v="7/25/2024"/>
    <d v="2024-03-04T00:00:00"/>
    <x v="709"/>
    <s v="60 Messerschmidt Pass"/>
    <n v="37"/>
    <n v="16"/>
    <x v="1"/>
    <n v="102"/>
    <x v="2"/>
    <x v="1"/>
  </r>
  <r>
    <x v="710"/>
    <x v="84"/>
    <x v="2"/>
    <s v="56-196-9896"/>
    <x v="141"/>
    <x v="37"/>
    <n v="132"/>
    <n v="35"/>
    <n v="55"/>
    <x v="223"/>
    <n v="0.4"/>
    <n v="6"/>
    <n v="0.37351443123938882"/>
    <s v="8/30/2024"/>
    <s v="8/27/2024"/>
    <x v="710"/>
    <s v="62238 Mallory Place"/>
    <n v="41"/>
    <n v="27"/>
    <x v="1"/>
    <n v="132"/>
    <x v="2"/>
    <x v="1"/>
  </r>
  <r>
    <x v="711"/>
    <x v="84"/>
    <x v="2"/>
    <s v="29-295-9755"/>
    <x v="317"/>
    <x v="16"/>
    <n v="396"/>
    <n v="28"/>
    <n v="7"/>
    <x v="130"/>
    <n v="9.4285714285714288"/>
    <n v="6"/>
    <n v="1.1205432937181663"/>
    <s v="4/27/2024"/>
    <s v="10/26/2024"/>
    <x v="711"/>
    <s v="156 Golf Course Alley"/>
    <n v="85"/>
    <n v="6"/>
    <x v="2"/>
    <n v="396"/>
    <x v="1"/>
    <x v="1"/>
  </r>
  <r>
    <x v="712"/>
    <x v="84"/>
    <x v="2"/>
    <s v="12-566-2563"/>
    <x v="61"/>
    <x v="12"/>
    <n v="528"/>
    <n v="24"/>
    <n v="44"/>
    <x v="440"/>
    <n v="2"/>
    <n v="6"/>
    <n v="1.4940577249575553"/>
    <d v="2024-05-11T00:00:00"/>
    <d v="2024-08-11T00:00:00"/>
    <x v="712"/>
    <s v="901 Norway Maple Crossing"/>
    <n v="72"/>
    <n v="88"/>
    <x v="2"/>
    <n v="528"/>
    <x v="1"/>
    <x v="1"/>
  </r>
  <r>
    <x v="713"/>
    <x v="85"/>
    <x v="2"/>
    <s v="53-584-1853"/>
    <x v="72"/>
    <x v="73"/>
    <n v="33.6"/>
    <n v="40"/>
    <n v="27"/>
    <x v="487"/>
    <n v="1.037037037037037"/>
    <n v="1.2"/>
    <n v="0.47538200339558573"/>
    <s v="12/14/2024"/>
    <s v="7/29/2024"/>
    <x v="713"/>
    <s v="924 La Follette Alley"/>
    <n v="30"/>
    <n v="56"/>
    <x v="1"/>
    <n v="33.6"/>
    <x v="2"/>
    <x v="0"/>
  </r>
  <r>
    <x v="714"/>
    <x v="85"/>
    <x v="2"/>
    <s v="21-829-0398"/>
    <x v="237"/>
    <x v="60"/>
    <n v="31.2"/>
    <n v="16"/>
    <n v="69"/>
    <x v="488"/>
    <n v="0.37681159420289856"/>
    <n v="1.2"/>
    <n v="0.44142614601018676"/>
    <s v="6/30/2024"/>
    <s v="3/26/2024"/>
    <x v="714"/>
    <s v="6891 Mandrake Park"/>
    <n v="64"/>
    <n v="79"/>
    <x v="0"/>
    <n v="31.2"/>
    <x v="0"/>
    <x v="0"/>
  </r>
  <r>
    <x v="715"/>
    <x v="85"/>
    <x v="2"/>
    <s v="72-360-6358"/>
    <x v="226"/>
    <x v="88"/>
    <n v="86.399999999999991"/>
    <n v="58"/>
    <n v="69"/>
    <x v="488"/>
    <n v="1.0434782608695652"/>
    <n v="1.2"/>
    <n v="1.2224108658743633"/>
    <s v="10/16/2024"/>
    <d v="2025-03-02T00:00:00"/>
    <x v="715"/>
    <s v="9067 Valley Edge Park"/>
    <n v="96"/>
    <n v="23"/>
    <x v="2"/>
    <n v="86.399999999999991"/>
    <x v="1"/>
    <x v="1"/>
  </r>
  <r>
    <x v="716"/>
    <x v="85"/>
    <x v="2"/>
    <s v="34-667-8907"/>
    <x v="320"/>
    <x v="60"/>
    <n v="31.2"/>
    <n v="63"/>
    <n v="88"/>
    <x v="489"/>
    <n v="0.29545454545454547"/>
    <n v="1.2"/>
    <n v="0.44142614601018676"/>
    <d v="2024-09-05T00:00:00"/>
    <s v="2/29/2024"/>
    <x v="716"/>
    <s v="12710 Gulseth Circle"/>
    <n v="84"/>
    <n v="70"/>
    <x v="1"/>
    <n v="31.2"/>
    <x v="2"/>
    <x v="1"/>
  </r>
  <r>
    <x v="717"/>
    <x v="85"/>
    <x v="2"/>
    <s v="12-433-6490"/>
    <x v="43"/>
    <x v="31"/>
    <n v="50.4"/>
    <n v="69"/>
    <n v="54"/>
    <x v="270"/>
    <n v="0.77777777777777779"/>
    <n v="1.2"/>
    <n v="0.71307300509337868"/>
    <s v="1/19/2025"/>
    <d v="2024-06-03T00:00:00"/>
    <x v="717"/>
    <s v="3 Del Mar Point"/>
    <n v="43"/>
    <n v="96"/>
    <x v="1"/>
    <n v="50.4"/>
    <x v="2"/>
    <x v="1"/>
  </r>
  <r>
    <x v="718"/>
    <x v="86"/>
    <x v="0"/>
    <s v="82-235-9317"/>
    <x v="240"/>
    <x v="47"/>
    <n v="170"/>
    <n v="7"/>
    <n v="37"/>
    <x v="188"/>
    <n v="1.8378378378378379"/>
    <n v="2.5"/>
    <n v="1.1544991511035654"/>
    <d v="2024-08-08T00:00:00"/>
    <d v="2024-11-04T00:00:00"/>
    <x v="718"/>
    <s v="836 Brown Alley"/>
    <n v="69"/>
    <n v="1"/>
    <x v="0"/>
    <n v="170"/>
    <x v="0"/>
    <x v="0"/>
  </r>
  <r>
    <x v="719"/>
    <x v="86"/>
    <x v="0"/>
    <s v="96-551-3929"/>
    <x v="178"/>
    <x v="36"/>
    <n v="115"/>
    <n v="20"/>
    <n v="30"/>
    <x v="90"/>
    <n v="1.5333333333333334"/>
    <n v="2.5"/>
    <n v="0.78098471986417661"/>
    <d v="2024-06-03T00:00:00"/>
    <s v="2/29/2024"/>
    <x v="719"/>
    <s v="502 Sachs Circle"/>
    <n v="54"/>
    <n v="24"/>
    <x v="2"/>
    <n v="115"/>
    <x v="1"/>
    <x v="0"/>
  </r>
  <r>
    <x v="720"/>
    <x v="86"/>
    <x v="0"/>
    <s v="58-053-4926"/>
    <x v="234"/>
    <x v="73"/>
    <n v="70"/>
    <n v="24"/>
    <n v="97"/>
    <x v="490"/>
    <n v="0.28865979381443296"/>
    <n v="2.5"/>
    <n v="0.47538200339558573"/>
    <s v="9/22/2024"/>
    <d v="2024-12-05T00:00:00"/>
    <x v="720"/>
    <s v="00029 Fisk Point"/>
    <n v="82"/>
    <n v="5"/>
    <x v="0"/>
    <n v="70"/>
    <x v="0"/>
    <x v="0"/>
  </r>
  <r>
    <x v="721"/>
    <x v="86"/>
    <x v="0"/>
    <s v="44-388-2451"/>
    <x v="68"/>
    <x v="34"/>
    <n v="52.5"/>
    <n v="15"/>
    <n v="27"/>
    <x v="82"/>
    <n v="0.77777777777777779"/>
    <n v="2.5"/>
    <n v="0.35653650254668934"/>
    <d v="2025-05-02T00:00:00"/>
    <d v="2024-11-10T00:00:00"/>
    <x v="721"/>
    <s v="42 Mandrake Alley"/>
    <n v="37"/>
    <n v="41"/>
    <x v="1"/>
    <n v="52.5"/>
    <x v="1"/>
    <x v="1"/>
  </r>
  <r>
    <x v="722"/>
    <x v="86"/>
    <x v="0"/>
    <s v="08-218-9429"/>
    <x v="205"/>
    <x v="21"/>
    <n v="160"/>
    <n v="10"/>
    <n v="100"/>
    <x v="116"/>
    <n v="0.64"/>
    <n v="2.5"/>
    <n v="1.0865874363327674"/>
    <s v="10/14/2024"/>
    <d v="2024-05-06T00:00:00"/>
    <x v="722"/>
    <s v="9050 Dorton Pass"/>
    <n v="97"/>
    <n v="52"/>
    <x v="1"/>
    <n v="160"/>
    <x v="1"/>
    <x v="1"/>
  </r>
  <r>
    <x v="723"/>
    <x v="86"/>
    <x v="0"/>
    <s v="12-947-4739"/>
    <x v="16"/>
    <x v="77"/>
    <n v="157.5"/>
    <n v="4"/>
    <n v="46"/>
    <x v="196"/>
    <n v="1.3695652173913044"/>
    <n v="2.5"/>
    <n v="1.069609507640068"/>
    <s v="8/17/2024"/>
    <s v="3/21/2024"/>
    <x v="723"/>
    <s v="5 Homewood Street"/>
    <n v="40"/>
    <n v="69"/>
    <x v="0"/>
    <n v="157.5"/>
    <x v="0"/>
    <x v="1"/>
  </r>
  <r>
    <x v="724"/>
    <x v="86"/>
    <x v="0"/>
    <s v="96-918-7047"/>
    <x v="288"/>
    <x v="16"/>
    <n v="158.4"/>
    <n v="19"/>
    <n v="20"/>
    <x v="391"/>
    <n v="3.3"/>
    <n v="2.4"/>
    <n v="1.1205432937181663"/>
    <s v="9/18/2024"/>
    <d v="2024-07-09T00:00:00"/>
    <x v="724"/>
    <s v="5649 Vidon Plaza"/>
    <n v="30"/>
    <n v="49"/>
    <x v="1"/>
    <n v="158.4"/>
    <x v="1"/>
    <x v="1"/>
  </r>
  <r>
    <x v="725"/>
    <x v="86"/>
    <x v="0"/>
    <s v="31-281-2352"/>
    <x v="239"/>
    <x v="79"/>
    <n v="117.5"/>
    <n v="30"/>
    <n v="16"/>
    <x v="36"/>
    <n v="2.9375"/>
    <n v="2.5"/>
    <n v="0.79796264855687604"/>
    <d v="2024-10-03T00:00:00"/>
    <d v="2024-11-07T00:00:00"/>
    <x v="725"/>
    <s v="8499 Hanover Terrace"/>
    <n v="22"/>
    <n v="81"/>
    <x v="1"/>
    <n v="117.5"/>
    <x v="1"/>
    <x v="1"/>
  </r>
  <r>
    <x v="726"/>
    <x v="86"/>
    <x v="0"/>
    <s v="81-234-0741"/>
    <x v="150"/>
    <x v="12"/>
    <n v="211.2"/>
    <n v="34"/>
    <n v="94"/>
    <x v="491"/>
    <n v="0.93617021276595747"/>
    <n v="2.4"/>
    <n v="1.4940577249575553"/>
    <s v="12/27/2024"/>
    <s v="2/20/2025"/>
    <x v="726"/>
    <s v="53 Forest Run Plaza"/>
    <n v="95"/>
    <n v="63"/>
    <x v="1"/>
    <n v="211.2"/>
    <x v="1"/>
    <x v="1"/>
  </r>
  <r>
    <x v="727"/>
    <x v="87"/>
    <x v="0"/>
    <s v="47-183-4911"/>
    <x v="168"/>
    <x v="78"/>
    <n v="46.5"/>
    <n v="43"/>
    <n v="80"/>
    <x v="38"/>
    <n v="0.38750000000000001"/>
    <n v="1.5"/>
    <n v="0.52631578947368418"/>
    <s v="5/28/2024"/>
    <s v="2/22/2025"/>
    <x v="727"/>
    <s v="66879 Susan Place"/>
    <n v="46"/>
    <n v="78"/>
    <x v="2"/>
    <n v="46.5"/>
    <x v="2"/>
    <x v="0"/>
  </r>
  <r>
    <x v="728"/>
    <x v="87"/>
    <x v="0"/>
    <s v="91-216-7668"/>
    <x v="152"/>
    <x v="15"/>
    <n v="150"/>
    <n v="10"/>
    <n v="89"/>
    <x v="492"/>
    <n v="1.1235955056179776"/>
    <n v="1.5"/>
    <n v="1.6977928692699491"/>
    <s v="4/23/2024"/>
    <d v="2025-01-01T00:00:00"/>
    <x v="728"/>
    <s v="4029 Lotheville Pass"/>
    <n v="76"/>
    <n v="38"/>
    <x v="2"/>
    <n v="150"/>
    <x v="1"/>
    <x v="0"/>
  </r>
  <r>
    <x v="729"/>
    <x v="87"/>
    <x v="0"/>
    <s v="22-836-5101"/>
    <x v="246"/>
    <x v="71"/>
    <n v="28.5"/>
    <n v="81"/>
    <n v="33"/>
    <x v="493"/>
    <n v="0.5757575757575758"/>
    <n v="1.5"/>
    <n v="0.32258064516129031"/>
    <s v="6/29/2024"/>
    <s v="2/22/2025"/>
    <x v="729"/>
    <s v="461 Bluejay Circle"/>
    <n v="39"/>
    <n v="85"/>
    <x v="2"/>
    <n v="28.5"/>
    <x v="2"/>
    <x v="1"/>
  </r>
  <r>
    <x v="730"/>
    <x v="87"/>
    <x v="0"/>
    <s v="54-132-9762"/>
    <x v="14"/>
    <x v="88"/>
    <n v="108"/>
    <n v="72"/>
    <n v="68"/>
    <x v="124"/>
    <n v="1.0588235294117647"/>
    <n v="1.5"/>
    <n v="1.2224108658743633"/>
    <s v="9/29/2024"/>
    <s v="6/26/2024"/>
    <x v="730"/>
    <s v="365 Vera Terrace"/>
    <n v="39"/>
    <n v="78"/>
    <x v="1"/>
    <n v="108"/>
    <x v="1"/>
    <x v="1"/>
  </r>
  <r>
    <x v="731"/>
    <x v="87"/>
    <x v="0"/>
    <s v="90-940-9550"/>
    <x v="321"/>
    <x v="30"/>
    <n v="135"/>
    <n v="75"/>
    <n v="43"/>
    <x v="494"/>
    <n v="2.0930232558139537"/>
    <n v="1.5"/>
    <n v="1.5280135823429541"/>
    <s v="5/28/2024"/>
    <s v="9/18/2024"/>
    <x v="731"/>
    <s v="36 Bobwhite Parkway"/>
    <n v="80"/>
    <n v="57"/>
    <x v="0"/>
    <n v="135"/>
    <x v="0"/>
    <x v="1"/>
  </r>
  <r>
    <x v="732"/>
    <x v="88"/>
    <x v="0"/>
    <s v="27-970-8649"/>
    <x v="38"/>
    <x v="81"/>
    <n v="104"/>
    <n v="81"/>
    <n v="53"/>
    <x v="495"/>
    <n v="0.98113207547169812"/>
    <n v="2"/>
    <n v="0.88285229202037352"/>
    <s v="8/28/2024"/>
    <s v="11/27/2024"/>
    <x v="732"/>
    <s v="127 Eliot Road"/>
    <n v="95"/>
    <n v="88"/>
    <x v="2"/>
    <n v="104"/>
    <x v="2"/>
    <x v="0"/>
  </r>
  <r>
    <x v="733"/>
    <x v="88"/>
    <x v="0"/>
    <s v="95-200-1972"/>
    <x v="150"/>
    <x v="51"/>
    <n v="198"/>
    <n v="44"/>
    <n v="52"/>
    <x v="322"/>
    <n v="1.9038461538461537"/>
    <n v="2"/>
    <n v="1.6808149405772497"/>
    <s v="10/25/2024"/>
    <s v="5/21/2024"/>
    <x v="733"/>
    <s v="6738 Tennyson Road"/>
    <n v="36"/>
    <n v="2"/>
    <x v="0"/>
    <n v="198"/>
    <x v="0"/>
    <x v="0"/>
  </r>
  <r>
    <x v="734"/>
    <x v="88"/>
    <x v="0"/>
    <s v="18-445-5057"/>
    <x v="221"/>
    <x v="78"/>
    <n v="62"/>
    <n v="32"/>
    <n v="69"/>
    <x v="127"/>
    <n v="0.44927536231884058"/>
    <n v="2"/>
    <n v="0.52631578947368418"/>
    <s v="2/29/2024"/>
    <d v="2024-04-06T00:00:00"/>
    <x v="734"/>
    <s v="34642 Carpenter Place"/>
    <n v="38"/>
    <n v="23"/>
    <x v="1"/>
    <n v="62"/>
    <x v="2"/>
    <x v="0"/>
  </r>
  <r>
    <x v="735"/>
    <x v="88"/>
    <x v="0"/>
    <s v="32-458-6452"/>
    <x v="22"/>
    <x v="31"/>
    <n v="84"/>
    <n v="3"/>
    <n v="21"/>
    <x v="130"/>
    <n v="2"/>
    <n v="2"/>
    <n v="0.71307300509337868"/>
    <s v="9/19/2024"/>
    <s v="1/27/2025"/>
    <x v="735"/>
    <s v="289 Longview Point"/>
    <n v="35"/>
    <n v="22"/>
    <x v="1"/>
    <n v="84"/>
    <x v="1"/>
    <x v="0"/>
  </r>
  <r>
    <x v="736"/>
    <x v="88"/>
    <x v="0"/>
    <s v="56-110-5754"/>
    <x v="151"/>
    <x v="59"/>
    <n v="30"/>
    <n v="76"/>
    <n v="81"/>
    <x v="314"/>
    <n v="0.18518518518518517"/>
    <n v="2"/>
    <n v="0.25466893039049238"/>
    <s v="11/16/2024"/>
    <s v="6/17/2024"/>
    <x v="736"/>
    <s v="04 Blaine Lane"/>
    <n v="90"/>
    <n v="26"/>
    <x v="2"/>
    <n v="30"/>
    <x v="2"/>
    <x v="1"/>
  </r>
  <r>
    <x v="737"/>
    <x v="88"/>
    <x v="0"/>
    <s v="46-171-9624"/>
    <x v="80"/>
    <x v="76"/>
    <n v="50"/>
    <n v="95"/>
    <n v="71"/>
    <x v="496"/>
    <n v="0.352112676056338"/>
    <n v="2"/>
    <n v="0.42444821731748728"/>
    <s v="6/25/2024"/>
    <d v="2024-09-07T00:00:00"/>
    <x v="737"/>
    <s v="996 Thierer Center"/>
    <n v="24"/>
    <n v="76"/>
    <x v="2"/>
    <n v="50"/>
    <x v="2"/>
    <x v="1"/>
  </r>
  <r>
    <x v="738"/>
    <x v="88"/>
    <x v="0"/>
    <s v="65-620-9866"/>
    <x v="15"/>
    <x v="55"/>
    <n v="48"/>
    <n v="2"/>
    <n v="49"/>
    <x v="497"/>
    <n v="0.48979591836734693"/>
    <n v="2"/>
    <n v="0.40747028862478779"/>
    <d v="2024-02-06T00:00:00"/>
    <s v="1/25/2025"/>
    <x v="738"/>
    <s v="47817 Oneill Park"/>
    <n v="98"/>
    <n v="82"/>
    <x v="1"/>
    <n v="48"/>
    <x v="1"/>
    <x v="1"/>
  </r>
  <r>
    <x v="739"/>
    <x v="89"/>
    <x v="5"/>
    <s v="74-726-0855"/>
    <x v="275"/>
    <x v="19"/>
    <n v="306"/>
    <n v="53"/>
    <n v="88"/>
    <x v="498"/>
    <n v="0.57954545454545459"/>
    <n v="6"/>
    <n v="0.86587436332767409"/>
    <s v="1/31/2025"/>
    <s v="6/30/2024"/>
    <x v="739"/>
    <s v="19112 Little Fleur Road"/>
    <n v="54"/>
    <n v="59"/>
    <x v="0"/>
    <n v="306"/>
    <x v="0"/>
    <x v="0"/>
  </r>
  <r>
    <x v="740"/>
    <x v="89"/>
    <x v="5"/>
    <s v="40-696-4237"/>
    <x v="151"/>
    <x v="16"/>
    <n v="396"/>
    <n v="40"/>
    <n v="8"/>
    <x v="391"/>
    <n v="8.25"/>
    <n v="6"/>
    <n v="1.1205432937181663"/>
    <s v="11/27/2024"/>
    <s v="1/18/2025"/>
    <x v="740"/>
    <s v="113 Donald Court"/>
    <n v="43"/>
    <n v="49"/>
    <x v="1"/>
    <n v="396"/>
    <x v="1"/>
    <x v="0"/>
  </r>
  <r>
    <x v="741"/>
    <x v="89"/>
    <x v="5"/>
    <s v="82-552-6786"/>
    <x v="147"/>
    <x v="64"/>
    <n v="294"/>
    <n v="94"/>
    <n v="18"/>
    <x v="248"/>
    <n v="2.7222222222222223"/>
    <n v="6"/>
    <n v="0.83191850594227501"/>
    <d v="2024-12-12T00:00:00"/>
    <d v="2024-10-08T00:00:00"/>
    <x v="741"/>
    <s v="15 Loomis Avenue"/>
    <n v="38"/>
    <n v="11"/>
    <x v="1"/>
    <n v="294"/>
    <x v="2"/>
    <x v="0"/>
  </r>
  <r>
    <x v="742"/>
    <x v="89"/>
    <x v="5"/>
    <s v="40-002-8400"/>
    <x v="292"/>
    <x v="12"/>
    <n v="528"/>
    <n v="4"/>
    <n v="79"/>
    <x v="499"/>
    <n v="1.1139240506329113"/>
    <n v="6"/>
    <n v="1.4940577249575553"/>
    <s v="4/24/2024"/>
    <d v="2024-02-06T00:00:00"/>
    <x v="742"/>
    <s v="126 Spohn Plaza"/>
    <n v="23"/>
    <n v="39"/>
    <x v="0"/>
    <n v="528"/>
    <x v="0"/>
    <x v="0"/>
  </r>
  <r>
    <x v="743"/>
    <x v="89"/>
    <x v="5"/>
    <s v="27-838-4345"/>
    <x v="8"/>
    <x v="83"/>
    <n v="546"/>
    <n v="14"/>
    <n v="99"/>
    <x v="500"/>
    <n v="0.91919191919191923"/>
    <n v="6"/>
    <n v="1.5449915110356538"/>
    <d v="2025-10-02T00:00:00"/>
    <s v="1/25/2025"/>
    <x v="743"/>
    <s v="05 Canary Circle"/>
    <n v="50"/>
    <n v="5"/>
    <x v="2"/>
    <n v="546"/>
    <x v="1"/>
    <x v="0"/>
  </r>
  <r>
    <x v="744"/>
    <x v="89"/>
    <x v="5"/>
    <s v="97-055-2756"/>
    <x v="276"/>
    <x v="64"/>
    <n v="294"/>
    <n v="28"/>
    <n v="74"/>
    <x v="501"/>
    <n v="0.66216216216216217"/>
    <n v="6"/>
    <n v="0.83191850594227501"/>
    <d v="2025-09-01T00:00:00"/>
    <s v="1/14/2025"/>
    <x v="744"/>
    <s v="2003 Delladonna Pass"/>
    <n v="70"/>
    <n v="38"/>
    <x v="0"/>
    <n v="294"/>
    <x v="0"/>
    <x v="1"/>
  </r>
  <r>
    <x v="745"/>
    <x v="89"/>
    <x v="5"/>
    <s v="05-719-6858"/>
    <x v="70"/>
    <x v="2"/>
    <n v="310"/>
    <n v="46"/>
    <n v="38"/>
    <x v="502"/>
    <n v="1.3157894736842106"/>
    <n v="6.2"/>
    <n v="0.84889643463497455"/>
    <d v="2024-01-10T00:00:00"/>
    <d v="2024-03-07T00:00:00"/>
    <x v="745"/>
    <s v="10342 Division Place"/>
    <n v="88"/>
    <n v="70"/>
    <x v="1"/>
    <n v="310"/>
    <x v="1"/>
    <x v="1"/>
  </r>
  <r>
    <x v="746"/>
    <x v="89"/>
    <x v="5"/>
    <s v="53-998-1422"/>
    <x v="318"/>
    <x v="62"/>
    <n v="585.59999999999991"/>
    <n v="80"/>
    <n v="20"/>
    <x v="436"/>
    <n v="4.8"/>
    <n v="6.1"/>
    <n v="1.6298811544991512"/>
    <s v="12/19/2024"/>
    <s v="7/30/2024"/>
    <x v="746"/>
    <s v="803 Cottonwood Crossing"/>
    <n v="94"/>
    <n v="49"/>
    <x v="0"/>
    <n v="585.59999999999991"/>
    <x v="0"/>
    <x v="1"/>
  </r>
  <r>
    <x v="747"/>
    <x v="89"/>
    <x v="5"/>
    <s v="98-558-5813"/>
    <x v="322"/>
    <x v="21"/>
    <n v="384"/>
    <n v="95"/>
    <n v="62"/>
    <x v="503"/>
    <n v="1.032258064516129"/>
    <n v="6"/>
    <n v="1.0865874363327674"/>
    <s v="5/24/2024"/>
    <s v="8/22/2024"/>
    <x v="747"/>
    <s v="6 Anniversary Circle"/>
    <n v="55"/>
    <n v="1"/>
    <x v="0"/>
    <n v="384"/>
    <x v="0"/>
    <x v="1"/>
  </r>
  <r>
    <x v="748"/>
    <x v="90"/>
    <x v="3"/>
    <s v="26-213-7885"/>
    <x v="323"/>
    <x v="33"/>
    <n v="620"/>
    <n v="78"/>
    <n v="97"/>
    <x v="504"/>
    <n v="0.63917525773195871"/>
    <n v="10"/>
    <n v="1.0526315789473684"/>
    <d v="2024-08-04T00:00:00"/>
    <s v="8/29/2024"/>
    <x v="748"/>
    <s v="236 Gateway Lane"/>
    <n v="62"/>
    <n v="97"/>
    <x v="0"/>
    <n v="620"/>
    <x v="0"/>
    <x v="0"/>
  </r>
  <r>
    <x v="749"/>
    <x v="90"/>
    <x v="3"/>
    <s v="17-123-1252"/>
    <x v="324"/>
    <x v="47"/>
    <n v="680"/>
    <n v="12"/>
    <n v="42"/>
    <x v="111"/>
    <n v="1.6190476190476191"/>
    <n v="10"/>
    <n v="1.1544991511035654"/>
    <d v="2024-05-12T00:00:00"/>
    <s v="2/21/2025"/>
    <x v="749"/>
    <s v="6808 Chinook Parkway"/>
    <n v="39"/>
    <n v="6"/>
    <x v="2"/>
    <n v="680"/>
    <x v="1"/>
    <x v="0"/>
  </r>
  <r>
    <x v="750"/>
    <x v="90"/>
    <x v="3"/>
    <s v="78-283-9751"/>
    <x v="227"/>
    <x v="31"/>
    <n v="441"/>
    <n v="88"/>
    <n v="17"/>
    <x v="331"/>
    <n v="2.4705882352941178"/>
    <n v="10.5"/>
    <n v="0.71307300509337868"/>
    <s v="10/19/2024"/>
    <d v="2024-06-12T00:00:00"/>
    <x v="750"/>
    <s v="58 La Follette Park"/>
    <n v="34"/>
    <n v="51"/>
    <x v="0"/>
    <n v="441"/>
    <x v="0"/>
    <x v="0"/>
  </r>
  <r>
    <x v="751"/>
    <x v="90"/>
    <x v="3"/>
    <s v="35-462-7569"/>
    <x v="284"/>
    <x v="54"/>
    <n v="140"/>
    <n v="77"/>
    <n v="78"/>
    <x v="505"/>
    <n v="0.17948717948717949"/>
    <n v="10"/>
    <n v="0.23769100169779286"/>
    <d v="2024-02-08T00:00:00"/>
    <s v="8/28/2024"/>
    <x v="751"/>
    <s v="2374 Chive Court"/>
    <n v="32"/>
    <n v="24"/>
    <x v="0"/>
    <n v="140"/>
    <x v="0"/>
    <x v="0"/>
  </r>
  <r>
    <x v="752"/>
    <x v="90"/>
    <x v="3"/>
    <s v="13-109-8639"/>
    <x v="140"/>
    <x v="70"/>
    <n v="607.70000000000005"/>
    <n v="62"/>
    <n v="57"/>
    <x v="506"/>
    <n v="1.0350877192982457"/>
    <n v="10.3"/>
    <n v="1.0016977928692701"/>
    <d v="2024-11-09T00:00:00"/>
    <s v="7/16/2024"/>
    <x v="752"/>
    <s v="0 Ohio Hill"/>
    <n v="90"/>
    <n v="94"/>
    <x v="2"/>
    <n v="607.70000000000005"/>
    <x v="2"/>
    <x v="1"/>
  </r>
  <r>
    <x v="753"/>
    <x v="90"/>
    <x v="3"/>
    <s v="97-143-0641"/>
    <x v="325"/>
    <x v="70"/>
    <n v="590"/>
    <n v="31"/>
    <n v="3"/>
    <x v="222"/>
    <n v="19.666666666666668"/>
    <n v="10"/>
    <n v="1.0016977928692701"/>
    <s v="9/15/2024"/>
    <s v="1/21/2025"/>
    <x v="753"/>
    <s v="25696 Westerfield Alley"/>
    <n v="48"/>
    <n v="51"/>
    <x v="1"/>
    <n v="590"/>
    <x v="1"/>
    <x v="1"/>
  </r>
  <r>
    <x v="754"/>
    <x v="90"/>
    <x v="3"/>
    <s v="63-522-2633"/>
    <x v="326"/>
    <x v="43"/>
    <n v="200"/>
    <n v="42"/>
    <n v="45"/>
    <x v="109"/>
    <n v="0.44444444444444442"/>
    <n v="10"/>
    <n v="0.3395585738539898"/>
    <s v="3/22/2024"/>
    <s v="6/25/2024"/>
    <x v="754"/>
    <s v="149 Lawn Way"/>
    <n v="72"/>
    <n v="28"/>
    <x v="0"/>
    <n v="200"/>
    <x v="0"/>
    <x v="1"/>
  </r>
  <r>
    <x v="755"/>
    <x v="90"/>
    <x v="3"/>
    <s v="50-877-0990"/>
    <x v="327"/>
    <x v="8"/>
    <n v="740"/>
    <n v="2"/>
    <n v="45"/>
    <x v="109"/>
    <n v="1.6444444444444444"/>
    <n v="10"/>
    <n v="1.2563667232597624"/>
    <s v="2/29/2024"/>
    <d v="2025-03-02T00:00:00"/>
    <x v="755"/>
    <s v="49225 Homewood Place"/>
    <n v="37"/>
    <n v="99"/>
    <x v="1"/>
    <n v="740"/>
    <x v="1"/>
    <x v="1"/>
  </r>
  <r>
    <x v="756"/>
    <x v="91"/>
    <x v="6"/>
    <s v="57-615-0729"/>
    <x v="58"/>
    <x v="60"/>
    <n v="78"/>
    <n v="79"/>
    <n v="31"/>
    <x v="389"/>
    <n v="0.83870967741935487"/>
    <n v="3"/>
    <n v="0.44142614601018676"/>
    <s v="12/13/2024"/>
    <d v="2025-09-02T00:00:00"/>
    <x v="756"/>
    <s v="13 Forest Run Place"/>
    <n v="47"/>
    <n v="41"/>
    <x v="0"/>
    <n v="78"/>
    <x v="0"/>
    <x v="0"/>
  </r>
  <r>
    <x v="757"/>
    <x v="91"/>
    <x v="6"/>
    <s v="69-378-2045"/>
    <x v="328"/>
    <x v="82"/>
    <n v="207"/>
    <n v="65"/>
    <n v="91"/>
    <x v="507"/>
    <n v="0.75824175824175821"/>
    <n v="3"/>
    <n v="1.1714770797962648"/>
    <d v="2024-05-07T00:00:00"/>
    <s v="7/26/2024"/>
    <x v="757"/>
    <s v="6 Haas Circle"/>
    <n v="98"/>
    <n v="50"/>
    <x v="2"/>
    <n v="207"/>
    <x v="1"/>
    <x v="0"/>
  </r>
  <r>
    <x v="758"/>
    <x v="91"/>
    <x v="6"/>
    <s v="39-676-9308"/>
    <x v="154"/>
    <x v="73"/>
    <n v="78.399999999999991"/>
    <n v="94"/>
    <n v="80"/>
    <x v="334"/>
    <n v="0.35"/>
    <n v="2.8"/>
    <n v="0.47538200339558573"/>
    <s v="5/23/2024"/>
    <s v="1/23/2025"/>
    <x v="758"/>
    <s v="0 Miller Pass"/>
    <n v="31"/>
    <n v="1"/>
    <x v="2"/>
    <n v="78.399999999999991"/>
    <x v="2"/>
    <x v="0"/>
  </r>
  <r>
    <x v="759"/>
    <x v="91"/>
    <x v="6"/>
    <s v="31-892-6816"/>
    <x v="262"/>
    <x v="2"/>
    <n v="150"/>
    <n v="56"/>
    <n v="63"/>
    <x v="282"/>
    <n v="0.79365079365079361"/>
    <n v="3"/>
    <n v="0.84889643463497455"/>
    <s v="3/27/2024"/>
    <s v="5/16/2024"/>
    <x v="759"/>
    <s v="667 Arkansas Circle"/>
    <n v="70"/>
    <n v="100"/>
    <x v="0"/>
    <n v="150"/>
    <x v="0"/>
    <x v="0"/>
  </r>
  <r>
    <x v="760"/>
    <x v="91"/>
    <x v="6"/>
    <s v="45-912-2948"/>
    <x v="262"/>
    <x v="2"/>
    <n v="150"/>
    <n v="58"/>
    <n v="78"/>
    <x v="419"/>
    <n v="0.64102564102564108"/>
    <n v="3"/>
    <n v="0.84889643463497455"/>
    <s v="10/14/2024"/>
    <s v="4/17/2024"/>
    <x v="760"/>
    <s v="85 Lunder Court"/>
    <n v="83"/>
    <n v="49"/>
    <x v="1"/>
    <n v="150"/>
    <x v="2"/>
    <x v="1"/>
  </r>
  <r>
    <x v="761"/>
    <x v="91"/>
    <x v="6"/>
    <s v="61-912-9541"/>
    <x v="111"/>
    <x v="80"/>
    <n v="134.39999999999998"/>
    <n v="2"/>
    <n v="16"/>
    <x v="508"/>
    <n v="3"/>
    <n v="2.8"/>
    <n v="0.81494057724957558"/>
    <s v="3/26/2024"/>
    <s v="11/24/2024"/>
    <x v="761"/>
    <s v="76 Shelley Pass"/>
    <n v="27"/>
    <n v="1"/>
    <x v="0"/>
    <n v="134.39999999999998"/>
    <x v="0"/>
    <x v="1"/>
  </r>
  <r>
    <x v="762"/>
    <x v="91"/>
    <x v="6"/>
    <s v="19-264-7608"/>
    <x v="324"/>
    <x v="51"/>
    <n v="297"/>
    <n v="6"/>
    <n v="88"/>
    <x v="440"/>
    <n v="1.125"/>
    <n v="3"/>
    <n v="1.6808149405772497"/>
    <s v="5/15/2024"/>
    <s v="7/16/2024"/>
    <x v="762"/>
    <s v="77563 Russell Lane"/>
    <n v="49"/>
    <n v="9"/>
    <x v="1"/>
    <n v="297"/>
    <x v="1"/>
    <x v="1"/>
  </r>
  <r>
    <x v="763"/>
    <x v="91"/>
    <x v="6"/>
    <s v="93-900-1170"/>
    <x v="318"/>
    <x v="66"/>
    <n v="183"/>
    <n v="20"/>
    <n v="29"/>
    <x v="392"/>
    <n v="2.103448275862069"/>
    <n v="3"/>
    <n v="1.0356536502546689"/>
    <s v="4/19/2024"/>
    <s v="3/13/2024"/>
    <x v="763"/>
    <s v="88 Hooker Parkway"/>
    <n v="71"/>
    <n v="97"/>
    <x v="2"/>
    <n v="183"/>
    <x v="1"/>
    <x v="1"/>
  </r>
  <r>
    <x v="764"/>
    <x v="92"/>
    <x v="1"/>
    <s v="91-859-1733"/>
    <x v="251"/>
    <x v="12"/>
    <n v="1320"/>
    <n v="83"/>
    <n v="42"/>
    <x v="509"/>
    <n v="2.0952380952380953"/>
    <n v="15"/>
    <n v="1.4940577249575553"/>
    <s v="5/29/2024"/>
    <d v="2024-09-09T00:00:00"/>
    <x v="764"/>
    <s v="13 Loomis Alley"/>
    <n v="61"/>
    <n v="59"/>
    <x v="0"/>
    <n v="1320"/>
    <x v="0"/>
    <x v="0"/>
  </r>
  <r>
    <x v="765"/>
    <x v="92"/>
    <x v="1"/>
    <s v="99-680-2351"/>
    <x v="193"/>
    <x v="64"/>
    <n v="735"/>
    <n v="48"/>
    <n v="62"/>
    <x v="510"/>
    <n v="0.79032258064516125"/>
    <n v="15"/>
    <n v="0.83191850594227501"/>
    <s v="9/16/2024"/>
    <s v="2/25/2024"/>
    <x v="765"/>
    <s v="1247 Hoard Hill"/>
    <n v="96"/>
    <n v="37"/>
    <x v="1"/>
    <n v="735"/>
    <x v="1"/>
    <x v="1"/>
  </r>
  <r>
    <x v="766"/>
    <x v="92"/>
    <x v="1"/>
    <s v="52-359-1255"/>
    <x v="329"/>
    <x v="7"/>
    <n v="1185"/>
    <n v="28"/>
    <n v="4"/>
    <x v="190"/>
    <n v="19.75"/>
    <n v="15"/>
    <n v="1.3412563667232598"/>
    <d v="2025-01-02T00:00:00"/>
    <s v="9/20/2024"/>
    <x v="766"/>
    <s v="21 Golden Leaf Hill"/>
    <n v="42"/>
    <n v="46"/>
    <x v="1"/>
    <n v="1185"/>
    <x v="1"/>
    <x v="1"/>
  </r>
  <r>
    <x v="767"/>
    <x v="92"/>
    <x v="1"/>
    <s v="40-260-8547"/>
    <x v="148"/>
    <x v="12"/>
    <n v="1320"/>
    <n v="40"/>
    <n v="29"/>
    <x v="87"/>
    <n v="3.0344827586206895"/>
    <n v="15"/>
    <n v="1.4940577249575553"/>
    <s v="2/24/2025"/>
    <s v="6/24/2024"/>
    <x v="767"/>
    <s v="80380 Valley Edge Road"/>
    <n v="96"/>
    <n v="87"/>
    <x v="0"/>
    <n v="1320"/>
    <x v="0"/>
    <x v="1"/>
  </r>
  <r>
    <x v="768"/>
    <x v="92"/>
    <x v="1"/>
    <s v="37-567-5710"/>
    <x v="330"/>
    <x v="28"/>
    <n v="1095"/>
    <n v="12"/>
    <n v="28"/>
    <x v="111"/>
    <n v="2.6071428571428572"/>
    <n v="15"/>
    <n v="1.2393887945670627"/>
    <s v="9/15/2024"/>
    <d v="2024-08-06T00:00:00"/>
    <x v="768"/>
    <s v="56 Petterle Circle"/>
    <n v="89"/>
    <n v="92"/>
    <x v="1"/>
    <n v="1095"/>
    <x v="1"/>
    <x v="1"/>
  </r>
  <r>
    <x v="769"/>
    <x v="92"/>
    <x v="1"/>
    <s v="98-155-9583"/>
    <x v="179"/>
    <x v="81"/>
    <n v="780"/>
    <n v="46"/>
    <n v="12"/>
    <x v="71"/>
    <n v="4.333333333333333"/>
    <n v="15"/>
    <n v="0.88285229202037352"/>
    <s v="12/18/2024"/>
    <d v="2024-04-06T00:00:00"/>
    <x v="769"/>
    <s v="9433 Jenna Lane"/>
    <n v="43"/>
    <n v="34"/>
    <x v="2"/>
    <n v="780"/>
    <x v="1"/>
    <x v="1"/>
  </r>
  <r>
    <x v="770"/>
    <x v="92"/>
    <x v="1"/>
    <s v="00-023-7719"/>
    <x v="104"/>
    <x v="39"/>
    <n v="1470"/>
    <n v="67"/>
    <n v="49"/>
    <x v="511"/>
    <n v="2"/>
    <n v="15"/>
    <n v="1.66383701188455"/>
    <d v="2024-09-08T00:00:00"/>
    <s v="12/29/2024"/>
    <x v="770"/>
    <s v="4353 Dixon Circle"/>
    <n v="21"/>
    <n v="61"/>
    <x v="1"/>
    <n v="1470"/>
    <x v="1"/>
    <x v="1"/>
  </r>
  <r>
    <x v="771"/>
    <x v="92"/>
    <x v="1"/>
    <s v="89-439-6947"/>
    <x v="271"/>
    <x v="42"/>
    <n v="1170"/>
    <n v="68"/>
    <n v="86"/>
    <x v="512"/>
    <n v="0.90697674418604646"/>
    <n v="15"/>
    <n v="1.3242784380305603"/>
    <s v="3/25/2024"/>
    <s v="3/20/2024"/>
    <x v="771"/>
    <s v="10577 Thierer Plaza"/>
    <n v="47"/>
    <n v="95"/>
    <x v="0"/>
    <n v="1170"/>
    <x v="0"/>
    <x v="1"/>
  </r>
  <r>
    <x v="772"/>
    <x v="93"/>
    <x v="1"/>
    <s v="71-727-8611"/>
    <x v="300"/>
    <x v="83"/>
    <n v="546"/>
    <n v="59"/>
    <n v="49"/>
    <x v="312"/>
    <n v="1.8571428571428572"/>
    <n v="6"/>
    <n v="1.5449915110356538"/>
    <s v="10/23/2024"/>
    <d v="2024-05-04T00:00:00"/>
    <x v="772"/>
    <s v="7193 Crownhardt Drive"/>
    <n v="30"/>
    <n v="63"/>
    <x v="1"/>
    <n v="546"/>
    <x v="1"/>
    <x v="0"/>
  </r>
  <r>
    <x v="773"/>
    <x v="93"/>
    <x v="1"/>
    <s v="99-784-4391"/>
    <x v="19"/>
    <x v="29"/>
    <n v="534"/>
    <n v="34"/>
    <n v="15"/>
    <x v="61"/>
    <n v="5.9333333333333336"/>
    <n v="6"/>
    <n v="1.5110356536502547"/>
    <s v="12/31/2024"/>
    <d v="2024-08-03T00:00:00"/>
    <x v="773"/>
    <s v="7 Mockingbird Hill"/>
    <n v="60"/>
    <n v="2"/>
    <x v="0"/>
    <n v="534"/>
    <x v="0"/>
    <x v="0"/>
  </r>
  <r>
    <x v="774"/>
    <x v="93"/>
    <x v="1"/>
    <s v="66-832-1802"/>
    <x v="298"/>
    <x v="18"/>
    <n v="264"/>
    <n v="67"/>
    <n v="48"/>
    <x v="73"/>
    <n v="0.91666666666666663"/>
    <n v="6"/>
    <n v="0.74702886247877764"/>
    <d v="2024-05-09T00:00:00"/>
    <s v="9/21/2024"/>
    <x v="774"/>
    <s v="86207 Tennyson Parkway"/>
    <n v="90"/>
    <n v="11"/>
    <x v="1"/>
    <n v="264"/>
    <x v="2"/>
    <x v="0"/>
  </r>
  <r>
    <x v="775"/>
    <x v="93"/>
    <x v="1"/>
    <s v="13-475-1009"/>
    <x v="331"/>
    <x v="67"/>
    <n v="198"/>
    <n v="18"/>
    <n v="92"/>
    <x v="513"/>
    <n v="0.35869565217391303"/>
    <n v="6"/>
    <n v="0.56027164685908315"/>
    <d v="2024-03-06T00:00:00"/>
    <s v="9/26/2024"/>
    <x v="775"/>
    <s v="7819 Fallview Park"/>
    <n v="98"/>
    <n v="56"/>
    <x v="0"/>
    <n v="198"/>
    <x v="0"/>
    <x v="0"/>
  </r>
  <r>
    <x v="776"/>
    <x v="93"/>
    <x v="1"/>
    <s v="62-086-0407"/>
    <x v="147"/>
    <x v="28"/>
    <n v="438"/>
    <n v="31"/>
    <n v="49"/>
    <x v="312"/>
    <n v="1.489795918367347"/>
    <n v="6"/>
    <n v="1.2393887945670627"/>
    <s v="1/26/2025"/>
    <d v="2024-02-03T00:00:00"/>
    <x v="776"/>
    <s v="65721 Caliangt Crossing"/>
    <n v="22"/>
    <n v="47"/>
    <x v="0"/>
    <n v="438"/>
    <x v="0"/>
    <x v="0"/>
  </r>
  <r>
    <x v="777"/>
    <x v="93"/>
    <x v="1"/>
    <s v="34-389-9922"/>
    <x v="73"/>
    <x v="56"/>
    <n v="180"/>
    <n v="55"/>
    <n v="4"/>
    <x v="140"/>
    <n v="7.5"/>
    <n v="6"/>
    <n v="0.50933786078098475"/>
    <s v="8/25/2024"/>
    <s v="7/28/2024"/>
    <x v="777"/>
    <s v="05944 Scott Parkway"/>
    <n v="56"/>
    <n v="31"/>
    <x v="1"/>
    <n v="180"/>
    <x v="2"/>
    <x v="1"/>
  </r>
  <r>
    <x v="778"/>
    <x v="93"/>
    <x v="1"/>
    <s v="15-550-0171"/>
    <x v="64"/>
    <x v="61"/>
    <n v="66"/>
    <n v="17"/>
    <n v="59"/>
    <x v="514"/>
    <n v="0.1864406779661017"/>
    <n v="6"/>
    <n v="0.18675721561969441"/>
    <s v="7/20/2024"/>
    <s v="3/27/2024"/>
    <x v="778"/>
    <s v="111 David Hill"/>
    <n v="69"/>
    <n v="100"/>
    <x v="2"/>
    <n v="66"/>
    <x v="2"/>
    <x v="1"/>
  </r>
  <r>
    <x v="779"/>
    <x v="94"/>
    <x v="4"/>
    <s v="67-922-3399"/>
    <x v="332"/>
    <x v="74"/>
    <n v="175.5"/>
    <n v="92"/>
    <n v="56"/>
    <x v="247"/>
    <n v="0.48214285714285715"/>
    <n v="6.5"/>
    <n v="0.45840407470288624"/>
    <s v="4/18/2024"/>
    <s v="10/19/2024"/>
    <x v="779"/>
    <s v="01471 Burrows Lane"/>
    <n v="29"/>
    <n v="32"/>
    <x v="0"/>
    <n v="175.5"/>
    <x v="0"/>
    <x v="0"/>
  </r>
  <r>
    <x v="780"/>
    <x v="94"/>
    <x v="4"/>
    <s v="91-191-2324"/>
    <x v="315"/>
    <x v="9"/>
    <n v="500.5"/>
    <n v="95"/>
    <n v="82"/>
    <x v="515"/>
    <n v="0.93902439024390238"/>
    <n v="6.5"/>
    <n v="1.3073005093378609"/>
    <s v="4/17/2024"/>
    <s v="10/19/2024"/>
    <x v="780"/>
    <s v="84575 Randy Point"/>
    <n v="29"/>
    <n v="46"/>
    <x v="2"/>
    <n v="500.5"/>
    <x v="2"/>
    <x v="0"/>
  </r>
  <r>
    <x v="781"/>
    <x v="94"/>
    <x v="4"/>
    <s v="39-464-7300"/>
    <x v="44"/>
    <x v="10"/>
    <n v="552.5"/>
    <n v="15"/>
    <n v="16"/>
    <x v="322"/>
    <n v="5.3125"/>
    <n v="6.5"/>
    <n v="1.4431239388794568"/>
    <s v="5/13/2024"/>
    <s v="2/19/2025"/>
    <x v="781"/>
    <s v="041 Paget Alley"/>
    <n v="46"/>
    <n v="24"/>
    <x v="0"/>
    <n v="552.5"/>
    <x v="0"/>
    <x v="0"/>
  </r>
  <r>
    <x v="782"/>
    <x v="94"/>
    <x v="4"/>
    <s v="63-231-2829"/>
    <x v="225"/>
    <x v="59"/>
    <n v="97.5"/>
    <n v="34"/>
    <n v="57"/>
    <x v="516"/>
    <n v="0.26315789473684209"/>
    <n v="6.5"/>
    <n v="0.25466893039049238"/>
    <s v="8/22/2024"/>
    <d v="2025-12-01T00:00:00"/>
    <x v="782"/>
    <s v="49476 Tony Hill"/>
    <n v="49"/>
    <n v="96"/>
    <x v="0"/>
    <n v="97.5"/>
    <x v="0"/>
    <x v="1"/>
  </r>
  <r>
    <x v="783"/>
    <x v="94"/>
    <x v="4"/>
    <s v="95-715-6047"/>
    <x v="49"/>
    <x v="32"/>
    <n v="292.5"/>
    <n v="7"/>
    <n v="58"/>
    <x v="517"/>
    <n v="0.77586206896551724"/>
    <n v="6.5"/>
    <n v="0.76400679117147707"/>
    <d v="2024-02-09T00:00:00"/>
    <d v="2024-05-04T00:00:00"/>
    <x v="783"/>
    <s v="0313 Rockefeller Street"/>
    <n v="86"/>
    <n v="77"/>
    <x v="0"/>
    <n v="292.5"/>
    <x v="0"/>
    <x v="1"/>
  </r>
  <r>
    <x v="784"/>
    <x v="94"/>
    <x v="4"/>
    <s v="40-773-7065"/>
    <x v="117"/>
    <x v="15"/>
    <n v="650"/>
    <n v="86"/>
    <n v="94"/>
    <x v="518"/>
    <n v="1.0638297872340425"/>
    <n v="6.5"/>
    <n v="1.6977928692699491"/>
    <d v="2024-11-08T00:00:00"/>
    <d v="2024-12-04T00:00:00"/>
    <x v="784"/>
    <s v="4 Browning Terrace"/>
    <n v="77"/>
    <n v="57"/>
    <x v="1"/>
    <n v="650"/>
    <x v="1"/>
    <x v="1"/>
  </r>
  <r>
    <x v="785"/>
    <x v="94"/>
    <x v="4"/>
    <s v="17-359-2527"/>
    <x v="45"/>
    <x v="54"/>
    <n v="91"/>
    <n v="84"/>
    <n v="15"/>
    <x v="122"/>
    <n v="0.93333333333333335"/>
    <n v="6.5"/>
    <n v="0.23769100169779286"/>
    <s v="1/28/2025"/>
    <d v="2025-07-02T00:00:00"/>
    <x v="785"/>
    <s v="545 Farwell Lane"/>
    <n v="51"/>
    <n v="73"/>
    <x v="1"/>
    <n v="91"/>
    <x v="2"/>
    <x v="1"/>
  </r>
  <r>
    <x v="786"/>
    <x v="94"/>
    <x v="4"/>
    <s v="07-578-7055"/>
    <x v="11"/>
    <x v="58"/>
    <n v="253.5"/>
    <n v="78"/>
    <n v="97"/>
    <x v="519"/>
    <n v="0.40206185567010311"/>
    <n v="6.5"/>
    <n v="0.66213921901528017"/>
    <s v="10/29/2024"/>
    <s v="10/19/2024"/>
    <x v="786"/>
    <s v="9 Meadow Vale Drive"/>
    <n v="54"/>
    <n v="89"/>
    <x v="2"/>
    <n v="253.5"/>
    <x v="2"/>
    <x v="1"/>
  </r>
  <r>
    <x v="787"/>
    <x v="94"/>
    <x v="4"/>
    <s v="64-752-3122"/>
    <x v="333"/>
    <x v="10"/>
    <n v="552.5"/>
    <n v="86"/>
    <n v="21"/>
    <x v="520"/>
    <n v="4.0476190476190474"/>
    <n v="6.5"/>
    <n v="1.4431239388794568"/>
    <s v="6/30/2024"/>
    <s v="7/24/2024"/>
    <x v="787"/>
    <s v="73966 Pond Trail"/>
    <n v="78"/>
    <n v="53"/>
    <x v="2"/>
    <n v="552.5"/>
    <x v="2"/>
    <x v="1"/>
  </r>
  <r>
    <x v="788"/>
    <x v="94"/>
    <x v="4"/>
    <s v="84-123-7159"/>
    <x v="270"/>
    <x v="29"/>
    <n v="578.5"/>
    <n v="66"/>
    <n v="28"/>
    <x v="385"/>
    <n v="3.1785714285714284"/>
    <n v="6.5"/>
    <n v="1.5110356536502547"/>
    <s v="1/13/2025"/>
    <s v="11/19/2024"/>
    <x v="788"/>
    <s v="60 Dottie Hill"/>
    <n v="39"/>
    <n v="25"/>
    <x v="1"/>
    <n v="578.5"/>
    <x v="1"/>
    <x v="1"/>
  </r>
  <r>
    <x v="789"/>
    <x v="94"/>
    <x v="4"/>
    <s v="56-422-1480"/>
    <x v="334"/>
    <x v="2"/>
    <n v="325"/>
    <n v="36"/>
    <n v="96"/>
    <x v="521"/>
    <n v="0.52083333333333337"/>
    <n v="6.5"/>
    <n v="0.84889643463497455"/>
    <d v="2024-12-12T00:00:00"/>
    <d v="2024-12-08T00:00:00"/>
    <x v="789"/>
    <s v="8868 Armistice Place"/>
    <n v="53"/>
    <n v="73"/>
    <x v="2"/>
    <n v="325"/>
    <x v="1"/>
    <x v="1"/>
  </r>
  <r>
    <x v="790"/>
    <x v="94"/>
    <x v="4"/>
    <s v="46-590-7639"/>
    <x v="208"/>
    <x v="35"/>
    <n v="630.5"/>
    <n v="20"/>
    <n v="8"/>
    <x v="462"/>
    <n v="12.125"/>
    <n v="6.5"/>
    <n v="1.6468590831918506"/>
    <s v="6/16/2024"/>
    <d v="2024-06-11T00:00:00"/>
    <x v="790"/>
    <s v="8851 Superior Park"/>
    <n v="51"/>
    <n v="51"/>
    <x v="1"/>
    <n v="630.5"/>
    <x v="1"/>
    <x v="1"/>
  </r>
  <r>
    <x v="791"/>
    <x v="95"/>
    <x v="0"/>
    <s v="25-414-2945"/>
    <x v="252"/>
    <x v="14"/>
    <n v="180"/>
    <n v="90"/>
    <n v="85"/>
    <x v="400"/>
    <n v="0.70588235294117652"/>
    <n v="3"/>
    <n v="1.0186757215619695"/>
    <s v="1/21/2025"/>
    <s v="3/20/2024"/>
    <x v="791"/>
    <s v="6 Orin Place"/>
    <n v="47"/>
    <n v="9"/>
    <x v="0"/>
    <n v="180"/>
    <x v="0"/>
    <x v="0"/>
  </r>
  <r>
    <x v="792"/>
    <x v="95"/>
    <x v="0"/>
    <s v="10-762-7936"/>
    <x v="140"/>
    <x v="89"/>
    <n v="184.5"/>
    <n v="36"/>
    <n v="78"/>
    <x v="522"/>
    <n v="0.52564102564102566"/>
    <n v="4.5"/>
    <n v="0.69609507640067914"/>
    <d v="2024-04-07T00:00:00"/>
    <d v="2024-04-10T00:00:00"/>
    <x v="792"/>
    <s v="805 Nancy Crossing"/>
    <n v="38"/>
    <n v="75"/>
    <x v="2"/>
    <n v="184.5"/>
    <x v="1"/>
    <x v="0"/>
  </r>
  <r>
    <x v="793"/>
    <x v="95"/>
    <x v="0"/>
    <s v="90-445-1753"/>
    <x v="203"/>
    <x v="53"/>
    <n v="159"/>
    <n v="86"/>
    <n v="54"/>
    <x v="314"/>
    <n v="0.98148148148148151"/>
    <n v="3"/>
    <n v="0.89983022071307306"/>
    <s v="8/14/2024"/>
    <d v="2025-04-02T00:00:00"/>
    <x v="793"/>
    <s v="6990 Kings Place"/>
    <n v="44"/>
    <n v="3"/>
    <x v="0"/>
    <n v="159"/>
    <x v="0"/>
    <x v="0"/>
  </r>
  <r>
    <x v="794"/>
    <x v="95"/>
    <x v="0"/>
    <s v="56-050-1773"/>
    <x v="166"/>
    <x v="50"/>
    <n v="54"/>
    <n v="62"/>
    <n v="2"/>
    <x v="471"/>
    <n v="9"/>
    <n v="3"/>
    <n v="0.30560271646859083"/>
    <s v="3/26/2024"/>
    <s v="4/28/2024"/>
    <x v="794"/>
    <s v="739 Grayhawk Trail"/>
    <n v="61"/>
    <n v="78"/>
    <x v="0"/>
    <n v="54"/>
    <x v="0"/>
    <x v="0"/>
  </r>
  <r>
    <x v="795"/>
    <x v="95"/>
    <x v="0"/>
    <s v="51-519-4588"/>
    <x v="154"/>
    <x v="45"/>
    <n v="168"/>
    <n v="28"/>
    <n v="76"/>
    <x v="246"/>
    <n v="0.73684210526315785"/>
    <n v="3"/>
    <n v="0.95076400679117146"/>
    <s v="10/25/2024"/>
    <d v="2025-04-02T00:00:00"/>
    <x v="795"/>
    <s v="8 Hazelcrest Street"/>
    <n v="93"/>
    <n v="69"/>
    <x v="1"/>
    <n v="168"/>
    <x v="1"/>
    <x v="1"/>
  </r>
  <r>
    <x v="796"/>
    <x v="95"/>
    <x v="0"/>
    <s v="62-011-9357"/>
    <x v="15"/>
    <x v="21"/>
    <n v="192"/>
    <n v="97"/>
    <n v="91"/>
    <x v="507"/>
    <n v="0.70329670329670335"/>
    <n v="3"/>
    <n v="1.0865874363327674"/>
    <s v="11/25/2024"/>
    <s v="8/20/2024"/>
    <x v="796"/>
    <s v="60 Main Pass"/>
    <n v="48"/>
    <n v="100"/>
    <x v="1"/>
    <n v="192"/>
    <x v="2"/>
    <x v="1"/>
  </r>
  <r>
    <x v="797"/>
    <x v="95"/>
    <x v="0"/>
    <s v="59-979-6740"/>
    <x v="174"/>
    <x v="37"/>
    <n v="66"/>
    <n v="77"/>
    <n v="15"/>
    <x v="131"/>
    <n v="1.4666666666666666"/>
    <n v="3"/>
    <n v="0.37351443123938882"/>
    <d v="2024-11-04T00:00:00"/>
    <s v="5/29/2024"/>
    <x v="797"/>
    <s v="9431 Clarendon Pass"/>
    <n v="68"/>
    <n v="46"/>
    <x v="1"/>
    <n v="66"/>
    <x v="2"/>
    <x v="1"/>
  </r>
  <r>
    <x v="798"/>
    <x v="96"/>
    <x v="5"/>
    <s v="29-567-3732"/>
    <x v="335"/>
    <x v="61"/>
    <n v="44"/>
    <n v="30"/>
    <n v="4"/>
    <x v="523"/>
    <n v="2.75"/>
    <n v="4"/>
    <n v="0.18675721561969441"/>
    <d v="2024-02-08T00:00:00"/>
    <s v="9/29/2024"/>
    <x v="798"/>
    <s v="805 Center Parkway"/>
    <n v="84"/>
    <n v="4"/>
    <x v="1"/>
    <n v="44"/>
    <x v="2"/>
    <x v="0"/>
  </r>
  <r>
    <x v="799"/>
    <x v="96"/>
    <x v="5"/>
    <s v="13-179-9553"/>
    <x v="200"/>
    <x v="23"/>
    <n v="172"/>
    <n v="73"/>
    <n v="14"/>
    <x v="317"/>
    <n v="3.0714285714285716"/>
    <n v="4"/>
    <n v="0.7300509337860781"/>
    <s v="7/28/2024"/>
    <d v="2024-07-09T00:00:00"/>
    <x v="799"/>
    <s v="33 Clarendon Hill"/>
    <n v="59"/>
    <n v="65"/>
    <x v="1"/>
    <n v="172"/>
    <x v="2"/>
    <x v="0"/>
  </r>
  <r>
    <x v="800"/>
    <x v="96"/>
    <x v="5"/>
    <s v="89-048-3542"/>
    <x v="133"/>
    <x v="48"/>
    <n v="368"/>
    <n v="67"/>
    <n v="51"/>
    <x v="470"/>
    <n v="1.803921568627451"/>
    <n v="4"/>
    <n v="1.5619694397283532"/>
    <d v="2024-05-04T00:00:00"/>
    <d v="2024-09-12T00:00:00"/>
    <x v="800"/>
    <s v="68086 Crowley Circle"/>
    <n v="23"/>
    <n v="78"/>
    <x v="0"/>
    <n v="368"/>
    <x v="0"/>
    <x v="1"/>
  </r>
  <r>
    <x v="801"/>
    <x v="96"/>
    <x v="5"/>
    <s v="34-724-1913"/>
    <x v="336"/>
    <x v="37"/>
    <n v="90.199999999999989"/>
    <n v="43"/>
    <n v="3"/>
    <x v="524"/>
    <n v="7.333333333333333"/>
    <n v="4.0999999999999996"/>
    <n v="0.37351443123938882"/>
    <d v="2025-01-02T00:00:00"/>
    <s v="7/26/2024"/>
    <x v="801"/>
    <s v="96 Brown Drive"/>
    <n v="45"/>
    <n v="87"/>
    <x v="2"/>
    <n v="90.199999999999989"/>
    <x v="2"/>
    <x v="1"/>
  </r>
  <r>
    <x v="802"/>
    <x v="96"/>
    <x v="5"/>
    <s v="17-345-5800"/>
    <x v="111"/>
    <x v="13"/>
    <n v="324"/>
    <n v="76"/>
    <n v="10"/>
    <x v="36"/>
    <n v="8.1"/>
    <n v="4"/>
    <n v="1.3752122241086588"/>
    <s v="5/13/2024"/>
    <s v="5/27/2024"/>
    <x v="802"/>
    <s v="1823 Elgar Park"/>
    <n v="68"/>
    <n v="100"/>
    <x v="2"/>
    <n v="324"/>
    <x v="1"/>
    <x v="1"/>
  </r>
  <r>
    <x v="803"/>
    <x v="96"/>
    <x v="5"/>
    <s v="40-907-4937"/>
    <x v="57"/>
    <x v="85"/>
    <n v="116"/>
    <n v="39"/>
    <n v="80"/>
    <x v="464"/>
    <n v="0.36249999999999999"/>
    <n v="4"/>
    <n v="0.49235993208828527"/>
    <s v="5/29/2024"/>
    <d v="2024-03-11T00:00:00"/>
    <x v="803"/>
    <s v="19 Aberg Trail"/>
    <n v="23"/>
    <n v="85"/>
    <x v="2"/>
    <n v="116"/>
    <x v="2"/>
    <x v="1"/>
  </r>
  <r>
    <x v="804"/>
    <x v="97"/>
    <x v="6"/>
    <s v="79-575-9351"/>
    <x v="155"/>
    <x v="89"/>
    <n v="164"/>
    <n v="84"/>
    <n v="90"/>
    <x v="15"/>
    <n v="0.45555555555555555"/>
    <n v="4"/>
    <n v="0.69609507640067914"/>
    <s v="1/28/2025"/>
    <s v="11/28/2024"/>
    <x v="804"/>
    <s v="24045 Bluestem Point"/>
    <n v="42"/>
    <n v="65"/>
    <x v="1"/>
    <n v="164"/>
    <x v="2"/>
    <x v="0"/>
  </r>
  <r>
    <x v="805"/>
    <x v="97"/>
    <x v="6"/>
    <s v="37-099-6976"/>
    <x v="213"/>
    <x v="70"/>
    <n v="265.5"/>
    <n v="78"/>
    <n v="6"/>
    <x v="123"/>
    <n v="9.8333333333333339"/>
    <n v="4.5"/>
    <n v="1.0016977928692701"/>
    <d v="2024-03-11T00:00:00"/>
    <d v="2024-10-06T00:00:00"/>
    <x v="805"/>
    <s v="72083 Acker Crossing"/>
    <n v="32"/>
    <n v="3"/>
    <x v="1"/>
    <n v="265.5"/>
    <x v="2"/>
    <x v="0"/>
  </r>
  <r>
    <x v="806"/>
    <x v="97"/>
    <x v="6"/>
    <s v="61-917-4271"/>
    <x v="322"/>
    <x v="46"/>
    <n v="136"/>
    <n v="42"/>
    <n v="86"/>
    <x v="141"/>
    <n v="0.39534883720930231"/>
    <n v="4"/>
    <n v="0.57724957555178269"/>
    <s v="5/16/2024"/>
    <d v="2024-07-10T00:00:00"/>
    <x v="806"/>
    <s v="19180 Hagan Parkway"/>
    <n v="28"/>
    <n v="23"/>
    <x v="0"/>
    <n v="136"/>
    <x v="0"/>
    <x v="0"/>
  </r>
  <r>
    <x v="807"/>
    <x v="97"/>
    <x v="6"/>
    <s v="60-386-5077"/>
    <x v="331"/>
    <x v="11"/>
    <n v="48"/>
    <n v="86"/>
    <n v="98"/>
    <x v="137"/>
    <n v="0.12244897959183673"/>
    <n v="4"/>
    <n v="0.2037351443123939"/>
    <d v="2024-10-10T00:00:00"/>
    <s v="6/29/2024"/>
    <x v="807"/>
    <s v="7444 Saint Paul Circle"/>
    <n v="75"/>
    <n v="86"/>
    <x v="0"/>
    <n v="48"/>
    <x v="0"/>
    <x v="0"/>
  </r>
  <r>
    <x v="808"/>
    <x v="97"/>
    <x v="6"/>
    <s v="73-744-7022"/>
    <x v="229"/>
    <x v="56"/>
    <n v="135"/>
    <n v="85"/>
    <n v="21"/>
    <x v="417"/>
    <n v="1.4285714285714286"/>
    <n v="4.5"/>
    <n v="0.50933786078098475"/>
    <s v="12/19/2024"/>
    <s v="9/24/2024"/>
    <x v="808"/>
    <s v="2 Grayhawk Junction"/>
    <n v="32"/>
    <n v="83"/>
    <x v="0"/>
    <n v="135"/>
    <x v="0"/>
    <x v="0"/>
  </r>
  <r>
    <x v="809"/>
    <x v="97"/>
    <x v="6"/>
    <s v="20-257-6927"/>
    <x v="241"/>
    <x v="11"/>
    <n v="54"/>
    <n v="59"/>
    <n v="62"/>
    <x v="75"/>
    <n v="0.19354838709677419"/>
    <n v="4.5"/>
    <n v="0.2037351443123939"/>
    <d v="2024-03-06T00:00:00"/>
    <s v="1/16/2025"/>
    <x v="809"/>
    <s v="744 Green Center"/>
    <n v="75"/>
    <n v="92"/>
    <x v="2"/>
    <n v="54"/>
    <x v="2"/>
    <x v="0"/>
  </r>
  <r>
    <x v="810"/>
    <x v="97"/>
    <x v="6"/>
    <s v="42-201-4495"/>
    <x v="119"/>
    <x v="41"/>
    <n v="260"/>
    <n v="79"/>
    <n v="49"/>
    <x v="378"/>
    <n v="1.3265306122448979"/>
    <n v="4"/>
    <n v="1.1035653650254669"/>
    <d v="2024-02-04T00:00:00"/>
    <d v="2024-10-06T00:00:00"/>
    <x v="810"/>
    <s v="338 Annamark Court"/>
    <n v="100"/>
    <n v="9"/>
    <x v="0"/>
    <n v="260"/>
    <x v="0"/>
    <x v="0"/>
  </r>
  <r>
    <x v="811"/>
    <x v="97"/>
    <x v="6"/>
    <s v="18-110-8314"/>
    <x v="134"/>
    <x v="37"/>
    <n v="92.4"/>
    <n v="60"/>
    <n v="73"/>
    <x v="525"/>
    <n v="0.30136986301369861"/>
    <n v="4.2"/>
    <n v="0.37351443123938882"/>
    <d v="2024-09-07T00:00:00"/>
    <d v="2024-08-11T00:00:00"/>
    <x v="811"/>
    <s v="56830 Fremont Road"/>
    <n v="62"/>
    <n v="3"/>
    <x v="2"/>
    <n v="92.4"/>
    <x v="2"/>
    <x v="1"/>
  </r>
  <r>
    <x v="812"/>
    <x v="97"/>
    <x v="6"/>
    <s v="34-161-7429"/>
    <x v="337"/>
    <x v="24"/>
    <n v="284"/>
    <n v="97"/>
    <n v="44"/>
    <x v="526"/>
    <n v="1.6136363636363635"/>
    <n v="4"/>
    <n v="1.2054329371816639"/>
    <s v="11/27/2024"/>
    <s v="2/26/2024"/>
    <x v="812"/>
    <s v="44 Thompson Terrace"/>
    <n v="58"/>
    <n v="14"/>
    <x v="0"/>
    <n v="284"/>
    <x v="0"/>
    <x v="1"/>
  </r>
  <r>
    <x v="813"/>
    <x v="97"/>
    <x v="6"/>
    <s v="30-410-3509"/>
    <x v="145"/>
    <x v="65"/>
    <n v="376"/>
    <n v="56"/>
    <n v="80"/>
    <x v="464"/>
    <n v="1.175"/>
    <n v="4"/>
    <n v="1.5959252971137521"/>
    <d v="2025-04-01T00:00:00"/>
    <d v="2024-02-12T00:00:00"/>
    <x v="813"/>
    <s v="8425 New Castle Parkway"/>
    <n v="47"/>
    <n v="96"/>
    <x v="2"/>
    <n v="376"/>
    <x v="1"/>
    <x v="1"/>
  </r>
  <r>
    <x v="814"/>
    <x v="97"/>
    <x v="6"/>
    <s v="99-864-0256"/>
    <x v="233"/>
    <x v="68"/>
    <n v="180"/>
    <n v="30"/>
    <n v="65"/>
    <x v="527"/>
    <n v="0.61538461538461542"/>
    <n v="4.5"/>
    <n v="0.6791171477079796"/>
    <d v="2024-02-07T00:00:00"/>
    <s v="3/19/2024"/>
    <x v="814"/>
    <s v="94 Mallory Center"/>
    <n v="54"/>
    <n v="29"/>
    <x v="1"/>
    <n v="180"/>
    <x v="1"/>
    <x v="1"/>
  </r>
  <r>
    <x v="815"/>
    <x v="98"/>
    <x v="2"/>
    <s v="82-737-6019"/>
    <x v="98"/>
    <x v="88"/>
    <n v="180"/>
    <n v="70"/>
    <n v="99"/>
    <x v="77"/>
    <n v="0.72727272727272729"/>
    <n v="2.5"/>
    <n v="1.2224108658743633"/>
    <d v="2024-07-10T00:00:00"/>
    <s v="5/28/2024"/>
    <x v="815"/>
    <s v="42 Bunker Hill Junction"/>
    <n v="82"/>
    <n v="32"/>
    <x v="0"/>
    <n v="180"/>
    <x v="0"/>
    <x v="0"/>
  </r>
  <r>
    <x v="816"/>
    <x v="98"/>
    <x v="2"/>
    <s v="12-950-4397"/>
    <x v="118"/>
    <x v="89"/>
    <n v="98.399999999999991"/>
    <n v="29"/>
    <n v="76"/>
    <x v="528"/>
    <n v="0.53947368421052633"/>
    <n v="2.4"/>
    <n v="0.69609507640067914"/>
    <s v="2/26/2024"/>
    <s v="9/13/2024"/>
    <x v="816"/>
    <s v="3616 Carey Pass"/>
    <n v="59"/>
    <n v="4"/>
    <x v="0"/>
    <n v="98.399999999999991"/>
    <x v="0"/>
    <x v="0"/>
  </r>
  <r>
    <x v="817"/>
    <x v="98"/>
    <x v="2"/>
    <s v="75-536-2986"/>
    <x v="321"/>
    <x v="32"/>
    <n v="110.25000000000001"/>
    <n v="70"/>
    <n v="98"/>
    <x v="529"/>
    <n v="0.45918367346938777"/>
    <n v="2.4500000000000002"/>
    <n v="0.76400679117147707"/>
    <d v="2024-10-08T00:00:00"/>
    <s v="7/27/2024"/>
    <x v="817"/>
    <s v="62 Thackeray Center"/>
    <n v="25"/>
    <n v="39"/>
    <x v="2"/>
    <n v="110.25000000000001"/>
    <x v="2"/>
    <x v="1"/>
  </r>
  <r>
    <x v="818"/>
    <x v="98"/>
    <x v="2"/>
    <s v="56-969-3705"/>
    <x v="251"/>
    <x v="40"/>
    <n v="57.5"/>
    <n v="6"/>
    <n v="40"/>
    <x v="45"/>
    <n v="0.57499999999999996"/>
    <n v="2.5"/>
    <n v="0.39049235993208831"/>
    <s v="3/20/2024"/>
    <s v="12/19/2024"/>
    <x v="818"/>
    <s v="538 Bayside Parkway"/>
    <n v="95"/>
    <n v="24"/>
    <x v="2"/>
    <n v="57.5"/>
    <x v="1"/>
    <x v="1"/>
  </r>
  <r>
    <x v="819"/>
    <x v="98"/>
    <x v="2"/>
    <s v="41-867-9911"/>
    <x v="185"/>
    <x v="66"/>
    <n v="153.72"/>
    <n v="17"/>
    <n v="69"/>
    <x v="530"/>
    <n v="0.88405797101449279"/>
    <n v="2.52"/>
    <n v="1.0356536502546689"/>
    <s v="5/22/2024"/>
    <d v="2024-07-05T00:00:00"/>
    <x v="819"/>
    <s v="676 Redwing Trail"/>
    <n v="31"/>
    <n v="29"/>
    <x v="1"/>
    <n v="153.72"/>
    <x v="1"/>
    <x v="1"/>
  </r>
  <r>
    <x v="820"/>
    <x v="98"/>
    <x v="2"/>
    <s v="57-473-8672"/>
    <x v="11"/>
    <x v="12"/>
    <n v="220"/>
    <n v="78"/>
    <n v="17"/>
    <x v="262"/>
    <n v="5.1764705882352944"/>
    <n v="2.5"/>
    <n v="1.4940577249575553"/>
    <d v="2024-06-09T00:00:00"/>
    <s v="12/28/2024"/>
    <x v="820"/>
    <s v="58 Corscot Terrace"/>
    <n v="58"/>
    <n v="21"/>
    <x v="1"/>
    <n v="220"/>
    <x v="1"/>
    <x v="1"/>
  </r>
  <r>
    <x v="821"/>
    <x v="99"/>
    <x v="2"/>
    <s v="70-901-6191"/>
    <x v="200"/>
    <x v="1"/>
    <n v="324"/>
    <n v="26"/>
    <n v="16"/>
    <x v="59"/>
    <n v="3.375"/>
    <n v="6"/>
    <n v="0.91680814940577249"/>
    <d v="2024-11-03T00:00:00"/>
    <s v="6/30/2024"/>
    <x v="821"/>
    <s v="00 Drewry Court"/>
    <n v="63"/>
    <n v="97"/>
    <x v="1"/>
    <n v="324"/>
    <x v="1"/>
    <x v="0"/>
  </r>
  <r>
    <x v="822"/>
    <x v="99"/>
    <x v="2"/>
    <s v="21-697-8128"/>
    <x v="209"/>
    <x v="78"/>
    <n v="182.9"/>
    <n v="89"/>
    <n v="7"/>
    <x v="531"/>
    <n v="4.4285714285714288"/>
    <n v="5.9"/>
    <n v="0.52631578947368418"/>
    <s v="8/26/2024"/>
    <d v="2024-07-12T00:00:00"/>
    <x v="822"/>
    <s v="60241 Portage Point"/>
    <n v="46"/>
    <n v="54"/>
    <x v="0"/>
    <n v="182.9"/>
    <x v="0"/>
    <x v="0"/>
  </r>
  <r>
    <x v="823"/>
    <x v="99"/>
    <x v="2"/>
    <s v="37-902-0286"/>
    <x v="177"/>
    <x v="65"/>
    <n v="564"/>
    <n v="77"/>
    <n v="89"/>
    <x v="532"/>
    <n v="1.0561797752808988"/>
    <n v="6"/>
    <n v="1.5959252971137521"/>
    <s v="9/30/2024"/>
    <s v="6/20/2024"/>
    <x v="823"/>
    <s v="32525 Marquette Park"/>
    <n v="40"/>
    <n v="84"/>
    <x v="0"/>
    <n v="564"/>
    <x v="0"/>
    <x v="0"/>
  </r>
  <r>
    <x v="824"/>
    <x v="99"/>
    <x v="2"/>
    <s v="48-450-4126"/>
    <x v="203"/>
    <x v="86"/>
    <n v="97.6"/>
    <n v="23"/>
    <n v="76"/>
    <x v="330"/>
    <n v="0.21052631578947367"/>
    <n v="6.1"/>
    <n v="0.27164685908319186"/>
    <s v="7/21/2024"/>
    <d v="2025-09-02T00:00:00"/>
    <x v="824"/>
    <s v="884 Fieldstone Plaza"/>
    <n v="50"/>
    <n v="27"/>
    <x v="2"/>
    <n v="97.6"/>
    <x v="2"/>
    <x v="0"/>
  </r>
  <r>
    <x v="825"/>
    <x v="99"/>
    <x v="2"/>
    <s v="08-912-0895"/>
    <x v="134"/>
    <x v="90"/>
    <n v="342.20000000000005"/>
    <n v="15"/>
    <n v="87"/>
    <x v="533"/>
    <n v="0.66666666666666663"/>
    <n v="5.9"/>
    <n v="0.98471986417657054"/>
    <d v="2024-10-07T00:00:00"/>
    <s v="6/30/2024"/>
    <x v="825"/>
    <s v="3 Buhler Place"/>
    <n v="52"/>
    <n v="81"/>
    <x v="2"/>
    <n v="342.20000000000005"/>
    <x v="1"/>
    <x v="1"/>
  </r>
  <r>
    <x v="826"/>
    <x v="99"/>
    <x v="2"/>
    <s v="37-994-7932"/>
    <x v="70"/>
    <x v="60"/>
    <n v="156"/>
    <n v="97"/>
    <n v="12"/>
    <x v="53"/>
    <n v="2.1666666666666665"/>
    <n v="6"/>
    <n v="0.44142614601018676"/>
    <s v="9/25/2024"/>
    <s v="11/28/2024"/>
    <x v="826"/>
    <s v="1 Havey Park"/>
    <n v="94"/>
    <n v="58"/>
    <x v="0"/>
    <n v="156"/>
    <x v="0"/>
    <x v="1"/>
  </r>
  <r>
    <x v="827"/>
    <x v="100"/>
    <x v="4"/>
    <s v="08-490-1714"/>
    <x v="68"/>
    <x v="12"/>
    <n v="220"/>
    <n v="100"/>
    <n v="17"/>
    <x v="262"/>
    <n v="5.1764705882352944"/>
    <n v="2.5"/>
    <n v="1.4940577249575553"/>
    <d v="2024-11-12T00:00:00"/>
    <s v="10/28/2024"/>
    <x v="827"/>
    <s v="8 Spaight Circle"/>
    <n v="25"/>
    <n v="28"/>
    <x v="0"/>
    <n v="220"/>
    <x v="0"/>
    <x v="0"/>
  </r>
  <r>
    <x v="828"/>
    <x v="100"/>
    <x v="4"/>
    <s v="81-292-4650"/>
    <x v="62"/>
    <x v="69"/>
    <n v="217.5"/>
    <n v="24"/>
    <n v="19"/>
    <x v="534"/>
    <n v="4.5789473684210522"/>
    <n v="2.5"/>
    <n v="1.4770797962648556"/>
    <d v="2024-11-05T00:00:00"/>
    <s v="12/13/2024"/>
    <x v="828"/>
    <s v="88721 Dawn Crossing"/>
    <n v="83"/>
    <n v="3"/>
    <x v="0"/>
    <n v="217.5"/>
    <x v="0"/>
    <x v="0"/>
  </r>
  <r>
    <x v="829"/>
    <x v="100"/>
    <x v="4"/>
    <s v="46-041-1131"/>
    <x v="323"/>
    <x v="55"/>
    <n v="60"/>
    <n v="35"/>
    <n v="14"/>
    <x v="2"/>
    <n v="1.7142857142857142"/>
    <n v="2.5"/>
    <n v="0.40747028862478779"/>
    <d v="2024-04-05T00:00:00"/>
    <s v="6/24/2024"/>
    <x v="829"/>
    <s v="7 Rutledge Pass"/>
    <n v="91"/>
    <n v="71"/>
    <x v="2"/>
    <n v="60"/>
    <x v="2"/>
    <x v="1"/>
  </r>
  <r>
    <x v="830"/>
    <x v="100"/>
    <x v="4"/>
    <s v="49-762-8263"/>
    <x v="297"/>
    <x v="40"/>
    <n v="57.5"/>
    <n v="43"/>
    <n v="75"/>
    <x v="535"/>
    <n v="0.30666666666666664"/>
    <n v="2.5"/>
    <n v="0.39049235993208831"/>
    <d v="2024-08-11T00:00:00"/>
    <s v="10/31/2024"/>
    <x v="830"/>
    <s v="27408 Burning Wood Street"/>
    <n v="91"/>
    <n v="86"/>
    <x v="0"/>
    <n v="57.5"/>
    <x v="0"/>
    <x v="1"/>
  </r>
  <r>
    <x v="831"/>
    <x v="100"/>
    <x v="4"/>
    <s v="35-000-6015"/>
    <x v="238"/>
    <x v="58"/>
    <n v="97.5"/>
    <n v="13"/>
    <n v="13"/>
    <x v="232"/>
    <n v="3"/>
    <n v="2.5"/>
    <n v="0.66213921901528017"/>
    <s v="9/13/2024"/>
    <s v="2/19/2025"/>
    <x v="831"/>
    <s v="43591 East Road"/>
    <n v="84"/>
    <n v="93"/>
    <x v="1"/>
    <n v="97.5"/>
    <x v="1"/>
    <x v="1"/>
  </r>
  <r>
    <x v="832"/>
    <x v="100"/>
    <x v="4"/>
    <s v="91-451-2016"/>
    <x v="128"/>
    <x v="49"/>
    <n v="200"/>
    <n v="24"/>
    <n v="60"/>
    <x v="287"/>
    <n v="1.3333333333333333"/>
    <n v="2.5"/>
    <n v="1.3582342954159592"/>
    <s v="1/21/2025"/>
    <s v="11/13/2024"/>
    <x v="832"/>
    <s v="1 Green Hill"/>
    <n v="98"/>
    <n v="38"/>
    <x v="1"/>
    <n v="200"/>
    <x v="1"/>
    <x v="1"/>
  </r>
  <r>
    <x v="833"/>
    <x v="101"/>
    <x v="0"/>
    <s v="38-037-1699"/>
    <x v="283"/>
    <x v="37"/>
    <n v="99"/>
    <n v="72"/>
    <n v="70"/>
    <x v="203"/>
    <n v="0.31428571428571428"/>
    <n v="4.5"/>
    <n v="0.37351443123938882"/>
    <s v="8/16/2024"/>
    <s v="6/29/2024"/>
    <x v="833"/>
    <s v="48 Del Sol Trail"/>
    <n v="32"/>
    <n v="19"/>
    <x v="0"/>
    <n v="99"/>
    <x v="0"/>
    <x v="0"/>
  </r>
  <r>
    <x v="834"/>
    <x v="101"/>
    <x v="0"/>
    <s v="04-726-3363"/>
    <x v="73"/>
    <x v="4"/>
    <n v="337.5"/>
    <n v="69"/>
    <n v="100"/>
    <x v="109"/>
    <n v="0.75"/>
    <n v="4.5"/>
    <n v="1.2733446519524618"/>
    <d v="2024-11-07T00:00:00"/>
    <s v="1/19/2025"/>
    <x v="834"/>
    <s v="67 Little Fleur Road"/>
    <n v="43"/>
    <n v="18"/>
    <x v="2"/>
    <n v="337.5"/>
    <x v="1"/>
    <x v="0"/>
  </r>
  <r>
    <x v="835"/>
    <x v="101"/>
    <x v="0"/>
    <s v="13-457-9946"/>
    <x v="268"/>
    <x v="71"/>
    <n v="81.7"/>
    <n v="17"/>
    <n v="14"/>
    <x v="536"/>
    <n v="1.3571428571428572"/>
    <n v="4.3"/>
    <n v="0.32258064516129031"/>
    <s v="8/30/2024"/>
    <s v="6/29/2024"/>
    <x v="835"/>
    <s v="43107 Schlimgen Circle"/>
    <n v="58"/>
    <n v="23"/>
    <x v="1"/>
    <n v="81.7"/>
    <x v="1"/>
    <x v="0"/>
  </r>
  <r>
    <x v="836"/>
    <x v="101"/>
    <x v="0"/>
    <s v="40-914-7156"/>
    <x v="140"/>
    <x v="9"/>
    <n v="327.25"/>
    <n v="20"/>
    <n v="37"/>
    <x v="537"/>
    <n v="2.0810810810810811"/>
    <n v="4.25"/>
    <n v="1.3073005093378609"/>
    <d v="2024-03-07T00:00:00"/>
    <d v="2024-06-03T00:00:00"/>
    <x v="836"/>
    <s v="5743 Superior Place"/>
    <n v="42"/>
    <n v="19"/>
    <x v="2"/>
    <n v="327.25"/>
    <x v="1"/>
    <x v="0"/>
  </r>
  <r>
    <x v="837"/>
    <x v="101"/>
    <x v="0"/>
    <s v="40-662-8853"/>
    <x v="124"/>
    <x v="26"/>
    <n v="378"/>
    <n v="69"/>
    <n v="77"/>
    <x v="25"/>
    <n v="1.0909090909090908"/>
    <n v="4.5"/>
    <n v="1.4261460101867574"/>
    <s v="1/22/2025"/>
    <s v="12/28/2024"/>
    <x v="837"/>
    <s v="44296 Kropf Avenue"/>
    <n v="39"/>
    <n v="69"/>
    <x v="2"/>
    <n v="378"/>
    <x v="1"/>
    <x v="0"/>
  </r>
  <r>
    <x v="838"/>
    <x v="101"/>
    <x v="0"/>
    <s v="63-836-1262"/>
    <x v="50"/>
    <x v="38"/>
    <n v="171"/>
    <n v="81"/>
    <n v="54"/>
    <x v="538"/>
    <n v="0.66666666666666663"/>
    <n v="4.75"/>
    <n v="0.61120543293718166"/>
    <d v="2024-07-07T00:00:00"/>
    <s v="12/20/2024"/>
    <x v="838"/>
    <s v="96629 Nova Plaza"/>
    <n v="73"/>
    <n v="60"/>
    <x v="0"/>
    <n v="171"/>
    <x v="0"/>
    <x v="0"/>
  </r>
  <r>
    <x v="839"/>
    <x v="101"/>
    <x v="0"/>
    <s v="76-712-0418"/>
    <x v="151"/>
    <x v="79"/>
    <n v="197.4"/>
    <n v="1"/>
    <n v="60"/>
    <x v="40"/>
    <n v="0.78333333333333333"/>
    <n v="4.2"/>
    <n v="0.79796264855687604"/>
    <s v="1/29/2025"/>
    <s v="5/19/2024"/>
    <x v="839"/>
    <s v="9 Burrows Junction"/>
    <n v="32"/>
    <n v="87"/>
    <x v="0"/>
    <n v="197.4"/>
    <x v="0"/>
    <x v="1"/>
  </r>
  <r>
    <x v="840"/>
    <x v="101"/>
    <x v="0"/>
    <s v="77-471-0792"/>
    <x v="338"/>
    <x v="37"/>
    <n v="93.5"/>
    <n v="10"/>
    <n v="53"/>
    <x v="539"/>
    <n v="0.41509433962264153"/>
    <n v="4.25"/>
    <n v="0.37351443123938882"/>
    <d v="2024-08-08T00:00:00"/>
    <s v="10/26/2024"/>
    <x v="840"/>
    <s v="07855 Goodland Lane"/>
    <n v="64"/>
    <n v="7"/>
    <x v="1"/>
    <n v="93.5"/>
    <x v="1"/>
    <x v="1"/>
  </r>
  <r>
    <x v="841"/>
    <x v="101"/>
    <x v="0"/>
    <s v="93-625-4768"/>
    <x v="339"/>
    <x v="52"/>
    <n v="43"/>
    <n v="11"/>
    <n v="29"/>
    <x v="540"/>
    <n v="0.34482758620689657"/>
    <n v="4.3"/>
    <n v="0.1697792869269949"/>
    <s v="2/13/2025"/>
    <d v="2024-08-10T00:00:00"/>
    <x v="841"/>
    <s v="91 Gateway Pass"/>
    <n v="29"/>
    <n v="72"/>
    <x v="2"/>
    <n v="43"/>
    <x v="2"/>
    <x v="1"/>
  </r>
  <r>
    <x v="842"/>
    <x v="101"/>
    <x v="0"/>
    <s v="77-842-0920"/>
    <x v="303"/>
    <x v="42"/>
    <n v="339.29999999999995"/>
    <n v="94"/>
    <n v="7"/>
    <x v="541"/>
    <n v="11.142857142857142"/>
    <n v="4.3499999999999996"/>
    <n v="1.3242784380305603"/>
    <d v="2024-06-09T00:00:00"/>
    <d v="2024-03-11T00:00:00"/>
    <x v="842"/>
    <s v="76 Fisk Park"/>
    <n v="69"/>
    <n v="40"/>
    <x v="2"/>
    <n v="339.29999999999995"/>
    <x v="2"/>
    <x v="1"/>
  </r>
  <r>
    <x v="843"/>
    <x v="102"/>
    <x v="2"/>
    <s v="20-608-1290"/>
    <x v="289"/>
    <x v="15"/>
    <n v="200"/>
    <n v="3"/>
    <n v="32"/>
    <x v="229"/>
    <n v="3.125"/>
    <n v="2"/>
    <n v="1.6977928692699491"/>
    <s v="8/19/2024"/>
    <d v="2024-01-10T00:00:00"/>
    <x v="843"/>
    <s v="41 Nelson Center"/>
    <n v="98"/>
    <n v="91"/>
    <x v="2"/>
    <n v="200"/>
    <x v="1"/>
    <x v="0"/>
  </r>
  <r>
    <x v="844"/>
    <x v="102"/>
    <x v="2"/>
    <s v="09-153-0763"/>
    <x v="297"/>
    <x v="41"/>
    <n v="130"/>
    <n v="10"/>
    <n v="81"/>
    <x v="314"/>
    <n v="0.80246913580246915"/>
    <n v="2"/>
    <n v="1.1035653650254669"/>
    <s v="8/27/2024"/>
    <d v="2025-12-02T00:00:00"/>
    <x v="844"/>
    <s v="15 Veith Circle"/>
    <n v="71"/>
    <n v="61"/>
    <x v="2"/>
    <n v="130"/>
    <x v="1"/>
    <x v="0"/>
  </r>
  <r>
    <x v="845"/>
    <x v="102"/>
    <x v="2"/>
    <s v="31-955-7362"/>
    <x v="69"/>
    <x v="18"/>
    <n v="88"/>
    <n v="77"/>
    <n v="45"/>
    <x v="61"/>
    <n v="0.97777777777777775"/>
    <n v="2"/>
    <n v="0.74702886247877764"/>
    <s v="7/27/2024"/>
    <s v="6/22/2024"/>
    <x v="845"/>
    <s v="55 Cherokee Circle"/>
    <n v="89"/>
    <n v="64"/>
    <x v="0"/>
    <n v="88"/>
    <x v="0"/>
    <x v="1"/>
  </r>
  <r>
    <x v="846"/>
    <x v="102"/>
    <x v="2"/>
    <s v="32-402-9679"/>
    <x v="199"/>
    <x v="44"/>
    <n v="190"/>
    <n v="87"/>
    <n v="13"/>
    <x v="405"/>
    <n v="7.3076923076923075"/>
    <n v="2"/>
    <n v="1.6129032258064517"/>
    <d v="2024-12-10T00:00:00"/>
    <d v="2024-02-03T00:00:00"/>
    <x v="846"/>
    <s v="803 5th Alley"/>
    <n v="61"/>
    <n v="4"/>
    <x v="2"/>
    <n v="190"/>
    <x v="1"/>
    <x v="1"/>
  </r>
  <r>
    <x v="847"/>
    <x v="102"/>
    <x v="2"/>
    <s v="81-276-8218"/>
    <x v="334"/>
    <x v="49"/>
    <n v="160"/>
    <n v="60"/>
    <n v="71"/>
    <x v="496"/>
    <n v="1.1267605633802817"/>
    <n v="2"/>
    <n v="1.3582342954159592"/>
    <d v="2024-08-10T00:00:00"/>
    <s v="6/15/2024"/>
    <x v="847"/>
    <s v="18 Daystar Parkway"/>
    <n v="98"/>
    <n v="13"/>
    <x v="1"/>
    <n v="160"/>
    <x v="1"/>
    <x v="1"/>
  </r>
  <r>
    <x v="848"/>
    <x v="102"/>
    <x v="2"/>
    <s v="26-061-5253"/>
    <x v="340"/>
    <x v="64"/>
    <n v="98"/>
    <n v="1"/>
    <n v="28"/>
    <x v="317"/>
    <n v="1.75"/>
    <n v="2"/>
    <n v="0.83191850594227501"/>
    <d v="2024-01-12T00:00:00"/>
    <s v="12/23/2024"/>
    <x v="848"/>
    <s v="7015 Ramsey Lane"/>
    <n v="97"/>
    <n v="95"/>
    <x v="1"/>
    <n v="98"/>
    <x v="1"/>
    <x v="1"/>
  </r>
  <r>
    <x v="849"/>
    <x v="103"/>
    <x v="5"/>
    <s v="03-615-0558"/>
    <x v="90"/>
    <x v="64"/>
    <n v="392"/>
    <n v="49"/>
    <n v="26"/>
    <x v="136"/>
    <n v="1.8846153846153846"/>
    <n v="8"/>
    <n v="0.83191850594227501"/>
    <d v="2024-10-09T00:00:00"/>
    <s v="5/19/2024"/>
    <x v="849"/>
    <s v="285 1st Park"/>
    <n v="78"/>
    <n v="61"/>
    <x v="0"/>
    <n v="392"/>
    <x v="0"/>
    <x v="0"/>
  </r>
  <r>
    <x v="850"/>
    <x v="103"/>
    <x v="5"/>
    <s v="72-514-7323"/>
    <x v="152"/>
    <x v="85"/>
    <n v="232"/>
    <n v="4"/>
    <n v="17"/>
    <x v="386"/>
    <n v="1.7058823529411764"/>
    <n v="8"/>
    <n v="0.49235993208828527"/>
    <s v="1/19/2025"/>
    <s v="11/13/2024"/>
    <x v="850"/>
    <s v="5 Waxwing Junction"/>
    <n v="59"/>
    <n v="52"/>
    <x v="1"/>
    <n v="232"/>
    <x v="1"/>
    <x v="0"/>
  </r>
  <r>
    <x v="851"/>
    <x v="103"/>
    <x v="5"/>
    <s v="05-181-2682"/>
    <x v="68"/>
    <x v="49"/>
    <n v="648"/>
    <n v="9"/>
    <n v="29"/>
    <x v="542"/>
    <n v="2.7586206896551726"/>
    <n v="8.1"/>
    <n v="1.3582342954159592"/>
    <s v="8/26/2024"/>
    <s v="11/20/2024"/>
    <x v="851"/>
    <s v="739 Swallow Road"/>
    <n v="54"/>
    <n v="62"/>
    <x v="1"/>
    <n v="648"/>
    <x v="1"/>
    <x v="0"/>
  </r>
  <r>
    <x v="852"/>
    <x v="103"/>
    <x v="5"/>
    <s v="78-459-1417"/>
    <x v="143"/>
    <x v="2"/>
    <n v="400"/>
    <n v="99"/>
    <n v="73"/>
    <x v="543"/>
    <n v="0.68493150684931503"/>
    <n v="8"/>
    <n v="0.84889643463497455"/>
    <d v="2024-12-05T00:00:00"/>
    <s v="8/23/2024"/>
    <x v="852"/>
    <s v="42 Clemons Terrace"/>
    <n v="42"/>
    <n v="1"/>
    <x v="2"/>
    <n v="400"/>
    <x v="2"/>
    <x v="0"/>
  </r>
  <r>
    <x v="853"/>
    <x v="103"/>
    <x v="5"/>
    <s v="73-383-4390"/>
    <x v="34"/>
    <x v="22"/>
    <n v="744"/>
    <n v="8"/>
    <n v="51"/>
    <x v="459"/>
    <n v="1.8235294117647058"/>
    <n v="8"/>
    <n v="1.5789473684210527"/>
    <s v="2/28/2024"/>
    <s v="5/15/2024"/>
    <x v="853"/>
    <s v="64407 Marcy Plaza"/>
    <n v="93"/>
    <n v="85"/>
    <x v="2"/>
    <n v="744"/>
    <x v="1"/>
    <x v="0"/>
  </r>
  <r>
    <x v="854"/>
    <x v="103"/>
    <x v="5"/>
    <s v="87-201-6047"/>
    <x v="28"/>
    <x v="63"/>
    <n v="560"/>
    <n v="84"/>
    <n v="72"/>
    <x v="327"/>
    <n v="0.97222222222222221"/>
    <n v="8"/>
    <n v="1.1884550084889645"/>
    <s v="7/20/2024"/>
    <d v="2024-08-12T00:00:00"/>
    <x v="854"/>
    <s v="36 Longview Street"/>
    <n v="71"/>
    <n v="20"/>
    <x v="1"/>
    <n v="560"/>
    <x v="2"/>
    <x v="0"/>
  </r>
  <r>
    <x v="855"/>
    <x v="103"/>
    <x v="5"/>
    <s v="79-086-1717"/>
    <x v="276"/>
    <x v="43"/>
    <n v="160"/>
    <n v="17"/>
    <n v="71"/>
    <x v="544"/>
    <n v="0.28169014084507044"/>
    <n v="8"/>
    <n v="0.3395585738539898"/>
    <s v="10/22/2024"/>
    <d v="2025-07-01T00:00:00"/>
    <x v="855"/>
    <s v="80729 Homewood Plaza"/>
    <n v="50"/>
    <n v="65"/>
    <x v="1"/>
    <n v="160"/>
    <x v="1"/>
    <x v="0"/>
  </r>
  <r>
    <x v="856"/>
    <x v="103"/>
    <x v="5"/>
    <s v="14-190-2260"/>
    <x v="326"/>
    <x v="10"/>
    <n v="680"/>
    <n v="89"/>
    <n v="41"/>
    <x v="545"/>
    <n v="2.0731707317073171"/>
    <n v="8"/>
    <n v="1.4431239388794568"/>
    <s v="4/22/2024"/>
    <d v="2024-07-04T00:00:00"/>
    <x v="856"/>
    <s v="3 Fairfield Center"/>
    <n v="68"/>
    <n v="93"/>
    <x v="0"/>
    <n v="680"/>
    <x v="0"/>
    <x v="1"/>
  </r>
  <r>
    <x v="857"/>
    <x v="103"/>
    <x v="5"/>
    <s v="86-487-3354"/>
    <x v="341"/>
    <x v="62"/>
    <n v="768"/>
    <n v="34"/>
    <n v="57"/>
    <x v="369"/>
    <n v="1.6842105263157894"/>
    <n v="8"/>
    <n v="1.6298811544991512"/>
    <s v="11/23/2024"/>
    <s v="10/20/2024"/>
    <x v="857"/>
    <s v="3831 Goodland Road"/>
    <n v="71"/>
    <n v="17"/>
    <x v="0"/>
    <n v="768"/>
    <x v="0"/>
    <x v="1"/>
  </r>
  <r>
    <x v="858"/>
    <x v="103"/>
    <x v="5"/>
    <s v="92-991-6167"/>
    <x v="240"/>
    <x v="21"/>
    <n v="512"/>
    <n v="14"/>
    <n v="44"/>
    <x v="546"/>
    <n v="1.4545454545454546"/>
    <n v="8"/>
    <n v="1.0865874363327674"/>
    <s v="6/23/2024"/>
    <s v="5/16/2024"/>
    <x v="858"/>
    <s v="6 Susan Alley"/>
    <n v="53"/>
    <n v="33"/>
    <x v="1"/>
    <n v="512"/>
    <x v="1"/>
    <x v="1"/>
  </r>
  <r>
    <x v="859"/>
    <x v="104"/>
    <x v="1"/>
    <s v="54-876-4296"/>
    <x v="247"/>
    <x v="44"/>
    <n v="665"/>
    <n v="63"/>
    <n v="73"/>
    <x v="547"/>
    <n v="1.3013698630136987"/>
    <n v="7"/>
    <n v="1.6129032258064517"/>
    <s v="11/17/2024"/>
    <d v="2024-05-06T00:00:00"/>
    <x v="859"/>
    <s v="509 Carpenter Trail"/>
    <n v="61"/>
    <n v="38"/>
    <x v="2"/>
    <n v="665"/>
    <x v="1"/>
    <x v="0"/>
  </r>
  <r>
    <x v="860"/>
    <x v="104"/>
    <x v="1"/>
    <s v="30-438-6295"/>
    <x v="127"/>
    <x v="42"/>
    <n v="546"/>
    <n v="75"/>
    <n v="3"/>
    <x v="548"/>
    <n v="26"/>
    <n v="7"/>
    <n v="1.3242784380305603"/>
    <d v="2024-08-08T00:00:00"/>
    <s v="12/18/2024"/>
    <x v="860"/>
    <s v="10997 Dexter Parkway"/>
    <n v="63"/>
    <n v="100"/>
    <x v="1"/>
    <n v="546"/>
    <x v="1"/>
    <x v="0"/>
  </r>
  <r>
    <x v="861"/>
    <x v="104"/>
    <x v="1"/>
    <s v="17-939-1338"/>
    <x v="342"/>
    <x v="22"/>
    <n v="651"/>
    <n v="25"/>
    <n v="23"/>
    <x v="414"/>
    <n v="4.0434782608695654"/>
    <n v="7"/>
    <n v="1.5789473684210527"/>
    <s v="6/21/2024"/>
    <s v="8/17/2024"/>
    <x v="861"/>
    <s v="4 Darwin Circle"/>
    <n v="72"/>
    <n v="83"/>
    <x v="2"/>
    <n v="651"/>
    <x v="1"/>
    <x v="0"/>
  </r>
  <r>
    <x v="862"/>
    <x v="104"/>
    <x v="1"/>
    <s v="32-196-4714"/>
    <x v="14"/>
    <x v="70"/>
    <n v="413"/>
    <n v="59"/>
    <n v="10"/>
    <x v="290"/>
    <n v="5.9"/>
    <n v="7"/>
    <n v="1.0016977928692701"/>
    <s v="8/18/2024"/>
    <d v="2024-10-11T00:00:00"/>
    <x v="862"/>
    <s v="73397 Steensland Circle"/>
    <n v="57"/>
    <n v="50"/>
    <x v="1"/>
    <n v="413"/>
    <x v="1"/>
    <x v="0"/>
  </r>
  <r>
    <x v="863"/>
    <x v="104"/>
    <x v="1"/>
    <s v="22-940-6543"/>
    <x v="125"/>
    <x v="10"/>
    <n v="569.5"/>
    <n v="92"/>
    <n v="66"/>
    <x v="549"/>
    <n v="1.2878787878787878"/>
    <n v="6.7"/>
    <n v="1.4431239388794568"/>
    <s v="3/28/2024"/>
    <d v="2025-01-01T00:00:00"/>
    <x v="863"/>
    <s v="6 Hanover Terrace"/>
    <n v="54"/>
    <n v="85"/>
    <x v="2"/>
    <n v="569.5"/>
    <x v="2"/>
    <x v="0"/>
  </r>
  <r>
    <x v="864"/>
    <x v="104"/>
    <x v="1"/>
    <s v="68-230-9130"/>
    <x v="64"/>
    <x v="56"/>
    <n v="210"/>
    <n v="42"/>
    <n v="8"/>
    <x v="317"/>
    <n v="3.75"/>
    <n v="7"/>
    <n v="0.50933786078098475"/>
    <d v="2024-02-05T00:00:00"/>
    <d v="2025-06-01T00:00:00"/>
    <x v="864"/>
    <s v="57 Eastwood Junction"/>
    <n v="48"/>
    <n v="23"/>
    <x v="1"/>
    <n v="210"/>
    <x v="2"/>
    <x v="0"/>
  </r>
  <r>
    <x v="865"/>
    <x v="104"/>
    <x v="1"/>
    <s v="75-793-8978"/>
    <x v="119"/>
    <x v="36"/>
    <n v="322"/>
    <n v="80"/>
    <n v="88"/>
    <x v="550"/>
    <n v="0.52272727272727271"/>
    <n v="7"/>
    <n v="0.78098471986417661"/>
    <s v="9/19/2024"/>
    <d v="2024-07-06T00:00:00"/>
    <x v="865"/>
    <s v="13799 Quincy Park"/>
    <n v="62"/>
    <n v="22"/>
    <x v="0"/>
    <n v="322"/>
    <x v="0"/>
    <x v="1"/>
  </r>
  <r>
    <x v="866"/>
    <x v="104"/>
    <x v="1"/>
    <s v="73-393-9432"/>
    <x v="285"/>
    <x v="54"/>
    <n v="95.2"/>
    <n v="52"/>
    <n v="80"/>
    <x v="551"/>
    <n v="0.17499999999999999"/>
    <n v="6.8"/>
    <n v="0.23769100169779286"/>
    <s v="7/26/2024"/>
    <s v="7/13/2024"/>
    <x v="866"/>
    <s v="116 Spaight Park"/>
    <n v="64"/>
    <n v="17"/>
    <x v="0"/>
    <n v="95.2"/>
    <x v="0"/>
    <x v="1"/>
  </r>
  <r>
    <x v="867"/>
    <x v="104"/>
    <x v="1"/>
    <s v="60-159-3514"/>
    <x v="26"/>
    <x v="45"/>
    <n v="392"/>
    <n v="59"/>
    <n v="87"/>
    <x v="552"/>
    <n v="0.64367816091954022"/>
    <n v="7"/>
    <n v="0.95076400679117146"/>
    <s v="1/26/2025"/>
    <s v="12/23/2024"/>
    <x v="867"/>
    <s v="1792 Crownhardt Street"/>
    <n v="65"/>
    <n v="45"/>
    <x v="1"/>
    <n v="392"/>
    <x v="2"/>
    <x v="1"/>
  </r>
  <r>
    <x v="868"/>
    <x v="104"/>
    <x v="1"/>
    <s v="94-006-6480"/>
    <x v="207"/>
    <x v="15"/>
    <n v="700"/>
    <n v="61"/>
    <n v="21"/>
    <x v="183"/>
    <n v="4.7619047619047619"/>
    <n v="7"/>
    <n v="1.6977928692699491"/>
    <s v="9/21/2024"/>
    <s v="12/25/2024"/>
    <x v="868"/>
    <s v="674 Ryan Alley"/>
    <n v="85"/>
    <n v="79"/>
    <x v="2"/>
    <n v="700"/>
    <x v="1"/>
    <x v="1"/>
  </r>
  <r>
    <x v="869"/>
    <x v="105"/>
    <x v="2"/>
    <s v="43-880-2879"/>
    <x v="15"/>
    <x v="26"/>
    <n v="210"/>
    <n v="20"/>
    <n v="58"/>
    <x v="553"/>
    <n v="1.4482758620689655"/>
    <n v="2.5"/>
    <n v="1.4261460101867574"/>
    <d v="2024-08-04T00:00:00"/>
    <d v="2025-10-01T00:00:00"/>
    <x v="869"/>
    <s v="2 Sunbrook Lane"/>
    <n v="86"/>
    <n v="64"/>
    <x v="2"/>
    <n v="210"/>
    <x v="1"/>
    <x v="0"/>
  </r>
  <r>
    <x v="870"/>
    <x v="105"/>
    <x v="2"/>
    <s v="30-460-3122"/>
    <x v="11"/>
    <x v="18"/>
    <n v="110"/>
    <n v="67"/>
    <n v="15"/>
    <x v="147"/>
    <n v="2.9333333333333331"/>
    <n v="2.5"/>
    <n v="0.74702886247877764"/>
    <s v="3/13/2024"/>
    <d v="2024-10-03T00:00:00"/>
    <x v="870"/>
    <s v="34 Linden Court"/>
    <n v="82"/>
    <n v="51"/>
    <x v="1"/>
    <n v="110"/>
    <x v="2"/>
    <x v="0"/>
  </r>
  <r>
    <x v="871"/>
    <x v="105"/>
    <x v="2"/>
    <s v="40-056-7748"/>
    <x v="31"/>
    <x v="61"/>
    <n v="27.5"/>
    <n v="10"/>
    <n v="60"/>
    <x v="287"/>
    <n v="0.18333333333333332"/>
    <n v="2.5"/>
    <n v="0.18675721561969441"/>
    <d v="2024-10-10T00:00:00"/>
    <d v="2024-06-05T00:00:00"/>
    <x v="871"/>
    <s v="826 Melvin Pass"/>
    <n v="93"/>
    <n v="53"/>
    <x v="0"/>
    <n v="27.5"/>
    <x v="0"/>
    <x v="1"/>
  </r>
  <r>
    <x v="872"/>
    <x v="105"/>
    <x v="2"/>
    <s v="81-999-7392"/>
    <x v="315"/>
    <x v="15"/>
    <n v="250"/>
    <n v="64"/>
    <n v="62"/>
    <x v="554"/>
    <n v="1.6129032258064515"/>
    <n v="2.5"/>
    <n v="1.6977928692699491"/>
    <s v="12/15/2024"/>
    <s v="12/30/2024"/>
    <x v="872"/>
    <s v="77 Brown Circle"/>
    <n v="84"/>
    <n v="44"/>
    <x v="0"/>
    <n v="250"/>
    <x v="0"/>
    <x v="1"/>
  </r>
  <r>
    <x v="873"/>
    <x v="105"/>
    <x v="2"/>
    <s v="70-453-8646"/>
    <x v="294"/>
    <x v="87"/>
    <n v="80"/>
    <n v="49"/>
    <n v="73"/>
    <x v="555"/>
    <n v="0.43835616438356162"/>
    <n v="2.5"/>
    <n v="0.54329371816638372"/>
    <d v="2024-06-07T00:00:00"/>
    <s v="4/22/2024"/>
    <x v="873"/>
    <s v="43 Lakewood Junction"/>
    <n v="80"/>
    <n v="36"/>
    <x v="0"/>
    <n v="80"/>
    <x v="0"/>
    <x v="1"/>
  </r>
  <r>
    <x v="874"/>
    <x v="106"/>
    <x v="1"/>
    <s v="87-839-6400"/>
    <x v="260"/>
    <x v="64"/>
    <n v="588"/>
    <n v="73"/>
    <n v="48"/>
    <x v="327"/>
    <n v="1.0208333333333333"/>
    <n v="12"/>
    <n v="0.83191850594227501"/>
    <s v="8/17/2024"/>
    <d v="2024-01-10T00:00:00"/>
    <x v="874"/>
    <s v="08 Randy Junction"/>
    <n v="52"/>
    <n v="62"/>
    <x v="1"/>
    <n v="588"/>
    <x v="2"/>
    <x v="0"/>
  </r>
  <r>
    <x v="875"/>
    <x v="106"/>
    <x v="1"/>
    <s v="28-837-4164"/>
    <x v="224"/>
    <x v="85"/>
    <n v="348"/>
    <n v="72"/>
    <n v="96"/>
    <x v="556"/>
    <n v="0.30208333333333331"/>
    <n v="12"/>
    <n v="0.49235993208828527"/>
    <d v="2024-03-05T00:00:00"/>
    <s v="11/26/2024"/>
    <x v="875"/>
    <s v="4508 Shopko Trail"/>
    <n v="85"/>
    <n v="52"/>
    <x v="1"/>
    <n v="348"/>
    <x v="2"/>
    <x v="0"/>
  </r>
  <r>
    <x v="876"/>
    <x v="106"/>
    <x v="1"/>
    <s v="80-848-7493"/>
    <x v="93"/>
    <x v="4"/>
    <n v="900"/>
    <n v="25"/>
    <n v="99"/>
    <x v="557"/>
    <n v="0.75757575757575757"/>
    <n v="12"/>
    <n v="1.2733446519524618"/>
    <s v="10/20/2024"/>
    <s v="5/29/2024"/>
    <x v="876"/>
    <s v="52105 Mandrake Place"/>
    <n v="89"/>
    <n v="42"/>
    <x v="1"/>
    <n v="900"/>
    <x v="1"/>
    <x v="0"/>
  </r>
  <r>
    <x v="877"/>
    <x v="106"/>
    <x v="1"/>
    <s v="93-712-3934"/>
    <x v="82"/>
    <x v="71"/>
    <n v="218.5"/>
    <n v="94"/>
    <n v="17"/>
    <x v="558"/>
    <n v="1.1176470588235294"/>
    <n v="11.5"/>
    <n v="0.32258064516129031"/>
    <s v="8/22/2024"/>
    <d v="2024-08-06T00:00:00"/>
    <x v="877"/>
    <s v="4 Jay Terrace"/>
    <n v="96"/>
    <n v="74"/>
    <x v="0"/>
    <n v="218.5"/>
    <x v="0"/>
    <x v="0"/>
  </r>
  <r>
    <x v="878"/>
    <x v="106"/>
    <x v="1"/>
    <s v="57-323-8059"/>
    <x v="106"/>
    <x v="83"/>
    <n v="1046.5"/>
    <n v="68"/>
    <n v="80"/>
    <x v="22"/>
    <n v="1.1375"/>
    <n v="11.5"/>
    <n v="1.5449915110356538"/>
    <d v="2024-12-08T00:00:00"/>
    <s v="10/14/2024"/>
    <x v="878"/>
    <s v="0258 Shoshone Center"/>
    <n v="81"/>
    <n v="85"/>
    <x v="2"/>
    <n v="1046.5"/>
    <x v="1"/>
    <x v="0"/>
  </r>
  <r>
    <x v="879"/>
    <x v="106"/>
    <x v="1"/>
    <s v="85-211-5357"/>
    <x v="180"/>
    <x v="39"/>
    <n v="1176"/>
    <n v="65"/>
    <n v="76"/>
    <x v="559"/>
    <n v="1.2894736842105263"/>
    <n v="12"/>
    <n v="1.66383701188455"/>
    <s v="9/27/2024"/>
    <s v="7/19/2024"/>
    <x v="879"/>
    <s v="96420 Briar Crest Lane"/>
    <n v="62"/>
    <n v="47"/>
    <x v="1"/>
    <n v="1176"/>
    <x v="1"/>
    <x v="1"/>
  </r>
  <r>
    <x v="880"/>
    <x v="106"/>
    <x v="1"/>
    <s v="71-300-8176"/>
    <x v="221"/>
    <x v="84"/>
    <n v="777.19999999999993"/>
    <n v="83"/>
    <n v="90"/>
    <x v="560"/>
    <n v="0.74444444444444446"/>
    <n v="11.6"/>
    <n v="1.137521222410866"/>
    <s v="10/27/2024"/>
    <s v="9/30/2024"/>
    <x v="880"/>
    <s v="374 Blue Bill Park Point"/>
    <n v="66"/>
    <n v="77"/>
    <x v="1"/>
    <n v="777.19999999999993"/>
    <x v="2"/>
    <x v="1"/>
  </r>
  <r>
    <x v="881"/>
    <x v="106"/>
    <x v="1"/>
    <s v="32-745-8366"/>
    <x v="235"/>
    <x v="29"/>
    <n v="1068"/>
    <n v="67"/>
    <n v="89"/>
    <x v="561"/>
    <n v="1"/>
    <n v="12"/>
    <n v="1.5110356536502547"/>
    <s v="2/14/2025"/>
    <d v="2025-05-01T00:00:00"/>
    <x v="881"/>
    <s v="22 Hudson Pass"/>
    <n v="96"/>
    <n v="42"/>
    <x v="0"/>
    <n v="1068"/>
    <x v="0"/>
    <x v="1"/>
  </r>
  <r>
    <x v="882"/>
    <x v="107"/>
    <x v="1"/>
    <s v="89-843-0880"/>
    <x v="273"/>
    <x v="76"/>
    <n v="450"/>
    <n v="44"/>
    <n v="96"/>
    <x v="562"/>
    <n v="0.26041666666666669"/>
    <n v="18"/>
    <n v="0.42444821731748728"/>
    <d v="2024-04-07T00:00:00"/>
    <d v="2024-09-03T00:00:00"/>
    <x v="882"/>
    <s v="8 Fremont Circle"/>
    <n v="36"/>
    <n v="16"/>
    <x v="1"/>
    <n v="450"/>
    <x v="2"/>
    <x v="0"/>
  </r>
  <r>
    <x v="883"/>
    <x v="107"/>
    <x v="1"/>
    <s v="33-898-6242"/>
    <x v="343"/>
    <x v="90"/>
    <n v="1044"/>
    <n v="77"/>
    <n v="96"/>
    <x v="562"/>
    <n v="0.60416666666666663"/>
    <n v="18"/>
    <n v="0.98471986417657054"/>
    <d v="2024-11-09T00:00:00"/>
    <s v="4/17/2024"/>
    <x v="883"/>
    <s v="46 Cardinal Way"/>
    <n v="25"/>
    <n v="17"/>
    <x v="0"/>
    <n v="1044"/>
    <x v="0"/>
    <x v="0"/>
  </r>
  <r>
    <x v="884"/>
    <x v="107"/>
    <x v="1"/>
    <s v="02-156-7270"/>
    <x v="310"/>
    <x v="48"/>
    <n v="1656"/>
    <n v="68"/>
    <n v="79"/>
    <x v="563"/>
    <n v="1.1645569620253164"/>
    <n v="18"/>
    <n v="1.5619694397283532"/>
    <s v="12/24/2024"/>
    <s v="8/18/2024"/>
    <x v="884"/>
    <s v="14 Talmadge Park"/>
    <n v="40"/>
    <n v="57"/>
    <x v="0"/>
    <n v="1656"/>
    <x v="0"/>
    <x v="0"/>
  </r>
  <r>
    <x v="885"/>
    <x v="107"/>
    <x v="1"/>
    <s v="61-222-8413"/>
    <x v="123"/>
    <x v="29"/>
    <n v="1602"/>
    <n v="95"/>
    <n v="41"/>
    <x v="564"/>
    <n v="2.1707317073170733"/>
    <n v="18"/>
    <n v="1.5110356536502547"/>
    <s v="9/24/2024"/>
    <d v="2024-06-07T00:00:00"/>
    <x v="885"/>
    <s v="239 Anderson Court"/>
    <n v="76"/>
    <n v="96"/>
    <x v="0"/>
    <n v="1602"/>
    <x v="0"/>
    <x v="0"/>
  </r>
  <r>
    <x v="886"/>
    <x v="107"/>
    <x v="1"/>
    <s v="72-649-3163"/>
    <x v="229"/>
    <x v="76"/>
    <n v="450"/>
    <n v="75"/>
    <n v="27"/>
    <x v="338"/>
    <n v="0.92592592592592593"/>
    <n v="18"/>
    <n v="0.42444821731748728"/>
    <d v="2025-02-01T00:00:00"/>
    <d v="2024-05-10T00:00:00"/>
    <x v="886"/>
    <s v="381 Rutledge Place"/>
    <n v="31"/>
    <n v="36"/>
    <x v="1"/>
    <n v="450"/>
    <x v="2"/>
    <x v="0"/>
  </r>
  <r>
    <x v="887"/>
    <x v="107"/>
    <x v="1"/>
    <s v="58-657-7257"/>
    <x v="39"/>
    <x v="6"/>
    <n v="666"/>
    <n v="33"/>
    <n v="80"/>
    <x v="565"/>
    <n v="0.46250000000000002"/>
    <n v="18"/>
    <n v="0.6281833616298812"/>
    <s v="12/21/2024"/>
    <d v="2024-10-05T00:00:00"/>
    <x v="887"/>
    <s v="11263 Kipling Hill"/>
    <n v="27"/>
    <n v="73"/>
    <x v="2"/>
    <n v="666"/>
    <x v="1"/>
    <x v="1"/>
  </r>
  <r>
    <x v="888"/>
    <x v="107"/>
    <x v="1"/>
    <s v="80-622-6587"/>
    <x v="261"/>
    <x v="86"/>
    <n v="288"/>
    <n v="34"/>
    <n v="89"/>
    <x v="566"/>
    <n v="0.1797752808988764"/>
    <n v="18"/>
    <n v="0.27164685908319186"/>
    <s v="12/26/2024"/>
    <s v="2/27/2024"/>
    <x v="888"/>
    <s v="811 Dapin Center"/>
    <n v="35"/>
    <n v="52"/>
    <x v="2"/>
    <n v="288"/>
    <x v="2"/>
    <x v="1"/>
  </r>
  <r>
    <x v="889"/>
    <x v="107"/>
    <x v="1"/>
    <s v="11-031-9939"/>
    <x v="226"/>
    <x v="12"/>
    <n v="1584"/>
    <n v="71"/>
    <n v="9"/>
    <x v="314"/>
    <n v="9.7777777777777786"/>
    <n v="18"/>
    <n v="1.4940577249575553"/>
    <s v="3/14/2024"/>
    <s v="12/28/2024"/>
    <x v="889"/>
    <s v="9440 Coleman Drive"/>
    <n v="28"/>
    <n v="14"/>
    <x v="2"/>
    <n v="1584"/>
    <x v="1"/>
    <x v="1"/>
  </r>
  <r>
    <x v="890"/>
    <x v="107"/>
    <x v="1"/>
    <s v="90-453-4096"/>
    <x v="53"/>
    <x v="10"/>
    <n v="1530"/>
    <n v="17"/>
    <n v="96"/>
    <x v="562"/>
    <n v="0.88541666666666663"/>
    <n v="18"/>
    <n v="1.4431239388794568"/>
    <d v="2024-05-11T00:00:00"/>
    <d v="2024-02-07T00:00:00"/>
    <x v="890"/>
    <s v="63787 Arkansas Street"/>
    <n v="92"/>
    <n v="34"/>
    <x v="0"/>
    <n v="1530"/>
    <x v="0"/>
    <x v="1"/>
  </r>
  <r>
    <x v="891"/>
    <x v="107"/>
    <x v="1"/>
    <s v="00-258-2525"/>
    <x v="315"/>
    <x v="69"/>
    <n v="1566"/>
    <n v="24"/>
    <n v="66"/>
    <x v="557"/>
    <n v="1.3181818181818181"/>
    <n v="18"/>
    <n v="1.4770797962648556"/>
    <s v="5/20/2024"/>
    <s v="11/24/2024"/>
    <x v="891"/>
    <s v="35 Waxwing Center"/>
    <n v="22"/>
    <n v="34"/>
    <x v="1"/>
    <n v="1566"/>
    <x v="1"/>
    <x v="1"/>
  </r>
  <r>
    <x v="892"/>
    <x v="108"/>
    <x v="6"/>
    <s v="14-325-9173"/>
    <x v="325"/>
    <x v="49"/>
    <n v="440"/>
    <n v="61"/>
    <n v="23"/>
    <x v="567"/>
    <n v="3.4782608695652173"/>
    <n v="5.5"/>
    <n v="1.3582342954159592"/>
    <s v="7/27/2024"/>
    <s v="7/31/2024"/>
    <x v="892"/>
    <s v="317 Anniversary Pass"/>
    <n v="63"/>
    <n v="75"/>
    <x v="2"/>
    <n v="440"/>
    <x v="1"/>
    <x v="0"/>
  </r>
  <r>
    <x v="893"/>
    <x v="108"/>
    <x v="6"/>
    <s v="66-174-9633"/>
    <x v="144"/>
    <x v="65"/>
    <n v="517"/>
    <n v="34"/>
    <n v="21"/>
    <x v="476"/>
    <n v="4.4761904761904763"/>
    <n v="5.5"/>
    <n v="1.5959252971137521"/>
    <s v="3/18/2024"/>
    <s v="3/20/2024"/>
    <x v="893"/>
    <s v="79 Ronald Regan Avenue"/>
    <n v="74"/>
    <n v="70"/>
    <x v="2"/>
    <n v="517"/>
    <x v="1"/>
    <x v="1"/>
  </r>
  <r>
    <x v="894"/>
    <x v="108"/>
    <x v="6"/>
    <s v="51-076-1164"/>
    <x v="97"/>
    <x v="29"/>
    <n v="489.5"/>
    <n v="22"/>
    <n v="23"/>
    <x v="567"/>
    <n v="3.8695652173913042"/>
    <n v="5.5"/>
    <n v="1.5110356536502547"/>
    <d v="2024-12-05T00:00:00"/>
    <s v="6/25/2024"/>
    <x v="894"/>
    <s v="88 Lighthouse Bay Crossing"/>
    <n v="83"/>
    <n v="25"/>
    <x v="0"/>
    <n v="489.5"/>
    <x v="0"/>
    <x v="1"/>
  </r>
  <r>
    <x v="895"/>
    <x v="109"/>
    <x v="4"/>
    <s v="11-096-4003"/>
    <x v="344"/>
    <x v="75"/>
    <n v="114"/>
    <n v="99"/>
    <n v="23"/>
    <x v="568"/>
    <n v="2.4782608695652173"/>
    <n v="2"/>
    <n v="0.967741935483871"/>
    <s v="7/25/2024"/>
    <s v="5/25/2024"/>
    <x v="895"/>
    <s v="5414 Linden Point"/>
    <n v="89"/>
    <n v="21"/>
    <x v="2"/>
    <n v="114"/>
    <x v="2"/>
    <x v="0"/>
  </r>
  <r>
    <x v="896"/>
    <x v="109"/>
    <x v="4"/>
    <s v="13-526-1392"/>
    <x v="196"/>
    <x v="63"/>
    <n v="140"/>
    <n v="96"/>
    <n v="21"/>
    <x v="130"/>
    <n v="3.3333333333333335"/>
    <n v="2"/>
    <n v="1.1884550084889645"/>
    <s v="11/26/2024"/>
    <d v="2024-10-09T00:00:00"/>
    <x v="896"/>
    <s v="05686 Golden Leaf Point"/>
    <n v="100"/>
    <n v="15"/>
    <x v="0"/>
    <n v="140"/>
    <x v="0"/>
    <x v="0"/>
  </r>
  <r>
    <x v="897"/>
    <x v="109"/>
    <x v="4"/>
    <s v="19-809-5654"/>
    <x v="148"/>
    <x v="4"/>
    <n v="150"/>
    <n v="61"/>
    <n v="19"/>
    <x v="569"/>
    <n v="3.9473684210526314"/>
    <n v="2"/>
    <n v="1.2733446519524618"/>
    <s v="2/23/2025"/>
    <s v="1/29/2025"/>
    <x v="897"/>
    <s v="29815 Bonner Trail"/>
    <n v="79"/>
    <n v="69"/>
    <x v="2"/>
    <n v="150"/>
    <x v="1"/>
    <x v="1"/>
  </r>
  <r>
    <x v="898"/>
    <x v="109"/>
    <x v="4"/>
    <s v="94-261-1193"/>
    <x v="170"/>
    <x v="50"/>
    <n v="36"/>
    <n v="72"/>
    <n v="71"/>
    <x v="496"/>
    <n v="0.25352112676056338"/>
    <n v="2"/>
    <n v="0.30560271646859083"/>
    <d v="2024-05-05T00:00:00"/>
    <d v="2024-12-08T00:00:00"/>
    <x v="898"/>
    <s v="5 Colorado Park"/>
    <n v="25"/>
    <n v="81"/>
    <x v="1"/>
    <n v="36"/>
    <x v="2"/>
    <x v="1"/>
  </r>
  <r>
    <x v="899"/>
    <x v="109"/>
    <x v="4"/>
    <s v="95-484-3134"/>
    <x v="258"/>
    <x v="40"/>
    <n v="46"/>
    <n v="71"/>
    <n v="32"/>
    <x v="229"/>
    <n v="0.71875"/>
    <n v="2"/>
    <n v="0.39049235993208831"/>
    <s v="4/14/2024"/>
    <s v="1/16/2025"/>
    <x v="899"/>
    <s v="95 Lerdahl Park"/>
    <n v="63"/>
    <n v="23"/>
    <x v="0"/>
    <n v="46"/>
    <x v="0"/>
    <x v="1"/>
  </r>
  <r>
    <x v="900"/>
    <x v="109"/>
    <x v="4"/>
    <s v="04-854-7165"/>
    <x v="85"/>
    <x v="19"/>
    <n v="102"/>
    <n v="87"/>
    <n v="86"/>
    <x v="570"/>
    <n v="0.59302325581395354"/>
    <n v="2"/>
    <n v="0.86587436332767409"/>
    <d v="2024-01-04T00:00:00"/>
    <s v="5/19/2024"/>
    <x v="900"/>
    <s v="03643 Oakridge Lane"/>
    <n v="24"/>
    <n v="83"/>
    <x v="2"/>
    <n v="102"/>
    <x v="2"/>
    <x v="1"/>
  </r>
  <r>
    <x v="901"/>
    <x v="109"/>
    <x v="4"/>
    <s v="48-538-8538"/>
    <x v="72"/>
    <x v="89"/>
    <n v="82"/>
    <n v="66"/>
    <n v="50"/>
    <x v="45"/>
    <n v="0.82"/>
    <n v="2"/>
    <n v="0.69609507640067914"/>
    <s v="2/18/2025"/>
    <s v="7/30/2024"/>
    <x v="901"/>
    <s v="74 Sugar Plaza"/>
    <n v="55"/>
    <n v="74"/>
    <x v="2"/>
    <n v="82"/>
    <x v="2"/>
    <x v="1"/>
  </r>
  <r>
    <x v="902"/>
    <x v="110"/>
    <x v="2"/>
    <s v="32-771-2617"/>
    <x v="339"/>
    <x v="4"/>
    <n v="225"/>
    <n v="10"/>
    <n v="68"/>
    <x v="470"/>
    <n v="1.1029411764705883"/>
    <n v="3"/>
    <n v="1.2733446519524618"/>
    <d v="2024-11-09T00:00:00"/>
    <d v="2025-10-01T00:00:00"/>
    <x v="902"/>
    <s v="0039 Shelley Place"/>
    <n v="90"/>
    <n v="42"/>
    <x v="1"/>
    <n v="225"/>
    <x v="1"/>
    <x v="0"/>
  </r>
  <r>
    <x v="903"/>
    <x v="110"/>
    <x v="2"/>
    <s v="55-156-6528"/>
    <x v="221"/>
    <x v="24"/>
    <n v="213"/>
    <n v="4"/>
    <n v="37"/>
    <x v="571"/>
    <n v="1.9189189189189189"/>
    <n v="3"/>
    <n v="1.2054329371816639"/>
    <s v="9/15/2024"/>
    <s v="10/24/2024"/>
    <x v="903"/>
    <s v="26240 Maple Wood Place"/>
    <n v="81"/>
    <n v="25"/>
    <x v="0"/>
    <n v="213"/>
    <x v="0"/>
    <x v="0"/>
  </r>
  <r>
    <x v="904"/>
    <x v="110"/>
    <x v="2"/>
    <s v="61-755-4469"/>
    <x v="85"/>
    <x v="40"/>
    <n v="69"/>
    <n v="85"/>
    <n v="94"/>
    <x v="280"/>
    <n v="0.24468085106382978"/>
    <n v="3"/>
    <n v="0.39049235993208831"/>
    <d v="2024-12-10T00:00:00"/>
    <s v="7/23/2024"/>
    <x v="904"/>
    <s v="848 Old Gate Parkway"/>
    <n v="92"/>
    <n v="72"/>
    <x v="2"/>
    <n v="69"/>
    <x v="2"/>
    <x v="0"/>
  </r>
  <r>
    <x v="905"/>
    <x v="110"/>
    <x v="2"/>
    <s v="26-860-4618"/>
    <x v="345"/>
    <x v="19"/>
    <n v="153"/>
    <n v="72"/>
    <n v="85"/>
    <x v="400"/>
    <n v="0.6"/>
    <n v="3"/>
    <n v="0.86587436332767409"/>
    <s v="3/23/2024"/>
    <s v="4/14/2024"/>
    <x v="905"/>
    <s v="16730 Luster Alley"/>
    <n v="23"/>
    <n v="17"/>
    <x v="1"/>
    <n v="153"/>
    <x v="2"/>
    <x v="1"/>
  </r>
  <r>
    <x v="906"/>
    <x v="110"/>
    <x v="2"/>
    <s v="96-393-1428"/>
    <x v="27"/>
    <x v="74"/>
    <n v="81"/>
    <n v="64"/>
    <n v="43"/>
    <x v="128"/>
    <n v="0.62790697674418605"/>
    <n v="3"/>
    <n v="0.45840407470288624"/>
    <s v="11/14/2024"/>
    <s v="11/30/2024"/>
    <x v="906"/>
    <s v="20 Nelson Way"/>
    <n v="70"/>
    <n v="58"/>
    <x v="0"/>
    <n v="81"/>
    <x v="0"/>
    <x v="1"/>
  </r>
  <r>
    <x v="907"/>
    <x v="110"/>
    <x v="2"/>
    <s v="72-013-2438"/>
    <x v="105"/>
    <x v="53"/>
    <n v="159"/>
    <n v="41"/>
    <n v="30"/>
    <x v="61"/>
    <n v="1.7666666666666666"/>
    <n v="3"/>
    <n v="0.89983022071307306"/>
    <s v="3/16/2024"/>
    <s v="1/13/2025"/>
    <x v="907"/>
    <s v="50687 Porter Park"/>
    <n v="24"/>
    <n v="77"/>
    <x v="0"/>
    <n v="159"/>
    <x v="0"/>
    <x v="1"/>
  </r>
  <r>
    <x v="908"/>
    <x v="110"/>
    <x v="2"/>
    <s v="23-688-6256"/>
    <x v="340"/>
    <x v="30"/>
    <n v="270"/>
    <n v="17"/>
    <n v="17"/>
    <x v="572"/>
    <n v="5.2941176470588234"/>
    <n v="3"/>
    <n v="1.5280135823429541"/>
    <s v="3/31/2024"/>
    <d v="2024-03-09T00:00:00"/>
    <x v="908"/>
    <s v="402 Kings Road"/>
    <n v="82"/>
    <n v="84"/>
    <x v="2"/>
    <n v="270"/>
    <x v="1"/>
    <x v="1"/>
  </r>
  <r>
    <x v="909"/>
    <x v="110"/>
    <x v="2"/>
    <s v="72-509-7548"/>
    <x v="0"/>
    <x v="3"/>
    <n v="39"/>
    <n v="88"/>
    <n v="11"/>
    <x v="283"/>
    <n v="1.1818181818181819"/>
    <n v="3"/>
    <n v="0.22071307300509338"/>
    <s v="11/19/2024"/>
    <d v="2024-05-05T00:00:00"/>
    <x v="909"/>
    <s v="4 Dakota Avenue"/>
    <n v="100"/>
    <n v="52"/>
    <x v="2"/>
    <n v="39"/>
    <x v="2"/>
    <x v="1"/>
  </r>
  <r>
    <x v="910"/>
    <x v="110"/>
    <x v="2"/>
    <s v="27-541-2645"/>
    <x v="12"/>
    <x v="90"/>
    <n v="174"/>
    <n v="12"/>
    <n v="99"/>
    <x v="573"/>
    <n v="0.58585858585858586"/>
    <n v="3"/>
    <n v="0.98471986417657054"/>
    <s v="1/22/2025"/>
    <d v="2025-12-01T00:00:00"/>
    <x v="910"/>
    <s v="00064 Mosinee Circle"/>
    <n v="71"/>
    <n v="30"/>
    <x v="1"/>
    <n v="174"/>
    <x v="1"/>
    <x v="1"/>
  </r>
  <r>
    <x v="911"/>
    <x v="111"/>
    <x v="5"/>
    <s v="48-884-5431"/>
    <x v="332"/>
    <x v="85"/>
    <n v="116"/>
    <n v="36"/>
    <n v="40"/>
    <x v="424"/>
    <n v="0.72499999999999998"/>
    <n v="4"/>
    <n v="0.49235993208828527"/>
    <d v="2024-08-11T00:00:00"/>
    <s v="3/30/2024"/>
    <x v="911"/>
    <s v="7 Spohn Avenue"/>
    <n v="60"/>
    <n v="96"/>
    <x v="2"/>
    <n v="116"/>
    <x v="2"/>
    <x v="0"/>
  </r>
  <r>
    <x v="912"/>
    <x v="111"/>
    <x v="5"/>
    <s v="08-141-2402"/>
    <x v="45"/>
    <x v="48"/>
    <n v="368"/>
    <n v="99"/>
    <n v="93"/>
    <x v="503"/>
    <n v="0.989247311827957"/>
    <n v="4"/>
    <n v="1.5619694397283532"/>
    <s v="2/19/2025"/>
    <s v="7/13/2024"/>
    <x v="912"/>
    <s v="554 Eliot Point"/>
    <n v="43"/>
    <n v="90"/>
    <x v="0"/>
    <n v="368"/>
    <x v="0"/>
    <x v="0"/>
  </r>
  <r>
    <x v="913"/>
    <x v="111"/>
    <x v="5"/>
    <s v="81-927-7236"/>
    <x v="153"/>
    <x v="5"/>
    <n v="304"/>
    <n v="81"/>
    <n v="85"/>
    <x v="574"/>
    <n v="0.89411764705882357"/>
    <n v="4"/>
    <n v="1.2903225806451613"/>
    <d v="2024-04-03T00:00:00"/>
    <d v="2024-10-12T00:00:00"/>
    <x v="913"/>
    <s v="069 Basil Center"/>
    <n v="65"/>
    <n v="68"/>
    <x v="1"/>
    <n v="304"/>
    <x v="2"/>
    <x v="1"/>
  </r>
  <r>
    <x v="914"/>
    <x v="111"/>
    <x v="5"/>
    <s v="80-068-0825"/>
    <x v="76"/>
    <x v="54"/>
    <n v="56"/>
    <n v="87"/>
    <n v="8"/>
    <x v="575"/>
    <n v="1.75"/>
    <n v="4"/>
    <n v="0.23769100169779286"/>
    <d v="2024-10-03T00:00:00"/>
    <d v="2024-11-11T00:00:00"/>
    <x v="914"/>
    <s v="4929 Westend Point"/>
    <n v="90"/>
    <n v="14"/>
    <x v="1"/>
    <n v="56"/>
    <x v="2"/>
    <x v="1"/>
  </r>
  <r>
    <x v="915"/>
    <x v="111"/>
    <x v="5"/>
    <s v="27-996-8883"/>
    <x v="169"/>
    <x v="39"/>
    <n v="401.79999999999995"/>
    <n v="24"/>
    <n v="4"/>
    <x v="576"/>
    <n v="24.5"/>
    <n v="4.0999999999999996"/>
    <n v="1.66383701188455"/>
    <d v="2024-08-03T00:00:00"/>
    <s v="12/21/2024"/>
    <x v="915"/>
    <s v="9 Meadow Ridge Center"/>
    <n v="89"/>
    <n v="80"/>
    <x v="1"/>
    <n v="401.79999999999995"/>
    <x v="1"/>
    <x v="1"/>
  </r>
  <r>
    <x v="916"/>
    <x v="111"/>
    <x v="5"/>
    <s v="45-923-7206"/>
    <x v="194"/>
    <x v="0"/>
    <n v="220"/>
    <n v="25"/>
    <n v="87"/>
    <x v="371"/>
    <n v="0.63218390804597702"/>
    <n v="4"/>
    <n v="0.93378607809847203"/>
    <s v="5/13/2024"/>
    <d v="2024-02-03T00:00:00"/>
    <x v="916"/>
    <s v="38726 Gina Pass"/>
    <n v="69"/>
    <n v="48"/>
    <x v="2"/>
    <n v="220"/>
    <x v="1"/>
    <x v="1"/>
  </r>
  <r>
    <x v="917"/>
    <x v="112"/>
    <x v="6"/>
    <s v="41-587-4864"/>
    <x v="212"/>
    <x v="48"/>
    <n v="230"/>
    <n v="87"/>
    <n v="84"/>
    <x v="33"/>
    <n v="1.0952380952380953"/>
    <n v="2.5"/>
    <n v="1.5619694397283532"/>
    <s v="10/19/2024"/>
    <s v="6/14/2024"/>
    <x v="917"/>
    <s v="4 Judy Hill"/>
    <n v="61"/>
    <n v="31"/>
    <x v="2"/>
    <n v="230"/>
    <x v="1"/>
    <x v="0"/>
  </r>
  <r>
    <x v="918"/>
    <x v="112"/>
    <x v="6"/>
    <s v="97-325-5889"/>
    <x v="18"/>
    <x v="22"/>
    <n v="232.5"/>
    <n v="76"/>
    <n v="82"/>
    <x v="577"/>
    <n v="1.1341463414634145"/>
    <n v="2.5"/>
    <n v="1.5789473684210527"/>
    <s v="5/25/2024"/>
    <s v="7/28/2024"/>
    <x v="918"/>
    <s v="84148 Prairie Rose Center"/>
    <n v="76"/>
    <n v="51"/>
    <x v="2"/>
    <n v="232.5"/>
    <x v="1"/>
    <x v="0"/>
  </r>
  <r>
    <x v="919"/>
    <x v="112"/>
    <x v="6"/>
    <s v="17-084-8551"/>
    <x v="97"/>
    <x v="45"/>
    <n v="140"/>
    <n v="62"/>
    <n v="64"/>
    <x v="424"/>
    <n v="0.875"/>
    <n v="2.5"/>
    <n v="0.95076400679117146"/>
    <s v="8/22/2024"/>
    <d v="2024-03-09T00:00:00"/>
    <x v="919"/>
    <s v="44638 Corscot Lane"/>
    <n v="56"/>
    <n v="73"/>
    <x v="2"/>
    <n v="140"/>
    <x v="2"/>
    <x v="0"/>
  </r>
  <r>
    <x v="920"/>
    <x v="112"/>
    <x v="6"/>
    <s v="15-739-5480"/>
    <x v="183"/>
    <x v="56"/>
    <n v="75"/>
    <n v="91"/>
    <n v="34"/>
    <x v="108"/>
    <n v="0.88235294117647056"/>
    <n v="2.5"/>
    <n v="0.50933786078098475"/>
    <d v="2024-11-07T00:00:00"/>
    <s v="11/18/2024"/>
    <x v="920"/>
    <s v="0 Saint Paul Center"/>
    <n v="97"/>
    <n v="88"/>
    <x v="1"/>
    <n v="75"/>
    <x v="2"/>
    <x v="0"/>
  </r>
  <r>
    <x v="921"/>
    <x v="112"/>
    <x v="6"/>
    <s v="56-439-3559"/>
    <x v="52"/>
    <x v="42"/>
    <n v="195"/>
    <n v="68"/>
    <n v="68"/>
    <x v="163"/>
    <n v="1.1470588235294117"/>
    <n v="2.5"/>
    <n v="1.3242784380305603"/>
    <d v="2024-12-09T00:00:00"/>
    <d v="2024-05-03T00:00:00"/>
    <x v="921"/>
    <s v="3 Monument Street"/>
    <n v="89"/>
    <n v="24"/>
    <x v="2"/>
    <n v="195"/>
    <x v="1"/>
    <x v="1"/>
  </r>
  <r>
    <x v="922"/>
    <x v="112"/>
    <x v="6"/>
    <s v="03-220-5535"/>
    <x v="35"/>
    <x v="88"/>
    <n v="180"/>
    <n v="20"/>
    <n v="71"/>
    <x v="234"/>
    <n v="1.0140845070422535"/>
    <n v="2.5"/>
    <n v="1.2224108658743633"/>
    <s v="6/29/2024"/>
    <s v="5/17/2024"/>
    <x v="922"/>
    <s v="21844 Artisan Trail"/>
    <n v="87"/>
    <n v="68"/>
    <x v="0"/>
    <n v="180"/>
    <x v="0"/>
    <x v="1"/>
  </r>
  <r>
    <x v="923"/>
    <x v="112"/>
    <x v="6"/>
    <s v="78-629-7560"/>
    <x v="134"/>
    <x v="66"/>
    <n v="152.5"/>
    <n v="77"/>
    <n v="45"/>
    <x v="578"/>
    <n v="1.3555555555555556"/>
    <n v="2.5"/>
    <n v="1.0356536502546689"/>
    <s v="3/21/2024"/>
    <s v="2/29/2024"/>
    <x v="923"/>
    <s v="5 Lyons Street"/>
    <n v="51"/>
    <n v="48"/>
    <x v="2"/>
    <n v="152.5"/>
    <x v="2"/>
    <x v="1"/>
  </r>
  <r>
    <x v="924"/>
    <x v="112"/>
    <x v="6"/>
    <s v="55-134-2668"/>
    <x v="16"/>
    <x v="33"/>
    <n v="155"/>
    <n v="49"/>
    <n v="38"/>
    <x v="32"/>
    <n v="1.631578947368421"/>
    <n v="2.5"/>
    <n v="1.0526315789473684"/>
    <s v="12/16/2024"/>
    <s v="5/29/2024"/>
    <x v="924"/>
    <s v="8 Merrick Lane"/>
    <n v="42"/>
    <n v="44"/>
    <x v="0"/>
    <n v="155"/>
    <x v="0"/>
    <x v="1"/>
  </r>
  <r>
    <x v="925"/>
    <x v="112"/>
    <x v="6"/>
    <s v="73-445-3017"/>
    <x v="115"/>
    <x v="31"/>
    <n v="105"/>
    <n v="88"/>
    <n v="95"/>
    <x v="579"/>
    <n v="0.44210526315789472"/>
    <n v="2.5"/>
    <n v="0.71307300509337868"/>
    <s v="3/28/2024"/>
    <s v="1/28/2025"/>
    <x v="925"/>
    <s v="4 Hagan Court"/>
    <n v="67"/>
    <n v="94"/>
    <x v="2"/>
    <n v="105"/>
    <x v="2"/>
    <x v="1"/>
  </r>
  <r>
    <x v="926"/>
    <x v="113"/>
    <x v="0"/>
    <s v="86-400-4155"/>
    <x v="341"/>
    <x v="43"/>
    <n v="36"/>
    <n v="20"/>
    <n v="56"/>
    <x v="580"/>
    <n v="0.35714285714285715"/>
    <n v="1.8"/>
    <n v="0.3395585738539898"/>
    <d v="2025-06-01T00:00:00"/>
    <d v="2024-01-06T00:00:00"/>
    <x v="926"/>
    <s v="80930 Briar Crest Point"/>
    <n v="62"/>
    <n v="69"/>
    <x v="2"/>
    <n v="36"/>
    <x v="1"/>
    <x v="0"/>
  </r>
  <r>
    <x v="927"/>
    <x v="113"/>
    <x v="0"/>
    <s v="38-330-5543"/>
    <x v="4"/>
    <x v="50"/>
    <n v="32.4"/>
    <n v="86"/>
    <n v="20"/>
    <x v="169"/>
    <n v="0.9"/>
    <n v="1.8"/>
    <n v="0.30560271646859083"/>
    <s v="12/26/2024"/>
    <d v="2024-04-12T00:00:00"/>
    <x v="927"/>
    <s v="1 Hollow Ridge Park"/>
    <n v="64"/>
    <n v="34"/>
    <x v="0"/>
    <n v="32.4"/>
    <x v="0"/>
    <x v="1"/>
  </r>
  <r>
    <x v="928"/>
    <x v="113"/>
    <x v="0"/>
    <s v="30-853-8580"/>
    <x v="1"/>
    <x v="1"/>
    <n v="97.2"/>
    <n v="53"/>
    <n v="33"/>
    <x v="581"/>
    <n v="1.6363636363636365"/>
    <n v="1.8"/>
    <n v="0.91680814940577249"/>
    <d v="2024-07-04T00:00:00"/>
    <s v="1/17/2025"/>
    <x v="928"/>
    <s v="18 Comanche Junction"/>
    <n v="94"/>
    <n v="82"/>
    <x v="2"/>
    <n v="97.2"/>
    <x v="1"/>
    <x v="1"/>
  </r>
  <r>
    <x v="929"/>
    <x v="113"/>
    <x v="0"/>
    <s v="57-774-4116"/>
    <x v="261"/>
    <x v="49"/>
    <n v="144"/>
    <n v="86"/>
    <n v="50"/>
    <x v="61"/>
    <n v="1.6"/>
    <n v="1.8"/>
    <n v="1.3582342954159592"/>
    <d v="2024-05-05T00:00:00"/>
    <s v="7/22/2024"/>
    <x v="929"/>
    <s v="3053 Sachs Center"/>
    <n v="46"/>
    <n v="69"/>
    <x v="0"/>
    <n v="144"/>
    <x v="0"/>
    <x v="1"/>
  </r>
  <r>
    <x v="930"/>
    <x v="114"/>
    <x v="0"/>
    <s v="56-092-7992"/>
    <x v="296"/>
    <x v="83"/>
    <n v="182"/>
    <n v="98"/>
    <n v="6"/>
    <x v="133"/>
    <n v="15.166666666666666"/>
    <n v="2"/>
    <n v="1.5449915110356538"/>
    <s v="10/19/2024"/>
    <d v="2024-11-12T00:00:00"/>
    <x v="930"/>
    <s v="61932 Cascade Crossing"/>
    <n v="100"/>
    <n v="20"/>
    <x v="2"/>
    <n v="182"/>
    <x v="2"/>
    <x v="0"/>
  </r>
  <r>
    <x v="931"/>
    <x v="114"/>
    <x v="0"/>
    <s v="38-883-3382"/>
    <x v="107"/>
    <x v="41"/>
    <n v="130"/>
    <n v="61"/>
    <n v="82"/>
    <x v="582"/>
    <n v="0.79268292682926833"/>
    <n v="2"/>
    <n v="1.1035653650254669"/>
    <s v="5/31/2024"/>
    <d v="2025-08-02T00:00:00"/>
    <x v="931"/>
    <s v="7834 Cordelia Alley"/>
    <n v="29"/>
    <n v="11"/>
    <x v="2"/>
    <n v="130"/>
    <x v="1"/>
    <x v="0"/>
  </r>
  <r>
    <x v="932"/>
    <x v="114"/>
    <x v="0"/>
    <s v="59-849-9942"/>
    <x v="166"/>
    <x v="79"/>
    <n v="94"/>
    <n v="7"/>
    <n v="63"/>
    <x v="239"/>
    <n v="0.74603174603174605"/>
    <n v="2"/>
    <n v="0.79796264855687604"/>
    <s v="5/18/2024"/>
    <s v="9/20/2024"/>
    <x v="932"/>
    <s v="6 Nobel Junction"/>
    <n v="29"/>
    <n v="20"/>
    <x v="2"/>
    <n v="94"/>
    <x v="1"/>
    <x v="0"/>
  </r>
  <r>
    <x v="933"/>
    <x v="114"/>
    <x v="0"/>
    <s v="57-202-5756"/>
    <x v="63"/>
    <x v="55"/>
    <n v="48"/>
    <n v="69"/>
    <n v="2"/>
    <x v="172"/>
    <n v="12"/>
    <n v="2"/>
    <n v="0.40747028862478779"/>
    <d v="2024-05-10T00:00:00"/>
    <s v="4/13/2024"/>
    <x v="933"/>
    <s v="1309 Elka Junction"/>
    <n v="20"/>
    <n v="20"/>
    <x v="2"/>
    <n v="48"/>
    <x v="2"/>
    <x v="0"/>
  </r>
  <r>
    <x v="934"/>
    <x v="114"/>
    <x v="0"/>
    <s v="82-266-1796"/>
    <x v="265"/>
    <x v="54"/>
    <n v="28"/>
    <n v="16"/>
    <n v="93"/>
    <x v="583"/>
    <n v="0.15053763440860216"/>
    <n v="2"/>
    <n v="0.23769100169779286"/>
    <s v="7/23/2024"/>
    <d v="2024-03-03T00:00:00"/>
    <x v="934"/>
    <s v="083 Gulseth Pass"/>
    <n v="39"/>
    <n v="30"/>
    <x v="1"/>
    <n v="28"/>
    <x v="2"/>
    <x v="0"/>
  </r>
  <r>
    <x v="935"/>
    <x v="114"/>
    <x v="0"/>
    <s v="27-060-9944"/>
    <x v="288"/>
    <x v="74"/>
    <n v="54"/>
    <n v="64"/>
    <n v="78"/>
    <x v="429"/>
    <n v="0.34615384615384615"/>
    <n v="2"/>
    <n v="0.45840407470288624"/>
    <s v="8/17/2024"/>
    <d v="2024-04-05T00:00:00"/>
    <x v="935"/>
    <s v="322 Birchwood Center"/>
    <n v="57"/>
    <n v="4"/>
    <x v="1"/>
    <n v="54"/>
    <x v="2"/>
    <x v="1"/>
  </r>
  <r>
    <x v="936"/>
    <x v="114"/>
    <x v="0"/>
    <s v="41-644-3129"/>
    <x v="282"/>
    <x v="3"/>
    <n v="26"/>
    <n v="32"/>
    <n v="79"/>
    <x v="584"/>
    <n v="0.16455696202531644"/>
    <n v="2"/>
    <n v="0.22071307300509338"/>
    <d v="2024-07-05T00:00:00"/>
    <s v="2/16/2025"/>
    <x v="936"/>
    <s v="2693 6th Court"/>
    <n v="38"/>
    <n v="61"/>
    <x v="0"/>
    <n v="26"/>
    <x v="0"/>
    <x v="1"/>
  </r>
  <r>
    <x v="937"/>
    <x v="114"/>
    <x v="0"/>
    <s v="94-186-9620"/>
    <x v="244"/>
    <x v="31"/>
    <n v="84"/>
    <n v="12"/>
    <n v="28"/>
    <x v="317"/>
    <n v="1.5"/>
    <n v="2"/>
    <n v="0.71307300509337868"/>
    <d v="2024-10-03T00:00:00"/>
    <d v="2024-01-04T00:00:00"/>
    <x v="937"/>
    <s v="160 Crowley Center"/>
    <n v="80"/>
    <n v="8"/>
    <x v="0"/>
    <n v="84"/>
    <x v="0"/>
    <x v="1"/>
  </r>
  <r>
    <x v="938"/>
    <x v="114"/>
    <x v="0"/>
    <s v="41-007-0132"/>
    <x v="219"/>
    <x v="58"/>
    <n v="78"/>
    <n v="83"/>
    <n v="21"/>
    <x v="130"/>
    <n v="1.8571428571428572"/>
    <n v="2"/>
    <n v="0.66213921901528017"/>
    <s v="12/31/2024"/>
    <s v="4/23/2024"/>
    <x v="938"/>
    <s v="01 Hansons Crossing"/>
    <n v="73"/>
    <n v="88"/>
    <x v="1"/>
    <n v="78"/>
    <x v="2"/>
    <x v="1"/>
  </r>
  <r>
    <x v="939"/>
    <x v="114"/>
    <x v="0"/>
    <s v="45-602-6533"/>
    <x v="52"/>
    <x v="85"/>
    <n v="58"/>
    <n v="54"/>
    <n v="54"/>
    <x v="248"/>
    <n v="0.53703703703703709"/>
    <n v="2"/>
    <n v="0.49235993208828527"/>
    <s v="10/27/2024"/>
    <s v="2/24/2025"/>
    <x v="939"/>
    <s v="185 Saint Paul Road"/>
    <n v="58"/>
    <n v="63"/>
    <x v="2"/>
    <n v="58"/>
    <x v="2"/>
    <x v="1"/>
  </r>
  <r>
    <x v="940"/>
    <x v="114"/>
    <x v="0"/>
    <s v="68-415-1025"/>
    <x v="314"/>
    <x v="27"/>
    <n v="76"/>
    <n v="82"/>
    <n v="17"/>
    <x v="585"/>
    <n v="2.2352941176470589"/>
    <n v="2"/>
    <n v="0.64516129032258063"/>
    <s v="12/29/2024"/>
    <s v="3/21/2024"/>
    <x v="940"/>
    <s v="642 Arizona Point"/>
    <n v="52"/>
    <n v="47"/>
    <x v="0"/>
    <n v="76"/>
    <x v="0"/>
    <x v="1"/>
  </r>
  <r>
    <x v="941"/>
    <x v="115"/>
    <x v="3"/>
    <s v="73-069-2753"/>
    <x v="299"/>
    <x v="51"/>
    <n v="2475"/>
    <n v="87"/>
    <n v="10"/>
    <x v="116"/>
    <n v="9.9"/>
    <n v="25"/>
    <n v="1.6808149405772497"/>
    <d v="2024-08-12T00:00:00"/>
    <s v="2/29/2024"/>
    <x v="941"/>
    <s v="5756 Stephen Avenue"/>
    <n v="93"/>
    <n v="70"/>
    <x v="1"/>
    <n v="2475"/>
    <x v="1"/>
    <x v="0"/>
  </r>
  <r>
    <x v="942"/>
    <x v="115"/>
    <x v="3"/>
    <s v="01-308-0960"/>
    <x v="62"/>
    <x v="38"/>
    <n v="900"/>
    <n v="90"/>
    <n v="57"/>
    <x v="586"/>
    <n v="0.63157894736842102"/>
    <n v="25"/>
    <n v="0.61120543293718166"/>
    <d v="2024-11-12T00:00:00"/>
    <d v="2024-07-08T00:00:00"/>
    <x v="942"/>
    <s v="95261 Morningstar Way"/>
    <n v="35"/>
    <n v="68"/>
    <x v="2"/>
    <n v="900"/>
    <x v="2"/>
    <x v="0"/>
  </r>
  <r>
    <x v="943"/>
    <x v="115"/>
    <x v="3"/>
    <s v="85-932-1011"/>
    <x v="332"/>
    <x v="2"/>
    <n v="1275"/>
    <n v="100"/>
    <n v="91"/>
    <x v="587"/>
    <n v="0.5494505494505495"/>
    <n v="25.5"/>
    <n v="0.84889643463497455"/>
    <s v="12/28/2024"/>
    <s v="7/17/2024"/>
    <x v="943"/>
    <s v="509 Waywood Center"/>
    <n v="29"/>
    <n v="31"/>
    <x v="1"/>
    <n v="1275"/>
    <x v="2"/>
    <x v="0"/>
  </r>
  <r>
    <x v="944"/>
    <x v="115"/>
    <x v="3"/>
    <s v="52-744-6162"/>
    <x v="133"/>
    <x v="43"/>
    <n v="500"/>
    <n v="43"/>
    <n v="43"/>
    <x v="588"/>
    <n v="0.46511627906976744"/>
    <n v="25"/>
    <n v="0.3395585738539898"/>
    <d v="2025-07-01T00:00:00"/>
    <s v="2/27/2024"/>
    <x v="944"/>
    <s v="04 Mesta Parkway"/>
    <n v="73"/>
    <n v="6"/>
    <x v="1"/>
    <n v="500"/>
    <x v="2"/>
    <x v="0"/>
  </r>
  <r>
    <x v="945"/>
    <x v="115"/>
    <x v="3"/>
    <s v="21-156-0102"/>
    <x v="123"/>
    <x v="90"/>
    <n v="1450"/>
    <n v="81"/>
    <n v="66"/>
    <x v="589"/>
    <n v="0.87878787878787878"/>
    <n v="25"/>
    <n v="0.98471986417657054"/>
    <s v="6/24/2024"/>
    <s v="2/13/2025"/>
    <x v="945"/>
    <s v="339 Crescent Oaks Plaza"/>
    <n v="85"/>
    <n v="78"/>
    <x v="1"/>
    <n v="1450"/>
    <x v="2"/>
    <x v="0"/>
  </r>
  <r>
    <x v="946"/>
    <x v="115"/>
    <x v="3"/>
    <s v="64-831-3071"/>
    <x v="44"/>
    <x v="14"/>
    <n v="1518"/>
    <n v="27"/>
    <n v="58"/>
    <x v="590"/>
    <n v="1.0344827586206897"/>
    <n v="25.3"/>
    <n v="1.0186757215619695"/>
    <s v="12/26/2024"/>
    <s v="6/27/2024"/>
    <x v="946"/>
    <s v="9559 Muir Trail"/>
    <n v="43"/>
    <n v="91"/>
    <x v="1"/>
    <n v="1518"/>
    <x v="1"/>
    <x v="1"/>
  </r>
  <r>
    <x v="947"/>
    <x v="115"/>
    <x v="3"/>
    <s v="96-405-4286"/>
    <x v="205"/>
    <x v="33"/>
    <n v="1550"/>
    <n v="31"/>
    <n v="24"/>
    <x v="591"/>
    <n v="2.5833333333333335"/>
    <n v="25"/>
    <n v="1.0526315789473684"/>
    <s v="4/30/2024"/>
    <d v="2024-10-06T00:00:00"/>
    <x v="947"/>
    <s v="99 Duke Lane"/>
    <n v="89"/>
    <n v="100"/>
    <x v="2"/>
    <n v="1550"/>
    <x v="1"/>
    <x v="1"/>
  </r>
  <r>
    <x v="948"/>
    <x v="115"/>
    <x v="3"/>
    <s v="56-965-0404"/>
    <x v="267"/>
    <x v="83"/>
    <n v="2275"/>
    <n v="78"/>
    <n v="61"/>
    <x v="592"/>
    <n v="1.4918032786885247"/>
    <n v="25"/>
    <n v="1.5449915110356538"/>
    <d v="2024-05-05T00:00:00"/>
    <s v="10/27/2024"/>
    <x v="948"/>
    <s v="5501 Fuller Way"/>
    <n v="63"/>
    <n v="15"/>
    <x v="2"/>
    <n v="2275"/>
    <x v="1"/>
    <x v="1"/>
  </r>
  <r>
    <x v="949"/>
    <x v="115"/>
    <x v="3"/>
    <s v="52-130-3457"/>
    <x v="346"/>
    <x v="13"/>
    <n v="2025"/>
    <n v="83"/>
    <n v="36"/>
    <x v="93"/>
    <n v="2.25"/>
    <n v="25"/>
    <n v="1.3752122241086588"/>
    <s v="10/26/2024"/>
    <d v="2025-07-01T00:00:00"/>
    <x v="949"/>
    <s v="38 Banding Lane"/>
    <n v="74"/>
    <n v="86"/>
    <x v="2"/>
    <n v="2025"/>
    <x v="2"/>
    <x v="1"/>
  </r>
  <r>
    <x v="950"/>
    <x v="115"/>
    <x v="3"/>
    <s v="34-303-5097"/>
    <x v="115"/>
    <x v="72"/>
    <n v="883.75"/>
    <n v="20"/>
    <n v="42"/>
    <x v="593"/>
    <n v="0.83333333333333337"/>
    <n v="25.25"/>
    <n v="0.59422750424448223"/>
    <s v="6/30/2024"/>
    <d v="2024-05-08T00:00:00"/>
    <x v="950"/>
    <s v="9623 Cottonwood Park"/>
    <n v="53"/>
    <n v="56"/>
    <x v="0"/>
    <n v="883.75"/>
    <x v="0"/>
    <x v="1"/>
  </r>
  <r>
    <x v="951"/>
    <x v="116"/>
    <x v="6"/>
    <s v="49-247-1217"/>
    <x v="177"/>
    <x v="25"/>
    <n v="59.5"/>
    <n v="63"/>
    <n v="3"/>
    <x v="132"/>
    <n v="5.666666666666667"/>
    <n v="3.5"/>
    <n v="0.28862478777589134"/>
    <d v="2024-02-08T00:00:00"/>
    <s v="8/24/2024"/>
    <x v="951"/>
    <s v="46 Delaware Place"/>
    <n v="93"/>
    <n v="26"/>
    <x v="2"/>
    <n v="59.5"/>
    <x v="2"/>
    <x v="1"/>
  </r>
  <r>
    <x v="952"/>
    <x v="116"/>
    <x v="6"/>
    <s v="22-083-3504"/>
    <x v="303"/>
    <x v="83"/>
    <n v="318.5"/>
    <n v="71"/>
    <n v="17"/>
    <x v="26"/>
    <n v="5.3529411764705879"/>
    <n v="3.5"/>
    <n v="1.5449915110356538"/>
    <d v="2025-10-01T00:00:00"/>
    <d v="2024-01-08T00:00:00"/>
    <x v="952"/>
    <s v="31208 Westerfield Way"/>
    <n v="74"/>
    <n v="57"/>
    <x v="1"/>
    <n v="318.5"/>
    <x v="1"/>
    <x v="1"/>
  </r>
  <r>
    <x v="953"/>
    <x v="116"/>
    <x v="6"/>
    <s v="34-738-1209"/>
    <x v="151"/>
    <x v="38"/>
    <n v="126"/>
    <n v="53"/>
    <n v="92"/>
    <x v="28"/>
    <n v="0.39130434782608697"/>
    <n v="3.5"/>
    <n v="0.61120543293718166"/>
    <d v="2024-07-07T00:00:00"/>
    <d v="2024-01-06T00:00:00"/>
    <x v="953"/>
    <s v="657 Texas Street"/>
    <n v="67"/>
    <n v="43"/>
    <x v="2"/>
    <n v="126"/>
    <x v="2"/>
    <x v="1"/>
  </r>
  <r>
    <x v="954"/>
    <x v="116"/>
    <x v="6"/>
    <s v="53-799-3174"/>
    <x v="16"/>
    <x v="90"/>
    <n v="203"/>
    <n v="48"/>
    <n v="9"/>
    <x v="594"/>
    <n v="6.4444444444444446"/>
    <n v="3.5"/>
    <n v="0.98471986417657054"/>
    <d v="2024-07-12T00:00:00"/>
    <d v="2024-03-08T00:00:00"/>
    <x v="954"/>
    <s v="8524 Shelley Way"/>
    <n v="98"/>
    <n v="69"/>
    <x v="1"/>
    <n v="203"/>
    <x v="1"/>
    <x v="1"/>
  </r>
  <r>
    <x v="955"/>
    <x v="117"/>
    <x v="0"/>
    <s v="70-212-0990"/>
    <x v="146"/>
    <x v="84"/>
    <n v="184.25"/>
    <n v="60"/>
    <n v="21"/>
    <x v="595"/>
    <n v="3.1904761904761907"/>
    <n v="2.75"/>
    <n v="1.137521222410866"/>
    <d v="2024-03-04T00:00:00"/>
    <s v="5/20/2024"/>
    <x v="955"/>
    <s v="759 Waywood Court"/>
    <n v="30"/>
    <n v="6"/>
    <x v="1"/>
    <n v="184.25"/>
    <x v="1"/>
    <x v="0"/>
  </r>
  <r>
    <x v="956"/>
    <x v="117"/>
    <x v="0"/>
    <s v="26-080-4944"/>
    <x v="2"/>
    <x v="89"/>
    <n v="108.64999999999999"/>
    <n v="76"/>
    <n v="47"/>
    <x v="596"/>
    <n v="0.87234042553191493"/>
    <n v="2.65"/>
    <n v="0.69609507640067914"/>
    <s v="9/15/2024"/>
    <s v="4/20/2024"/>
    <x v="956"/>
    <s v="78 Forest Dale Road"/>
    <n v="50"/>
    <n v="50"/>
    <x v="2"/>
    <n v="108.64999999999999"/>
    <x v="2"/>
    <x v="1"/>
  </r>
  <r>
    <x v="957"/>
    <x v="117"/>
    <x v="0"/>
    <s v="22-050-5775"/>
    <x v="334"/>
    <x v="57"/>
    <n v="225.5"/>
    <n v="67"/>
    <n v="67"/>
    <x v="597"/>
    <n v="1.2238805970149254"/>
    <n v="2.75"/>
    <n v="1.3921901528013583"/>
    <s v="3/25/2024"/>
    <d v="2024-07-07T00:00:00"/>
    <x v="957"/>
    <s v="5 Fisk Point"/>
    <n v="26"/>
    <n v="1"/>
    <x v="2"/>
    <n v="225.5"/>
    <x v="1"/>
    <x v="1"/>
  </r>
  <r>
    <x v="958"/>
    <x v="117"/>
    <x v="0"/>
    <s v="43-979-2253"/>
    <x v="0"/>
    <x v="27"/>
    <n v="102.60000000000001"/>
    <n v="43"/>
    <n v="28"/>
    <x v="598"/>
    <n v="1.3571428571428572"/>
    <n v="2.7"/>
    <n v="0.64516129032258063"/>
    <d v="2024-01-10T00:00:00"/>
    <s v="7/26/2024"/>
    <x v="958"/>
    <s v="21343 Brentwood Circle"/>
    <n v="34"/>
    <n v="54"/>
    <x v="2"/>
    <n v="102.60000000000001"/>
    <x v="2"/>
    <x v="1"/>
  </r>
  <r>
    <x v="959"/>
    <x v="117"/>
    <x v="0"/>
    <s v="40-070-5881"/>
    <x v="96"/>
    <x v="70"/>
    <n v="162.25"/>
    <n v="73"/>
    <n v="86"/>
    <x v="311"/>
    <n v="0.68604651162790697"/>
    <n v="2.75"/>
    <n v="1.0016977928692701"/>
    <s v="2/13/2025"/>
    <d v="2025-01-01T00:00:00"/>
    <x v="959"/>
    <s v="78919 East Crossing"/>
    <n v="32"/>
    <n v="56"/>
    <x v="2"/>
    <n v="162.25"/>
    <x v="2"/>
    <x v="1"/>
  </r>
  <r>
    <x v="960"/>
    <x v="117"/>
    <x v="0"/>
    <s v="48-557-5036"/>
    <x v="15"/>
    <x v="14"/>
    <n v="165"/>
    <n v="69"/>
    <n v="64"/>
    <x v="526"/>
    <n v="0.9375"/>
    <n v="2.75"/>
    <n v="1.0186757215619695"/>
    <s v="2/23/2025"/>
    <d v="2024-09-03T00:00:00"/>
    <x v="960"/>
    <s v="46 Orin Drive"/>
    <n v="51"/>
    <n v="6"/>
    <x v="1"/>
    <n v="165"/>
    <x v="2"/>
    <x v="1"/>
  </r>
  <r>
    <x v="961"/>
    <x v="117"/>
    <x v="0"/>
    <s v="99-455-0707"/>
    <x v="173"/>
    <x v="58"/>
    <n v="107.25"/>
    <n v="53"/>
    <n v="64"/>
    <x v="526"/>
    <n v="0.609375"/>
    <n v="2.75"/>
    <n v="0.66213921901528017"/>
    <s v="6/22/2024"/>
    <d v="2024-02-07T00:00:00"/>
    <x v="961"/>
    <s v="11 Thackeray Hill"/>
    <n v="92"/>
    <n v="8"/>
    <x v="1"/>
    <n v="107.25"/>
    <x v="2"/>
    <x v="1"/>
  </r>
  <r>
    <x v="962"/>
    <x v="117"/>
    <x v="0"/>
    <s v="41-881-1166"/>
    <x v="233"/>
    <x v="20"/>
    <n v="236.5"/>
    <n v="100"/>
    <n v="78"/>
    <x v="308"/>
    <n v="1.1025641025641026"/>
    <n v="2.75"/>
    <n v="1.4601018675721562"/>
    <d v="2024-06-04T00:00:00"/>
    <s v="5/28/2024"/>
    <x v="962"/>
    <s v="0 Moose Lane"/>
    <n v="52"/>
    <n v="91"/>
    <x v="2"/>
    <n v="236.5"/>
    <x v="2"/>
    <x v="1"/>
  </r>
  <r>
    <x v="963"/>
    <x v="118"/>
    <x v="0"/>
    <s v="54-749-3622"/>
    <x v="178"/>
    <x v="36"/>
    <n v="460"/>
    <n v="6"/>
    <n v="64"/>
    <x v="227"/>
    <n v="0.71875"/>
    <n v="10"/>
    <n v="0.78098471986417661"/>
    <s v="7/23/2024"/>
    <s v="6/23/2024"/>
    <x v="963"/>
    <s v="022 Prairie Rose Drive"/>
    <n v="63"/>
    <n v="29"/>
    <x v="0"/>
    <n v="460"/>
    <x v="0"/>
    <x v="0"/>
  </r>
  <r>
    <x v="964"/>
    <x v="118"/>
    <x v="0"/>
    <s v="56-231-2524"/>
    <x v="132"/>
    <x v="60"/>
    <n v="260"/>
    <n v="21"/>
    <n v="47"/>
    <x v="119"/>
    <n v="0.55319148936170215"/>
    <n v="10"/>
    <n v="0.44142614601018676"/>
    <d v="2024-03-08T00:00:00"/>
    <s v="8/16/2024"/>
    <x v="964"/>
    <s v="5 Toban Circle"/>
    <n v="40"/>
    <n v="59"/>
    <x v="0"/>
    <n v="260"/>
    <x v="0"/>
    <x v="0"/>
  </r>
  <r>
    <x v="965"/>
    <x v="118"/>
    <x v="0"/>
    <s v="85-594-2570"/>
    <x v="136"/>
    <x v="71"/>
    <n v="190"/>
    <n v="77"/>
    <n v="66"/>
    <x v="599"/>
    <n v="0.2878787878787879"/>
    <n v="10"/>
    <n v="0.32258064516129031"/>
    <d v="2024-07-11T00:00:00"/>
    <s v="2/16/2025"/>
    <x v="965"/>
    <s v="72 Crownhardt Circle"/>
    <n v="62"/>
    <n v="100"/>
    <x v="1"/>
    <n v="190"/>
    <x v="2"/>
    <x v="1"/>
  </r>
  <r>
    <x v="966"/>
    <x v="118"/>
    <x v="0"/>
    <s v="29-821-5359"/>
    <x v="249"/>
    <x v="90"/>
    <n v="580"/>
    <n v="24"/>
    <n v="25"/>
    <x v="116"/>
    <n v="2.3199999999999998"/>
    <n v="10"/>
    <n v="0.98471986417657054"/>
    <s v="8/24/2024"/>
    <s v="11/17/2024"/>
    <x v="966"/>
    <s v="3 Hermina Circle"/>
    <n v="75"/>
    <n v="26"/>
    <x v="1"/>
    <n v="580"/>
    <x v="1"/>
    <x v="1"/>
  </r>
  <r>
    <x v="967"/>
    <x v="118"/>
    <x v="0"/>
    <s v="11-005-7835"/>
    <x v="347"/>
    <x v="89"/>
    <n v="399.75"/>
    <n v="56"/>
    <n v="12"/>
    <x v="315"/>
    <n v="3.4166666666666665"/>
    <n v="9.75"/>
    <n v="0.69609507640067914"/>
    <d v="2024-06-05T00:00:00"/>
    <s v="11/25/2024"/>
    <x v="967"/>
    <s v="84 Rusk Terrace"/>
    <n v="93"/>
    <n v="88"/>
    <x v="1"/>
    <n v="399.75"/>
    <x v="2"/>
    <x v="1"/>
  </r>
  <r>
    <x v="968"/>
    <x v="118"/>
    <x v="0"/>
    <s v="35-979-6839"/>
    <x v="258"/>
    <x v="39"/>
    <n v="980"/>
    <n v="30"/>
    <n v="39"/>
    <x v="18"/>
    <n v="2.5128205128205128"/>
    <n v="10"/>
    <n v="1.66383701188455"/>
    <s v="11/25/2024"/>
    <s v="4/14/2024"/>
    <x v="968"/>
    <s v="652 High Crossing Lane"/>
    <n v="31"/>
    <n v="26"/>
    <x v="1"/>
    <n v="980"/>
    <x v="1"/>
    <x v="1"/>
  </r>
  <r>
    <x v="969"/>
    <x v="118"/>
    <x v="0"/>
    <s v="89-574-3430"/>
    <x v="103"/>
    <x v="88"/>
    <n v="702"/>
    <n v="82"/>
    <n v="52"/>
    <x v="600"/>
    <n v="1.3846153846153846"/>
    <n v="9.75"/>
    <n v="1.2224108658743633"/>
    <d v="2024-03-08T00:00:00"/>
    <d v="2024-09-07T00:00:00"/>
    <x v="969"/>
    <s v="8569 Bashford Court"/>
    <n v="51"/>
    <n v="95"/>
    <x v="2"/>
    <n v="702"/>
    <x v="2"/>
    <x v="1"/>
  </r>
  <r>
    <x v="970"/>
    <x v="118"/>
    <x v="0"/>
    <s v="96-177-4040"/>
    <x v="103"/>
    <x v="87"/>
    <n v="320"/>
    <n v="91"/>
    <n v="80"/>
    <x v="214"/>
    <n v="0.4"/>
    <n v="10"/>
    <n v="0.54329371816638372"/>
    <s v="10/18/2024"/>
    <s v="8/28/2024"/>
    <x v="970"/>
    <s v="77 Monument Court"/>
    <n v="69"/>
    <n v="80"/>
    <x v="0"/>
    <n v="320"/>
    <x v="0"/>
    <x v="1"/>
  </r>
  <r>
    <x v="971"/>
    <x v="119"/>
    <x v="5"/>
    <s v="04-313-0298"/>
    <x v="225"/>
    <x v="70"/>
    <n v="103.25"/>
    <n v="27"/>
    <n v="63"/>
    <x v="601"/>
    <n v="0.93650793650793651"/>
    <n v="1.75"/>
    <n v="1.0016977928692701"/>
    <s v="6/15/2024"/>
    <s v="6/27/2024"/>
    <x v="971"/>
    <s v="6211 Hanson Terrace"/>
    <n v="92"/>
    <n v="82"/>
    <x v="0"/>
    <n v="103.25"/>
    <x v="0"/>
    <x v="0"/>
  </r>
  <r>
    <x v="972"/>
    <x v="119"/>
    <x v="5"/>
    <s v="18-743-4684"/>
    <x v="220"/>
    <x v="5"/>
    <n v="133"/>
    <n v="98"/>
    <n v="41"/>
    <x v="602"/>
    <n v="1.8536585365853659"/>
    <n v="1.75"/>
    <n v="1.2903225806451613"/>
    <s v="11/14/2024"/>
    <s v="5/23/2024"/>
    <x v="972"/>
    <s v="5551 Mallory Lane"/>
    <n v="62"/>
    <n v="48"/>
    <x v="2"/>
    <n v="133"/>
    <x v="2"/>
    <x v="0"/>
  </r>
  <r>
    <x v="973"/>
    <x v="119"/>
    <x v="5"/>
    <s v="84-472-8001"/>
    <x v="4"/>
    <x v="48"/>
    <n v="161"/>
    <n v="92"/>
    <n v="28"/>
    <x v="168"/>
    <n v="3.2857142857142856"/>
    <n v="1.75"/>
    <n v="1.5619694397283532"/>
    <s v="1/21/2025"/>
    <d v="2024-10-09T00:00:00"/>
    <x v="973"/>
    <s v="44249 Sutteridge Crossing"/>
    <n v="50"/>
    <n v="67"/>
    <x v="0"/>
    <n v="161"/>
    <x v="0"/>
    <x v="0"/>
  </r>
  <r>
    <x v="974"/>
    <x v="119"/>
    <x v="5"/>
    <s v="31-524-1628"/>
    <x v="283"/>
    <x v="0"/>
    <n v="93.5"/>
    <n v="50"/>
    <n v="56"/>
    <x v="603"/>
    <n v="0.9821428571428571"/>
    <n v="1.7"/>
    <n v="0.93378607809847203"/>
    <d v="2024-01-06T00:00:00"/>
    <d v="2024-09-11T00:00:00"/>
    <x v="974"/>
    <s v="14042 Dottie Avenue"/>
    <n v="62"/>
    <n v="26"/>
    <x v="2"/>
    <n v="93.5"/>
    <x v="1"/>
    <x v="1"/>
  </r>
  <r>
    <x v="975"/>
    <x v="119"/>
    <x v="5"/>
    <s v="57-133-8386"/>
    <x v="191"/>
    <x v="10"/>
    <n v="148.75"/>
    <n v="83"/>
    <n v="13"/>
    <x v="604"/>
    <n v="6.5384615384615383"/>
    <n v="1.75"/>
    <n v="1.4431239388794568"/>
    <d v="2024-05-04T00:00:00"/>
    <s v="3/17/2024"/>
    <x v="975"/>
    <s v="897 Independence Circle"/>
    <n v="49"/>
    <n v="75"/>
    <x v="2"/>
    <n v="148.75"/>
    <x v="1"/>
    <x v="1"/>
  </r>
  <r>
    <x v="976"/>
    <x v="119"/>
    <x v="5"/>
    <s v="19-875-5642"/>
    <x v="284"/>
    <x v="77"/>
    <n v="107.1"/>
    <n v="12"/>
    <n v="82"/>
    <x v="605"/>
    <n v="0.76829268292682928"/>
    <n v="1.7"/>
    <n v="1.069609507640068"/>
    <s v="9/23/2024"/>
    <d v="2024-01-07T00:00:00"/>
    <x v="976"/>
    <s v="8 Kensington Place"/>
    <n v="56"/>
    <n v="31"/>
    <x v="2"/>
    <n v="107.1"/>
    <x v="1"/>
    <x v="1"/>
  </r>
  <r>
    <x v="977"/>
    <x v="119"/>
    <x v="5"/>
    <s v="11-430-6041"/>
    <x v="132"/>
    <x v="11"/>
    <n v="21"/>
    <n v="83"/>
    <n v="93"/>
    <x v="606"/>
    <n v="0.12903225806451613"/>
    <n v="1.75"/>
    <n v="0.2037351443123939"/>
    <s v="10/27/2024"/>
    <s v="6/28/2024"/>
    <x v="977"/>
    <s v="6 Bobwhite Alley"/>
    <n v="22"/>
    <n v="9"/>
    <x v="2"/>
    <n v="21"/>
    <x v="2"/>
    <x v="1"/>
  </r>
  <r>
    <x v="978"/>
    <x v="119"/>
    <x v="5"/>
    <s v="37-921-2953"/>
    <x v="348"/>
    <x v="49"/>
    <n v="140"/>
    <n v="69"/>
    <n v="71"/>
    <x v="607"/>
    <n v="1.1267605633802817"/>
    <n v="1.75"/>
    <n v="1.3582342954159592"/>
    <s v="8/27/2024"/>
    <d v="2024-03-05T00:00:00"/>
    <x v="978"/>
    <s v="15658 Talisman Lane"/>
    <n v="41"/>
    <n v="43"/>
    <x v="2"/>
    <n v="140"/>
    <x v="1"/>
    <x v="1"/>
  </r>
  <r>
    <x v="979"/>
    <x v="119"/>
    <x v="5"/>
    <s v="01-495-9336"/>
    <x v="88"/>
    <x v="20"/>
    <n v="150.5"/>
    <n v="20"/>
    <n v="67"/>
    <x v="608"/>
    <n v="1.2835820895522387"/>
    <n v="1.75"/>
    <n v="1.4601018675721562"/>
    <d v="2025-12-02T00:00:00"/>
    <d v="2024-07-07T00:00:00"/>
    <x v="979"/>
    <s v="09264 Forest Dale Drive"/>
    <n v="83"/>
    <n v="82"/>
    <x v="0"/>
    <n v="150.5"/>
    <x v="0"/>
    <x v="1"/>
  </r>
  <r>
    <x v="980"/>
    <x v="120"/>
    <x v="2"/>
    <s v="61-796-7912"/>
    <x v="101"/>
    <x v="66"/>
    <n v="152.5"/>
    <n v="90"/>
    <n v="26"/>
    <x v="193"/>
    <n v="2.3461538461538463"/>
    <n v="2.5"/>
    <n v="1.0356536502546689"/>
    <s v="12/22/2024"/>
    <d v="2024-07-09T00:00:00"/>
    <x v="980"/>
    <s v="70001 Vahlen Lane"/>
    <n v="79"/>
    <n v="84"/>
    <x v="0"/>
    <n v="152.5"/>
    <x v="0"/>
    <x v="0"/>
  </r>
  <r>
    <x v="981"/>
    <x v="120"/>
    <x v="2"/>
    <s v="31-199-3683"/>
    <x v="3"/>
    <x v="60"/>
    <n v="65"/>
    <n v="18"/>
    <n v="62"/>
    <x v="554"/>
    <n v="0.41935483870967744"/>
    <n v="2.5"/>
    <n v="0.44142614601018676"/>
    <s v="7/28/2024"/>
    <s v="7/21/2024"/>
    <x v="981"/>
    <s v="9695 Alpine Trail"/>
    <n v="57"/>
    <n v="86"/>
    <x v="0"/>
    <n v="65"/>
    <x v="0"/>
    <x v="0"/>
  </r>
  <r>
    <x v="982"/>
    <x v="120"/>
    <x v="2"/>
    <s v="02-272-0535"/>
    <x v="80"/>
    <x v="23"/>
    <n v="107.5"/>
    <n v="66"/>
    <n v="85"/>
    <x v="230"/>
    <n v="0.50588235294117645"/>
    <n v="2.5"/>
    <n v="0.7300509337860781"/>
    <s v="4/20/2024"/>
    <s v="9/14/2024"/>
    <x v="982"/>
    <s v="8 Russell Pass"/>
    <n v="66"/>
    <n v="65"/>
    <x v="0"/>
    <n v="107.5"/>
    <x v="0"/>
    <x v="0"/>
  </r>
  <r>
    <x v="983"/>
    <x v="120"/>
    <x v="2"/>
    <s v="62-648-2577"/>
    <x v="140"/>
    <x v="85"/>
    <n v="72.5"/>
    <n v="18"/>
    <n v="86"/>
    <x v="426"/>
    <n v="0.33720930232558138"/>
    <n v="2.5"/>
    <n v="0.49235993208828527"/>
    <s v="10/24/2024"/>
    <s v="11/16/2024"/>
    <x v="983"/>
    <s v="265 Columbus Way"/>
    <n v="53"/>
    <n v="69"/>
    <x v="1"/>
    <n v="72.5"/>
    <x v="1"/>
    <x v="0"/>
  </r>
  <r>
    <x v="984"/>
    <x v="120"/>
    <x v="2"/>
    <s v="20-952-0731"/>
    <x v="12"/>
    <x v="70"/>
    <n v="147.5"/>
    <n v="91"/>
    <n v="24"/>
    <x v="190"/>
    <n v="2.4583333333333335"/>
    <n v="2.5"/>
    <n v="1.0016977928692701"/>
    <s v="10/27/2024"/>
    <s v="6/29/2024"/>
    <x v="984"/>
    <s v="11 Golden Leaf Alley"/>
    <n v="54"/>
    <n v="87"/>
    <x v="1"/>
    <n v="147.5"/>
    <x v="2"/>
    <x v="0"/>
  </r>
  <r>
    <x v="985"/>
    <x v="120"/>
    <x v="2"/>
    <s v="10-295-7996"/>
    <x v="344"/>
    <x v="81"/>
    <n v="130"/>
    <n v="79"/>
    <n v="87"/>
    <x v="609"/>
    <n v="0.5977011494252874"/>
    <n v="2.5"/>
    <n v="0.88285229202037352"/>
    <d v="2024-11-06T00:00:00"/>
    <d v="2024-04-04T00:00:00"/>
    <x v="985"/>
    <s v="3 Lawn Park"/>
    <n v="36"/>
    <n v="100"/>
    <x v="0"/>
    <n v="130"/>
    <x v="0"/>
    <x v="0"/>
  </r>
  <r>
    <x v="986"/>
    <x v="120"/>
    <x v="2"/>
    <s v="62-044-8874"/>
    <x v="200"/>
    <x v="23"/>
    <n v="107.5"/>
    <n v="21"/>
    <n v="31"/>
    <x v="151"/>
    <n v="1.3870967741935485"/>
    <n v="2.5"/>
    <n v="0.7300509337860781"/>
    <s v="2/19/2025"/>
    <s v="6/25/2024"/>
    <x v="986"/>
    <s v="76106 Anthes Junction"/>
    <n v="22"/>
    <n v="25"/>
    <x v="2"/>
    <n v="107.5"/>
    <x v="1"/>
    <x v="1"/>
  </r>
  <r>
    <x v="987"/>
    <x v="120"/>
    <x v="2"/>
    <s v="42-361-6981"/>
    <x v="349"/>
    <x v="29"/>
    <n v="222.5"/>
    <n v="56"/>
    <n v="74"/>
    <x v="166"/>
    <n v="1.2027027027027026"/>
    <n v="2.5"/>
    <n v="1.5110356536502547"/>
    <d v="2024-10-11T00:00:00"/>
    <s v="7/30/2024"/>
    <x v="987"/>
    <s v="66330 Northridge Street"/>
    <n v="27"/>
    <n v="51"/>
    <x v="2"/>
    <n v="222.5"/>
    <x v="1"/>
    <x v="1"/>
  </r>
  <r>
    <x v="988"/>
    <x v="120"/>
    <x v="2"/>
    <s v="47-026-0505"/>
    <x v="163"/>
    <x v="39"/>
    <n v="245"/>
    <n v="14"/>
    <n v="11"/>
    <x v="610"/>
    <n v="8.9090909090909083"/>
    <n v="2.5"/>
    <n v="1.66383701188455"/>
    <s v="4/17/2024"/>
    <d v="2024-01-12T00:00:00"/>
    <x v="988"/>
    <s v="6251 Eliot Hill"/>
    <n v="48"/>
    <n v="38"/>
    <x v="0"/>
    <n v="245"/>
    <x v="0"/>
    <x v="1"/>
  </r>
  <r>
    <x v="989"/>
    <x v="120"/>
    <x v="2"/>
    <s v="82-313-4469"/>
    <x v="297"/>
    <x v="77"/>
    <n v="157.5"/>
    <n v="56"/>
    <n v="33"/>
    <x v="611"/>
    <n v="1.9090909090909092"/>
    <n v="2.5"/>
    <n v="1.069609507640068"/>
    <d v="2025-09-01T00:00:00"/>
    <d v="2024-07-06T00:00:00"/>
    <x v="989"/>
    <s v="7944 Elgar Alley"/>
    <n v="35"/>
    <n v="16"/>
    <x v="2"/>
    <n v="157.5"/>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3AF88-DEF6-49C6-B8E8-701EF884AA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9" rowHeaderCaption="ProductName">
  <location ref="B86:C97" firstHeaderRow="1" firstDataRow="1" firstDataCol="1" rowPageCount="1" colPageCount="1"/>
  <pivotFields count="26">
    <pivotField showAll="0"/>
    <pivotField axis="axisRow" showAll="0" measureFilter="1" sortType="descending">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autoSortScope>
        <pivotArea dataOnly="0" outline="0" fieldPosition="0">
          <references count="1">
            <reference field="4294967294" count="1" selected="0">
              <x v="0"/>
            </reference>
          </references>
        </pivotArea>
      </autoSortScope>
    </pivotField>
    <pivotField showAll="0" sortType="ascending">
      <items count="9">
        <item x="6"/>
        <item x="3"/>
        <item x="5"/>
        <item x="2"/>
        <item x="0"/>
        <item x="4"/>
        <item x="1"/>
        <item m="1" x="7"/>
        <item t="default"/>
      </items>
    </pivotField>
    <pivotField showAll="0"/>
    <pivotField showAll="0"/>
    <pivotField dataField="1" showAll="0"/>
    <pivotField numFmtId="164" showAll="0"/>
    <pivotField showAll="0"/>
    <pivotField showAll="0"/>
    <pivotField numFmtId="166" showAll="0"/>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multipleItemSelectionAllowed="1" showAll="0"/>
    <pivotField numFmtId="164" showAll="0"/>
    <pivotField axis="axisPage"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1">
    <i>
      <x v="19"/>
    </i>
    <i>
      <x v="10"/>
    </i>
    <i>
      <x v="32"/>
    </i>
    <i>
      <x v="116"/>
    </i>
    <i>
      <x v="85"/>
    </i>
    <i>
      <x v="47"/>
    </i>
    <i>
      <x v="113"/>
    </i>
    <i>
      <x v="67"/>
    </i>
    <i>
      <x/>
    </i>
    <i>
      <x v="28"/>
    </i>
    <i t="grand">
      <x/>
    </i>
  </rowItems>
  <colItems count="1">
    <i/>
  </colItems>
  <pageFields count="1">
    <pageField fld="21" hier="-1"/>
  </pageFields>
  <dataFields count="1">
    <dataField name="StockQuantity" fld="5" baseField="1" baseItem="0"/>
  </dataFields>
  <formats count="12">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10">
            <x v="0"/>
            <x v="10"/>
            <x v="19"/>
            <x v="28"/>
            <x v="32"/>
            <x v="47"/>
            <x v="67"/>
            <x v="85"/>
            <x v="113"/>
            <x v="116"/>
          </reference>
        </references>
      </pivotArea>
    </format>
    <format dxfId="11">
      <pivotArea dataOnly="0" labelOnly="1" grandRow="1" outline="0" fieldPosition="0"/>
    </format>
    <format dxfId="10">
      <pivotArea dataOnly="0" labelOnly="1" outline="0" fieldPosition="0">
        <references count="1">
          <reference field="4294967294" count="1">
            <x v="0"/>
          </reference>
        </references>
      </pivotArea>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fieldPosition="0">
        <references count="1">
          <reference field="1" count="10">
            <x v="0"/>
            <x v="10"/>
            <x v="19"/>
            <x v="28"/>
            <x v="32"/>
            <x v="47"/>
            <x v="67"/>
            <x v="85"/>
            <x v="113"/>
            <x v="116"/>
          </reference>
        </references>
      </pivotArea>
    </format>
    <format dxfId="5">
      <pivotArea dataOnly="0" labelOnly="1" grandRow="1" outline="0" fieldPosition="0"/>
    </format>
    <format dxfId="4">
      <pivotArea dataOnly="0" labelOnly="1" outline="0" fieldPosition="0">
        <references count="1">
          <reference field="4294967294" count="1">
            <x v="0"/>
          </reference>
        </references>
      </pivotArea>
    </format>
  </formats>
  <chartFormats count="2">
    <chartFormat chart="50" format="0"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1">
    <filter fld="1" type="count" evalOrder="-1" id="1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692CB-B3BE-4F6A-B5ED-B6B6307B481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8">
  <location ref="B105:C116" firstHeaderRow="1" firstDataRow="1" firstDataCol="1"/>
  <pivotFields count="26">
    <pivotField showAll="0"/>
    <pivotField axis="axisRow" showAll="0" measureFilter="1" sortType="descending">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autoSortScope>
        <pivotArea dataOnly="0" outline="0" fieldPosition="0">
          <references count="1">
            <reference field="4294967294" count="1" selected="0">
              <x v="0"/>
            </reference>
          </references>
        </pivotArea>
      </autoSortScope>
    </pivotField>
    <pivotField showAll="0" sortType="ascending">
      <items count="9">
        <item x="6"/>
        <item x="3"/>
        <item x="5"/>
        <item x="2"/>
        <item x="0"/>
        <item x="4"/>
        <item x="1"/>
        <item m="1" x="7"/>
        <item t="default"/>
      </items>
    </pivotField>
    <pivotField showAll="0"/>
    <pivotField showAll="0">
      <items count="351">
        <item x="148"/>
        <item x="118"/>
        <item x="346"/>
        <item x="238"/>
        <item x="84"/>
        <item x="222"/>
        <item x="205"/>
        <item x="241"/>
        <item x="121"/>
        <item x="271"/>
        <item x="114"/>
        <item x="167"/>
        <item x="249"/>
        <item x="264"/>
        <item x="200"/>
        <item x="32"/>
        <item x="223"/>
        <item x="286"/>
        <item x="224"/>
        <item x="202"/>
        <item x="92"/>
        <item x="126"/>
        <item x="216"/>
        <item x="95"/>
        <item x="328"/>
        <item x="313"/>
        <item x="3"/>
        <item x="267"/>
        <item x="174"/>
        <item x="170"/>
        <item x="316"/>
        <item x="220"/>
        <item x="218"/>
        <item x="298"/>
        <item x="106"/>
        <item x="109"/>
        <item x="88"/>
        <item x="55"/>
        <item x="250"/>
        <item x="179"/>
        <item x="116"/>
        <item x="9"/>
        <item x="236"/>
        <item x="341"/>
        <item x="226"/>
        <item x="186"/>
        <item x="133"/>
        <item x="23"/>
        <item x="244"/>
        <item x="307"/>
        <item x="152"/>
        <item x="279"/>
        <item x="0"/>
        <item x="268"/>
        <item x="49"/>
        <item x="195"/>
        <item x="102"/>
        <item x="63"/>
        <item x="294"/>
        <item x="227"/>
        <item x="113"/>
        <item x="178"/>
        <item x="76"/>
        <item x="52"/>
        <item x="284"/>
        <item x="98"/>
        <item x="85"/>
        <item x="333"/>
        <item x="188"/>
        <item x="149"/>
        <item x="207"/>
        <item x="204"/>
        <item x="321"/>
        <item x="322"/>
        <item x="171"/>
        <item x="317"/>
        <item x="331"/>
        <item x="172"/>
        <item x="311"/>
        <item x="304"/>
        <item x="308"/>
        <item x="66"/>
        <item x="237"/>
        <item x="105"/>
        <item x="4"/>
        <item x="199"/>
        <item x="192"/>
        <item x="272"/>
        <item x="330"/>
        <item x="77"/>
        <item x="332"/>
        <item x="41"/>
        <item x="251"/>
        <item x="34"/>
        <item x="51"/>
        <item x="301"/>
        <item x="31"/>
        <item x="247"/>
        <item x="242"/>
        <item x="295"/>
        <item x="194"/>
        <item x="155"/>
        <item x="82"/>
        <item x="14"/>
        <item x="292"/>
        <item x="160"/>
        <item x="83"/>
        <item x="210"/>
        <item x="26"/>
        <item x="143"/>
        <item x="217"/>
        <item x="146"/>
        <item x="145"/>
        <item x="162"/>
        <item x="193"/>
        <item x="345"/>
        <item x="127"/>
        <item x="180"/>
        <item x="285"/>
        <item x="27"/>
        <item x="150"/>
        <item x="260"/>
        <item x="99"/>
        <item x="342"/>
        <item x="276"/>
        <item x="20"/>
        <item x="78"/>
        <item x="283"/>
        <item x="12"/>
        <item x="334"/>
        <item x="40"/>
        <item x="115"/>
        <item x="46"/>
        <item x="324"/>
        <item x="164"/>
        <item x="104"/>
        <item x="67"/>
        <item x="101"/>
        <item x="140"/>
        <item x="198"/>
        <item x="103"/>
        <item x="278"/>
        <item x="234"/>
        <item x="139"/>
        <item x="318"/>
        <item x="262"/>
        <item x="182"/>
        <item x="243"/>
        <item x="138"/>
        <item x="339"/>
        <item x="232"/>
        <item x="177"/>
        <item x="74"/>
        <item x="144"/>
        <item x="73"/>
        <item x="254"/>
        <item x="274"/>
        <item x="246"/>
        <item x="80"/>
        <item x="30"/>
        <item x="310"/>
        <item x="215"/>
        <item x="124"/>
        <item x="273"/>
        <item x="79"/>
        <item x="134"/>
        <item x="240"/>
        <item x="281"/>
        <item x="225"/>
        <item x="187"/>
        <item x="173"/>
        <item x="206"/>
        <item x="16"/>
        <item x="329"/>
        <item x="107"/>
        <item x="168"/>
        <item x="327"/>
        <item x="38"/>
        <item x="259"/>
        <item x="89"/>
        <item x="300"/>
        <item x="214"/>
        <item x="211"/>
        <item x="112"/>
        <item x="24"/>
        <item x="128"/>
        <item x="161"/>
        <item x="156"/>
        <item x="280"/>
        <item x="158"/>
        <item x="120"/>
        <item x="245"/>
        <item x="97"/>
        <item x="166"/>
        <item x="151"/>
        <item x="323"/>
        <item x="312"/>
        <item x="309"/>
        <item x="289"/>
        <item x="305"/>
        <item x="2"/>
        <item x="291"/>
        <item x="119"/>
        <item x="347"/>
        <item x="60"/>
        <item x="15"/>
        <item x="159"/>
        <item x="349"/>
        <item x="28"/>
        <item x="303"/>
        <item x="111"/>
        <item x="343"/>
        <item x="48"/>
        <item x="197"/>
        <item x="90"/>
        <item x="53"/>
        <item x="81"/>
        <item x="253"/>
        <item x="44"/>
        <item x="233"/>
        <item x="235"/>
        <item x="228"/>
        <item x="43"/>
        <item x="189"/>
        <item x="239"/>
        <item x="287"/>
        <item x="181"/>
        <item x="110"/>
        <item x="135"/>
        <item x="275"/>
        <item x="11"/>
        <item x="147"/>
        <item x="91"/>
        <item x="10"/>
        <item x="59"/>
        <item x="209"/>
        <item x="293"/>
        <item x="297"/>
        <item x="68"/>
        <item x="117"/>
        <item x="70"/>
        <item x="33"/>
        <item x="191"/>
        <item x="17"/>
        <item x="169"/>
        <item x="299"/>
        <item x="326"/>
        <item x="35"/>
        <item x="265"/>
        <item x="212"/>
        <item x="86"/>
        <item x="108"/>
        <item x="335"/>
        <item x="252"/>
        <item x="261"/>
        <item x="175"/>
        <item x="183"/>
        <item x="141"/>
        <item x="75"/>
        <item x="72"/>
        <item x="50"/>
        <item x="257"/>
        <item x="154"/>
        <item x="230"/>
        <item x="270"/>
        <item x="338"/>
        <item x="319"/>
        <item x="315"/>
        <item x="8"/>
        <item x="320"/>
        <item x="142"/>
        <item x="248"/>
        <item x="229"/>
        <item x="348"/>
        <item x="136"/>
        <item x="221"/>
        <item x="176"/>
        <item x="288"/>
        <item x="96"/>
        <item x="263"/>
        <item x="29"/>
        <item x="6"/>
        <item x="190"/>
        <item x="344"/>
        <item x="5"/>
        <item x="165"/>
        <item x="340"/>
        <item x="219"/>
        <item x="184"/>
        <item x="130"/>
        <item x="18"/>
        <item x="131"/>
        <item x="137"/>
        <item x="61"/>
        <item x="277"/>
        <item x="231"/>
        <item x="163"/>
        <item x="196"/>
        <item x="64"/>
        <item x="213"/>
        <item x="125"/>
        <item x="58"/>
        <item x="123"/>
        <item x="19"/>
        <item x="62"/>
        <item x="36"/>
        <item x="57"/>
        <item x="306"/>
        <item x="7"/>
        <item x="42"/>
        <item x="1"/>
        <item x="25"/>
        <item x="87"/>
        <item x="255"/>
        <item x="157"/>
        <item x="132"/>
        <item x="282"/>
        <item x="94"/>
        <item x="54"/>
        <item x="37"/>
        <item x="302"/>
        <item x="290"/>
        <item x="153"/>
        <item x="314"/>
        <item x="71"/>
        <item x="256"/>
        <item x="336"/>
        <item x="69"/>
        <item x="266"/>
        <item x="203"/>
        <item x="45"/>
        <item x="185"/>
        <item x="65"/>
        <item x="208"/>
        <item x="39"/>
        <item x="122"/>
        <item x="258"/>
        <item x="325"/>
        <item x="22"/>
        <item x="93"/>
        <item x="100"/>
        <item x="129"/>
        <item x="337"/>
        <item x="56"/>
        <item x="13"/>
        <item x="201"/>
        <item x="269"/>
        <item x="21"/>
        <item x="296"/>
        <item x="47"/>
        <item t="default"/>
      </items>
    </pivotField>
    <pivotField showAll="0"/>
    <pivotField numFmtId="164" showAll="0"/>
    <pivotField showAll="0"/>
    <pivotField showAll="0"/>
    <pivotField numFmtId="166" showAll="0">
      <items count="613">
        <item x="251"/>
        <item x="253"/>
        <item x="382"/>
        <item x="269"/>
        <item x="255"/>
        <item x="172"/>
        <item x="238"/>
        <item x="252"/>
        <item x="235"/>
        <item x="310"/>
        <item x="471"/>
        <item x="256"/>
        <item x="254"/>
        <item x="204"/>
        <item x="266"/>
        <item x="132"/>
        <item x="173"/>
        <item x="307"/>
        <item x="133"/>
        <item x="524"/>
        <item x="250"/>
        <item x="364"/>
        <item x="145"/>
        <item x="523"/>
        <item x="241"/>
        <item x="576"/>
        <item x="171"/>
        <item x="207"/>
        <item x="6"/>
        <item x="288"/>
        <item x="548"/>
        <item x="469"/>
        <item x="397"/>
        <item x="604"/>
        <item x="140"/>
        <item x="0"/>
        <item x="194"/>
        <item x="405"/>
        <item x="123"/>
        <item x="610"/>
        <item x="383"/>
        <item x="358"/>
        <item x="222"/>
        <item x="541"/>
        <item x="594"/>
        <item x="575"/>
        <item x="487"/>
        <item x="232"/>
        <item x="283"/>
        <item x="585"/>
        <item x="125"/>
        <item x="2"/>
        <item x="169"/>
        <item x="388"/>
        <item x="147"/>
        <item x="569"/>
        <item x="36"/>
        <item x="84"/>
        <item x="257"/>
        <item x="531"/>
        <item x="130"/>
        <item x="262"/>
        <item x="410"/>
        <item x="100"/>
        <item x="508"/>
        <item x="131"/>
        <item x="27"/>
        <item x="568"/>
        <item x="534"/>
        <item x="391"/>
        <item x="168"/>
        <item x="444"/>
        <item x="493"/>
        <item x="380"/>
        <item x="242"/>
        <item x="572"/>
        <item x="462"/>
        <item x="449"/>
        <item x="368"/>
        <item x="129"/>
        <item x="278"/>
        <item x="167"/>
        <item x="211"/>
        <item x="272"/>
        <item x="317"/>
        <item x="273"/>
        <item x="233"/>
        <item x="595"/>
        <item x="434"/>
        <item x="320"/>
        <item x="581"/>
        <item x="26"/>
        <item x="190"/>
        <item x="536"/>
        <item x="258"/>
        <item x="126"/>
        <item x="178"/>
        <item x="274"/>
        <item x="442"/>
        <item x="152"/>
        <item x="376"/>
        <item x="229"/>
        <item x="494"/>
        <item x="270"/>
        <item x="193"/>
        <item x="3"/>
        <item x="82"/>
        <item x="259"/>
        <item x="290"/>
        <item x="271"/>
        <item x="602"/>
        <item x="53"/>
        <item x="275"/>
        <item x="393"/>
        <item x="413"/>
        <item x="261"/>
        <item x="90"/>
        <item x="598"/>
        <item x="260"/>
        <item x="151"/>
        <item x="437"/>
        <item x="79"/>
        <item x="16"/>
        <item x="479"/>
        <item x="318"/>
        <item x="319"/>
        <item x="611"/>
        <item x="488"/>
        <item x="435"/>
        <item x="108"/>
        <item x="185"/>
        <item x="406"/>
        <item x="392"/>
        <item x="415"/>
        <item x="212"/>
        <item x="407"/>
        <item x="379"/>
        <item x="61"/>
        <item x="267"/>
        <item x="297"/>
        <item x="177"/>
        <item x="188"/>
        <item x="389"/>
        <item x="408"/>
        <item x="417"/>
        <item x="32"/>
        <item x="603"/>
        <item x="59"/>
        <item x="122"/>
        <item x="497"/>
        <item x="182"/>
        <item x="54"/>
        <item x="45"/>
        <item x="580"/>
        <item x="154"/>
        <item x="124"/>
        <item x="187"/>
        <item x="143"/>
        <item x="164"/>
        <item x="395"/>
        <item x="322"/>
        <item x="445"/>
        <item x="224"/>
        <item x="489"/>
        <item x="495"/>
        <item x="423"/>
        <item x="121"/>
        <item x="248"/>
        <item x="387"/>
        <item x="425"/>
        <item x="601"/>
        <item x="377"/>
        <item x="571"/>
        <item x="184"/>
        <item x="138"/>
        <item x="578"/>
        <item x="240"/>
        <item x="362"/>
        <item x="196"/>
        <item x="476"/>
        <item x="315"/>
        <item x="608"/>
        <item x="150"/>
        <item x="448"/>
        <item x="1"/>
        <item x="38"/>
        <item x="446"/>
        <item x="80"/>
        <item x="436"/>
        <item x="263"/>
        <item x="607"/>
        <item x="596"/>
        <item x="540"/>
        <item x="268"/>
        <item x="220"/>
        <item x="239"/>
        <item x="567"/>
        <item x="451"/>
        <item x="483"/>
        <item x="128"/>
        <item x="412"/>
        <item x="161"/>
        <item x="217"/>
        <item x="402"/>
        <item x="120"/>
        <item x="174"/>
        <item x="492"/>
        <item x="472"/>
        <item x="146"/>
        <item x="386"/>
        <item x="520"/>
        <item x="103"/>
        <item x="127"/>
        <item x="605"/>
        <item x="394"/>
        <item x="295"/>
        <item x="450"/>
        <item x="277"/>
        <item x="496"/>
        <item x="144"/>
        <item x="384"/>
        <item x="179"/>
        <item x="553"/>
        <item x="134"/>
        <item x="390"/>
        <item x="244"/>
        <item x="432"/>
        <item x="183"/>
        <item x="197"/>
        <item x="433"/>
        <item x="286"/>
        <item x="186"/>
        <item x="287"/>
        <item x="447"/>
        <item x="175"/>
        <item x="226"/>
        <item x="265"/>
        <item x="443"/>
        <item x="284"/>
        <item x="554"/>
        <item x="321"/>
        <item x="429"/>
        <item x="243"/>
        <item x="537"/>
        <item x="24"/>
        <item x="584"/>
        <item x="424"/>
        <item x="414"/>
        <item x="104"/>
        <item x="314"/>
        <item x="606"/>
        <item x="582"/>
        <item x="231"/>
        <item x="83"/>
        <item x="149"/>
        <item x="158"/>
        <item x="381"/>
        <item x="163"/>
        <item x="192"/>
        <item x="162"/>
        <item x="570"/>
        <item x="181"/>
        <item x="285"/>
        <item x="530"/>
        <item x="60"/>
        <item x="526"/>
        <item x="439"/>
        <item x="234"/>
        <item x="331"/>
        <item x="71"/>
        <item x="264"/>
        <item x="385"/>
        <item x="528"/>
        <item x="555"/>
        <item x="135"/>
        <item x="597"/>
        <item x="166"/>
        <item x="583"/>
        <item x="191"/>
        <item x="199"/>
        <item x="535"/>
        <item x="465"/>
        <item x="282"/>
        <item x="81"/>
        <item x="160"/>
        <item x="430"/>
        <item x="148"/>
        <item x="289"/>
        <item x="62"/>
        <item x="558"/>
        <item x="378"/>
        <item x="237"/>
        <item x="279"/>
        <item x="14"/>
        <item x="180"/>
        <item x="72"/>
        <item x="475"/>
        <item x="470"/>
        <item x="577"/>
        <item x="276"/>
        <item x="153"/>
        <item x="136"/>
        <item x="33"/>
        <item x="176"/>
        <item x="463"/>
        <item x="230"/>
        <item x="438"/>
        <item x="308"/>
        <item x="426"/>
        <item x="281"/>
        <item x="296"/>
        <item x="609"/>
        <item x="115"/>
        <item x="484"/>
        <item x="334"/>
        <item x="539"/>
        <item x="300"/>
        <item x="491"/>
        <item x="441"/>
        <item x="165"/>
        <item x="477"/>
        <item x="246"/>
        <item x="63"/>
        <item x="419"/>
        <item x="542"/>
        <item x="189"/>
        <item x="502"/>
        <item x="311"/>
        <item x="579"/>
        <item x="216"/>
        <item x="529"/>
        <item x="474"/>
        <item x="480"/>
        <item x="490"/>
        <item x="195"/>
        <item x="159"/>
        <item x="416"/>
        <item x="77"/>
        <item x="116"/>
        <item x="70"/>
        <item x="40"/>
        <item x="403"/>
        <item x="400"/>
        <item x="142"/>
        <item x="538"/>
        <item x="105"/>
        <item x="34"/>
        <item x="440"/>
        <item x="427"/>
        <item x="481"/>
        <item x="65"/>
        <item x="461"/>
        <item x="507"/>
        <item x="372"/>
        <item x="236"/>
        <item x="75"/>
        <item x="29"/>
        <item x="110"/>
        <item x="280"/>
        <item x="202"/>
        <item x="482"/>
        <item x="363"/>
        <item x="473"/>
        <item x="73"/>
        <item x="350"/>
        <item x="527"/>
        <item x="312"/>
        <item x="209"/>
        <item x="10"/>
        <item x="478"/>
        <item x="452"/>
        <item x="573"/>
        <item x="401"/>
        <item x="46"/>
        <item x="139"/>
        <item x="343"/>
        <item x="525"/>
        <item x="466"/>
        <item x="460"/>
        <item x="418"/>
        <item x="35"/>
        <item x="203"/>
        <item x="74"/>
        <item x="374"/>
        <item x="453"/>
        <item x="464"/>
        <item x="76"/>
        <item x="28"/>
        <item x="7"/>
        <item x="431"/>
        <item x="545"/>
        <item x="223"/>
        <item x="52"/>
        <item x="249"/>
        <item x="468"/>
        <item x="574"/>
        <item x="306"/>
        <item x="94"/>
        <item x="141"/>
        <item x="221"/>
        <item x="25"/>
        <item x="361"/>
        <item x="371"/>
        <item x="219"/>
        <item x="522"/>
        <item x="359"/>
        <item x="546"/>
        <item x="514"/>
        <item x="30"/>
        <item x="373"/>
        <item x="353"/>
        <item x="15"/>
        <item x="247"/>
        <item x="56"/>
        <item x="357"/>
        <item x="155"/>
        <item x="31"/>
        <item x="516"/>
        <item x="503"/>
        <item x="454"/>
        <item x="370"/>
        <item x="517"/>
        <item x="39"/>
        <item x="106"/>
        <item x="467"/>
        <item x="245"/>
        <item x="367"/>
        <item x="352"/>
        <item x="210"/>
        <item x="91"/>
        <item x="360"/>
        <item x="18"/>
        <item x="422"/>
        <item x="137"/>
        <item x="218"/>
        <item x="78"/>
        <item x="156"/>
        <item x="57"/>
        <item x="351"/>
        <item x="459"/>
        <item x="112"/>
        <item x="17"/>
        <item x="323"/>
        <item x="228"/>
        <item x="111"/>
        <item x="366"/>
        <item x="85"/>
        <item x="305"/>
        <item x="107"/>
        <item x="55"/>
        <item x="299"/>
        <item x="87"/>
        <item x="428"/>
        <item x="117"/>
        <item x="205"/>
        <item x="549"/>
        <item x="501"/>
        <item x="293"/>
        <item x="109"/>
        <item x="404"/>
        <item x="96"/>
        <item x="411"/>
        <item x="369"/>
        <item x="58"/>
        <item x="330"/>
        <item x="98"/>
        <item x="301"/>
        <item x="119"/>
        <item x="365"/>
        <item x="213"/>
        <item x="499"/>
        <item x="302"/>
        <item x="398"/>
        <item x="8"/>
        <item x="338"/>
        <item x="99"/>
        <item x="421"/>
        <item x="89"/>
        <item x="95"/>
        <item x="215"/>
        <item x="303"/>
        <item x="600"/>
        <item x="547"/>
        <item x="533"/>
        <item x="486"/>
        <item x="66"/>
        <item x="485"/>
        <item x="43"/>
        <item x="498"/>
        <item x="113"/>
        <item x="515"/>
        <item x="304"/>
        <item x="532"/>
        <item x="375"/>
        <item x="114"/>
        <item x="551"/>
        <item x="309"/>
        <item x="513"/>
        <item x="292"/>
        <item x="313"/>
        <item x="157"/>
        <item x="341"/>
        <item x="544"/>
        <item x="420"/>
        <item x="327"/>
        <item x="97"/>
        <item x="543"/>
        <item x="336"/>
        <item x="506"/>
        <item x="291"/>
        <item x="500"/>
        <item x="591"/>
        <item x="409"/>
        <item x="102"/>
        <item x="552"/>
        <item x="518"/>
        <item x="550"/>
        <item x="101"/>
        <item x="294"/>
        <item x="521"/>
        <item x="509"/>
        <item x="519"/>
        <item x="227"/>
        <item x="200"/>
        <item x="335"/>
        <item x="599"/>
        <item x="118"/>
        <item x="456"/>
        <item x="399"/>
        <item x="329"/>
        <item x="298"/>
        <item x="225"/>
        <item x="23"/>
        <item x="342"/>
        <item x="333"/>
        <item x="396"/>
        <item x="4"/>
        <item x="511"/>
        <item x="564"/>
        <item x="325"/>
        <item x="19"/>
        <item x="505"/>
        <item x="340"/>
        <item x="332"/>
        <item x="51"/>
        <item x="214"/>
        <item x="206"/>
        <item x="13"/>
        <item x="49"/>
        <item x="337"/>
        <item x="201"/>
        <item x="5"/>
        <item x="9"/>
        <item x="198"/>
        <item x="12"/>
        <item x="326"/>
        <item x="339"/>
        <item x="11"/>
        <item x="93"/>
        <item x="559"/>
        <item x="22"/>
        <item x="510"/>
        <item x="208"/>
        <item x="69"/>
        <item x="20"/>
        <item x="21"/>
        <item x="504"/>
        <item x="316"/>
        <item x="64"/>
        <item x="455"/>
        <item x="560"/>
        <item x="457"/>
        <item x="593"/>
        <item x="561"/>
        <item x="588"/>
        <item x="324"/>
        <item x="88"/>
        <item x="556"/>
        <item x="458"/>
        <item x="557"/>
        <item x="328"/>
        <item x="44"/>
        <item x="512"/>
        <item x="349"/>
        <item x="86"/>
        <item x="347"/>
        <item x="345"/>
        <item x="92"/>
        <item x="563"/>
        <item x="586"/>
        <item x="565"/>
        <item x="590"/>
        <item x="47"/>
        <item x="592"/>
        <item x="50"/>
        <item x="344"/>
        <item x="566"/>
        <item x="589"/>
        <item x="37"/>
        <item x="346"/>
        <item x="562"/>
        <item x="42"/>
        <item x="348"/>
        <item x="48"/>
        <item x="41"/>
        <item x="354"/>
        <item x="587"/>
        <item x="355"/>
        <item x="356"/>
        <item x="170"/>
        <item x="68"/>
        <item x="67"/>
        <item t="default"/>
      </items>
    </pivotField>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dataField="1" showAll="0"/>
    <pivotField multipleItemSelectionAllowed="1" showAll="0"/>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1">
    <i>
      <x v="48"/>
    </i>
    <i>
      <x v="116"/>
    </i>
    <i>
      <x v="32"/>
    </i>
    <i>
      <x/>
    </i>
    <i>
      <x v="108"/>
    </i>
    <i>
      <x v="59"/>
    </i>
    <i>
      <x v="98"/>
    </i>
    <i>
      <x v="72"/>
    </i>
    <i>
      <x v="9"/>
    </i>
    <i>
      <x v="31"/>
    </i>
    <i t="grand">
      <x/>
    </i>
  </rowItems>
  <colItems count="1">
    <i/>
  </colItems>
  <dataFields count="1">
    <dataField name="Sum of Inventory_Turnover_Rate" fld="18" baseField="0" baseItem="0"/>
  </dataFields>
  <formats count="18">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10">
            <x v="1"/>
            <x v="56"/>
            <x v="59"/>
            <x v="66"/>
            <x v="75"/>
            <x v="79"/>
            <x v="89"/>
            <x v="93"/>
            <x v="103"/>
            <x v="109"/>
          </reference>
        </references>
      </pivotArea>
    </format>
    <format dxfId="23">
      <pivotArea dataOnly="0" labelOnly="1" grandRow="1" outline="0"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10">
            <x v="0"/>
            <x v="9"/>
            <x v="31"/>
            <x v="32"/>
            <x v="48"/>
            <x v="59"/>
            <x v="72"/>
            <x v="98"/>
            <x v="108"/>
            <x v="116"/>
          </reference>
        </references>
      </pivotArea>
    </format>
    <format dxfId="17">
      <pivotArea dataOnly="0" labelOnly="1" grandRow="1" outline="0" fieldPosition="0"/>
    </format>
    <format dxfId="16">
      <pivotArea dataOnly="0" labelOnly="1" outline="0" axis="axisValues" fieldPosition="0"/>
    </format>
  </formats>
  <chartFormats count="2">
    <chartFormat chart="59" format="0" series="1">
      <pivotArea type="data" outline="0" fieldPosition="0">
        <references count="1">
          <reference field="4294967294" count="1" selected="0">
            <x v="0"/>
          </reference>
        </references>
      </pivotArea>
    </chartFormat>
    <chartFormat chart="6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1">
    <filter fld="1" type="count" evalOrder="-1" id="14"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5674A0-8381-4794-A1A9-7D0086EECB5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B124:C128" firstHeaderRow="1" firstDataRow="1" firstDataCol="1"/>
  <pivotFields count="26">
    <pivotField showAll="0"/>
    <pivotField dataField="1"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showAll="0" sortType="ascending">
      <items count="9">
        <item x="6"/>
        <item x="3"/>
        <item x="5"/>
        <item x="2"/>
        <item x="0"/>
        <item x="4"/>
        <item x="1"/>
        <item m="1" x="7"/>
        <item t="default"/>
      </items>
    </pivotField>
    <pivotField showAll="0"/>
    <pivotField showAll="0">
      <items count="351">
        <item x="148"/>
        <item x="118"/>
        <item x="346"/>
        <item x="238"/>
        <item x="84"/>
        <item x="222"/>
        <item x="205"/>
        <item x="241"/>
        <item x="121"/>
        <item x="271"/>
        <item x="114"/>
        <item x="167"/>
        <item x="249"/>
        <item x="264"/>
        <item x="200"/>
        <item x="32"/>
        <item x="223"/>
        <item x="286"/>
        <item x="224"/>
        <item x="202"/>
        <item x="92"/>
        <item x="126"/>
        <item x="216"/>
        <item x="95"/>
        <item x="328"/>
        <item x="313"/>
        <item x="3"/>
        <item x="267"/>
        <item x="174"/>
        <item x="170"/>
        <item x="316"/>
        <item x="220"/>
        <item x="218"/>
        <item x="298"/>
        <item x="106"/>
        <item x="109"/>
        <item x="88"/>
        <item x="55"/>
        <item x="250"/>
        <item x="179"/>
        <item x="116"/>
        <item x="9"/>
        <item x="236"/>
        <item x="341"/>
        <item x="226"/>
        <item x="186"/>
        <item x="133"/>
        <item x="23"/>
        <item x="244"/>
        <item x="307"/>
        <item x="152"/>
        <item x="279"/>
        <item x="0"/>
        <item x="268"/>
        <item x="49"/>
        <item x="195"/>
        <item x="102"/>
        <item x="63"/>
        <item x="294"/>
        <item x="227"/>
        <item x="113"/>
        <item x="178"/>
        <item x="76"/>
        <item x="52"/>
        <item x="284"/>
        <item x="98"/>
        <item x="85"/>
        <item x="333"/>
        <item x="188"/>
        <item x="149"/>
        <item x="207"/>
        <item x="204"/>
        <item x="321"/>
        <item x="322"/>
        <item x="171"/>
        <item x="317"/>
        <item x="331"/>
        <item x="172"/>
        <item x="311"/>
        <item x="304"/>
        <item x="308"/>
        <item x="66"/>
        <item x="237"/>
        <item x="105"/>
        <item x="4"/>
        <item x="199"/>
        <item x="192"/>
        <item x="272"/>
        <item x="330"/>
        <item x="77"/>
        <item x="332"/>
        <item x="41"/>
        <item x="251"/>
        <item x="34"/>
        <item x="51"/>
        <item x="301"/>
        <item x="31"/>
        <item x="247"/>
        <item x="242"/>
        <item x="295"/>
        <item x="194"/>
        <item x="155"/>
        <item x="82"/>
        <item x="14"/>
        <item x="292"/>
        <item x="160"/>
        <item x="83"/>
        <item x="210"/>
        <item x="26"/>
        <item x="143"/>
        <item x="217"/>
        <item x="146"/>
        <item x="145"/>
        <item x="162"/>
        <item x="193"/>
        <item x="345"/>
        <item x="127"/>
        <item x="180"/>
        <item x="285"/>
        <item x="27"/>
        <item x="150"/>
        <item x="260"/>
        <item x="99"/>
        <item x="342"/>
        <item x="276"/>
        <item x="20"/>
        <item x="78"/>
        <item x="283"/>
        <item x="12"/>
        <item x="334"/>
        <item x="40"/>
        <item x="115"/>
        <item x="46"/>
        <item x="324"/>
        <item x="164"/>
        <item x="104"/>
        <item x="67"/>
        <item x="101"/>
        <item x="140"/>
        <item x="198"/>
        <item x="103"/>
        <item x="278"/>
        <item x="234"/>
        <item x="139"/>
        <item x="318"/>
        <item x="262"/>
        <item x="182"/>
        <item x="243"/>
        <item x="138"/>
        <item x="339"/>
        <item x="232"/>
        <item x="177"/>
        <item x="74"/>
        <item x="144"/>
        <item x="73"/>
        <item x="254"/>
        <item x="274"/>
        <item x="246"/>
        <item x="80"/>
        <item x="30"/>
        <item x="310"/>
        <item x="215"/>
        <item x="124"/>
        <item x="273"/>
        <item x="79"/>
        <item x="134"/>
        <item x="240"/>
        <item x="281"/>
        <item x="225"/>
        <item x="187"/>
        <item x="173"/>
        <item x="206"/>
        <item x="16"/>
        <item x="329"/>
        <item x="107"/>
        <item x="168"/>
        <item x="327"/>
        <item x="38"/>
        <item x="259"/>
        <item x="89"/>
        <item x="300"/>
        <item x="214"/>
        <item x="211"/>
        <item x="112"/>
        <item x="24"/>
        <item x="128"/>
        <item x="161"/>
        <item x="156"/>
        <item x="280"/>
        <item x="158"/>
        <item x="120"/>
        <item x="245"/>
        <item x="97"/>
        <item x="166"/>
        <item x="151"/>
        <item x="323"/>
        <item x="312"/>
        <item x="309"/>
        <item x="289"/>
        <item x="305"/>
        <item x="2"/>
        <item x="291"/>
        <item x="119"/>
        <item x="347"/>
        <item x="60"/>
        <item x="15"/>
        <item x="159"/>
        <item x="349"/>
        <item x="28"/>
        <item x="303"/>
        <item x="111"/>
        <item x="343"/>
        <item x="48"/>
        <item x="197"/>
        <item x="90"/>
        <item x="53"/>
        <item x="81"/>
        <item x="253"/>
        <item x="44"/>
        <item x="233"/>
        <item x="235"/>
        <item x="228"/>
        <item x="43"/>
        <item x="189"/>
        <item x="239"/>
        <item x="287"/>
        <item x="181"/>
        <item x="110"/>
        <item x="135"/>
        <item x="275"/>
        <item x="11"/>
        <item x="147"/>
        <item x="91"/>
        <item x="10"/>
        <item x="59"/>
        <item x="209"/>
        <item x="293"/>
        <item x="297"/>
        <item x="68"/>
        <item x="117"/>
        <item x="70"/>
        <item x="33"/>
        <item x="191"/>
        <item x="17"/>
        <item x="169"/>
        <item x="299"/>
        <item x="326"/>
        <item x="35"/>
        <item x="265"/>
        <item x="212"/>
        <item x="86"/>
        <item x="108"/>
        <item x="335"/>
        <item x="252"/>
        <item x="261"/>
        <item x="175"/>
        <item x="183"/>
        <item x="141"/>
        <item x="75"/>
        <item x="72"/>
        <item x="50"/>
        <item x="257"/>
        <item x="154"/>
        <item x="230"/>
        <item x="270"/>
        <item x="338"/>
        <item x="319"/>
        <item x="315"/>
        <item x="8"/>
        <item x="320"/>
        <item x="142"/>
        <item x="248"/>
        <item x="229"/>
        <item x="348"/>
        <item x="136"/>
        <item x="221"/>
        <item x="176"/>
        <item x="288"/>
        <item x="96"/>
        <item x="263"/>
        <item x="29"/>
        <item x="6"/>
        <item x="190"/>
        <item x="344"/>
        <item x="5"/>
        <item x="165"/>
        <item x="340"/>
        <item x="219"/>
        <item x="184"/>
        <item x="130"/>
        <item x="18"/>
        <item x="131"/>
        <item x="137"/>
        <item x="61"/>
        <item x="277"/>
        <item x="231"/>
        <item x="163"/>
        <item x="196"/>
        <item x="64"/>
        <item x="213"/>
        <item x="125"/>
        <item x="58"/>
        <item x="123"/>
        <item x="19"/>
        <item x="62"/>
        <item x="36"/>
        <item x="57"/>
        <item x="306"/>
        <item x="7"/>
        <item x="42"/>
        <item x="1"/>
        <item x="25"/>
        <item x="87"/>
        <item x="255"/>
        <item x="157"/>
        <item x="132"/>
        <item x="282"/>
        <item x="94"/>
        <item x="54"/>
        <item x="37"/>
        <item x="302"/>
        <item x="290"/>
        <item x="153"/>
        <item x="314"/>
        <item x="71"/>
        <item x="256"/>
        <item x="336"/>
        <item x="69"/>
        <item x="266"/>
        <item x="203"/>
        <item x="45"/>
        <item x="185"/>
        <item x="65"/>
        <item x="208"/>
        <item x="39"/>
        <item x="122"/>
        <item x="258"/>
        <item x="325"/>
        <item x="22"/>
        <item x="93"/>
        <item x="100"/>
        <item x="129"/>
        <item x="337"/>
        <item x="56"/>
        <item x="13"/>
        <item x="201"/>
        <item x="269"/>
        <item x="21"/>
        <item x="296"/>
        <item x="47"/>
        <item t="default"/>
      </items>
    </pivotField>
    <pivotField showAll="0"/>
    <pivotField numFmtId="164" showAll="0"/>
    <pivotField showAll="0"/>
    <pivotField showAll="0"/>
    <pivotField numFmtId="166" showAll="0"/>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axis="axisRow" multipleItemSelectionAllowed="1" showAll="0">
      <items count="4">
        <item x="1"/>
        <item x="2"/>
        <item x="0"/>
        <item t="default"/>
      </items>
    </pivotField>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9"/>
  </rowFields>
  <rowItems count="4">
    <i>
      <x/>
    </i>
    <i>
      <x v="1"/>
    </i>
    <i>
      <x v="2"/>
    </i>
    <i t="grand">
      <x/>
    </i>
  </rowItems>
  <colItems count="1">
    <i/>
  </colItems>
  <dataFields count="1">
    <dataField name="Count of Product_Name" fld="1" subtotal="count" baseField="0" baseItem="0"/>
  </dataFields>
  <formats count="6">
    <format dxfId="39">
      <pivotArea type="all" dataOnly="0" outline="0" fieldPosition="0"/>
    </format>
    <format dxfId="38">
      <pivotArea outline="0" collapsedLevelsAreSubtotals="1" fieldPosition="0"/>
    </format>
    <format dxfId="37">
      <pivotArea field="19" type="button" dataOnly="0" labelOnly="1" outline="0" axis="axisRow" fieldPosition="0"/>
    </format>
    <format dxfId="36">
      <pivotArea dataOnly="0" labelOnly="1" fieldPosition="0">
        <references count="1">
          <reference field="19" count="0"/>
        </references>
      </pivotArea>
    </format>
    <format dxfId="35">
      <pivotArea dataOnly="0" labelOnly="1" grandRow="1" outline="0" fieldPosition="0"/>
    </format>
    <format dxfId="34">
      <pivotArea dataOnly="0" labelOnly="1" outline="0" axis="axisValues" fieldPosition="0"/>
    </format>
  </formats>
  <chartFormats count="8">
    <chartFormat chart="56" format="0" series="1">
      <pivotArea type="data" outline="0" fieldPosition="0">
        <references count="1">
          <reference field="4294967294" count="1" selected="0">
            <x v="0"/>
          </reference>
        </references>
      </pivotArea>
    </chartFormat>
    <chartFormat chart="62" format="5" series="1">
      <pivotArea type="data" outline="0" fieldPosition="0">
        <references count="1">
          <reference field="4294967294" count="1" selected="0">
            <x v="0"/>
          </reference>
        </references>
      </pivotArea>
    </chartFormat>
    <chartFormat chart="62" format="6">
      <pivotArea type="data" outline="0" fieldPosition="0">
        <references count="2">
          <reference field="4294967294" count="1" selected="0">
            <x v="0"/>
          </reference>
          <reference field="19" count="1" selected="0">
            <x v="0"/>
          </reference>
        </references>
      </pivotArea>
    </chartFormat>
    <chartFormat chart="62" format="7">
      <pivotArea type="data" outline="0" fieldPosition="0">
        <references count="2">
          <reference field="4294967294" count="1" selected="0">
            <x v="0"/>
          </reference>
          <reference field="19" count="1" selected="0">
            <x v="1"/>
          </reference>
        </references>
      </pivotArea>
    </chartFormat>
    <chartFormat chart="62" format="8">
      <pivotArea type="data" outline="0" fieldPosition="0">
        <references count="2">
          <reference field="4294967294" count="1" selected="0">
            <x v="0"/>
          </reference>
          <reference field="19" count="1" selected="0">
            <x v="2"/>
          </reference>
        </references>
      </pivotArea>
    </chartFormat>
    <chartFormat chart="56" format="1">
      <pivotArea type="data" outline="0" fieldPosition="0">
        <references count="2">
          <reference field="4294967294" count="1" selected="0">
            <x v="0"/>
          </reference>
          <reference field="19" count="1" selected="0">
            <x v="0"/>
          </reference>
        </references>
      </pivotArea>
    </chartFormat>
    <chartFormat chart="56" format="2">
      <pivotArea type="data" outline="0" fieldPosition="0">
        <references count="2">
          <reference field="4294967294" count="1" selected="0">
            <x v="0"/>
          </reference>
          <reference field="19" count="1" selected="0">
            <x v="1"/>
          </reference>
        </references>
      </pivotArea>
    </chartFormat>
    <chartFormat chart="56" format="3">
      <pivotArea type="data" outline="0" fieldPosition="0">
        <references count="2">
          <reference field="4294967294" count="1" selected="0">
            <x v="0"/>
          </reference>
          <reference field="19" count="1" selected="0">
            <x v="2"/>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C1188-7E12-4371-8284-D6E7086FB7C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49:C57" firstHeaderRow="1" firstDataRow="1" firstDataCol="1" rowPageCount="1" colPageCount="1"/>
  <pivotFields count="26">
    <pivotField showAll="0"/>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Row" showAll="0" sortType="ascending">
      <items count="9">
        <item x="6"/>
        <item x="3"/>
        <item x="5"/>
        <item x="2"/>
        <item x="0"/>
        <item x="4"/>
        <item x="1"/>
        <item m="1" x="7"/>
        <item t="default"/>
      </items>
    </pivotField>
    <pivotField showAll="0"/>
    <pivotField showAll="0"/>
    <pivotField dataField="1" showAll="0"/>
    <pivotField numFmtId="164" showAll="0"/>
    <pivotField showAll="0"/>
    <pivotField showAll="0"/>
    <pivotField numFmtId="166" showAll="0"/>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axis="axisPage" multipleItemSelectionAllowed="1" showAll="0">
      <items count="4">
        <item x="1"/>
        <item x="2"/>
        <item h="1" x="0"/>
        <item t="default"/>
      </items>
    </pivotField>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pageFields count="1">
    <pageField fld="19" hier="-1"/>
  </pageFields>
  <dataFields count="1">
    <dataField name="Sum of Stock_Quantity" fld="5" baseField="0" baseItem="0"/>
  </dataFields>
  <formats count="12">
    <format dxfId="51">
      <pivotArea type="all" dataOnly="0" outline="0" fieldPosition="0"/>
    </format>
    <format dxfId="50">
      <pivotArea outline="0" collapsedLevelsAreSubtotals="1" fieldPosition="0"/>
    </format>
    <format dxfId="49">
      <pivotArea field="2" type="button" dataOnly="0" labelOnly="1" outline="0" axis="axisRow" fieldPosition="0"/>
    </format>
    <format dxfId="48">
      <pivotArea dataOnly="0" labelOnly="1" fieldPosition="0">
        <references count="1">
          <reference field="2" count="0"/>
        </references>
      </pivotArea>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2" type="button" dataOnly="0" labelOnly="1" outline="0" axis="axisRow" fieldPosition="0"/>
    </format>
    <format dxfId="42">
      <pivotArea dataOnly="0" labelOnly="1" fieldPosition="0">
        <references count="1">
          <reference field="2" count="0"/>
        </references>
      </pivotArea>
    </format>
    <format dxfId="41">
      <pivotArea dataOnly="0" labelOnly="1" grandRow="1" outline="0" fieldPosition="0"/>
    </format>
    <format dxfId="40">
      <pivotArea dataOnly="0" labelOnly="1" outline="0" axis="axisValues" fieldPosition="0"/>
    </format>
  </formats>
  <chartFormats count="24">
    <chartFormat chart="19" format="0"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6" format="10">
      <pivotArea type="data" outline="0" fieldPosition="0">
        <references count="2">
          <reference field="4294967294" count="1" selected="0">
            <x v="0"/>
          </reference>
          <reference field="2" count="1" selected="0">
            <x v="0"/>
          </reference>
        </references>
      </pivotArea>
    </chartFormat>
    <chartFormat chart="26" format="11">
      <pivotArea type="data" outline="0" fieldPosition="0">
        <references count="2">
          <reference field="4294967294" count="1" selected="0">
            <x v="0"/>
          </reference>
          <reference field="2" count="1" selected="0">
            <x v="1"/>
          </reference>
        </references>
      </pivotArea>
    </chartFormat>
    <chartFormat chart="26" format="12">
      <pivotArea type="data" outline="0" fieldPosition="0">
        <references count="2">
          <reference field="4294967294" count="1" selected="0">
            <x v="0"/>
          </reference>
          <reference field="2" count="1" selected="0">
            <x v="2"/>
          </reference>
        </references>
      </pivotArea>
    </chartFormat>
    <chartFormat chart="26" format="13">
      <pivotArea type="data" outline="0" fieldPosition="0">
        <references count="2">
          <reference field="4294967294" count="1" selected="0">
            <x v="0"/>
          </reference>
          <reference field="2" count="1" selected="0">
            <x v="3"/>
          </reference>
        </references>
      </pivotArea>
    </chartFormat>
    <chartFormat chart="26" format="14">
      <pivotArea type="data" outline="0" fieldPosition="0">
        <references count="2">
          <reference field="4294967294" count="1" selected="0">
            <x v="0"/>
          </reference>
          <reference field="2" count="1" selected="0">
            <x v="4"/>
          </reference>
        </references>
      </pivotArea>
    </chartFormat>
    <chartFormat chart="26" format="15">
      <pivotArea type="data" outline="0" fieldPosition="0">
        <references count="2">
          <reference field="4294967294" count="1" selected="0">
            <x v="0"/>
          </reference>
          <reference field="2" count="1" selected="0">
            <x v="5"/>
          </reference>
        </references>
      </pivotArea>
    </chartFormat>
    <chartFormat chart="26" format="16">
      <pivotArea type="data" outline="0" fieldPosition="0">
        <references count="2">
          <reference field="4294967294" count="1" selected="0">
            <x v="0"/>
          </reference>
          <reference field="2" count="1" selected="0">
            <x v="6"/>
          </reference>
        </references>
      </pivotArea>
    </chartFormat>
    <chartFormat chart="38" format="9" series="1">
      <pivotArea type="data" outline="0" fieldPosition="0">
        <references count="1">
          <reference field="4294967294" count="1" selected="0">
            <x v="0"/>
          </reference>
        </references>
      </pivotArea>
    </chartFormat>
    <chartFormat chart="38" format="10">
      <pivotArea type="data" outline="0" fieldPosition="0">
        <references count="2">
          <reference field="4294967294" count="1" selected="0">
            <x v="0"/>
          </reference>
          <reference field="2" count="1" selected="0">
            <x v="0"/>
          </reference>
        </references>
      </pivotArea>
    </chartFormat>
    <chartFormat chart="38" format="11">
      <pivotArea type="data" outline="0" fieldPosition="0">
        <references count="2">
          <reference field="4294967294" count="1" selected="0">
            <x v="0"/>
          </reference>
          <reference field="2" count="1" selected="0">
            <x v="1"/>
          </reference>
        </references>
      </pivotArea>
    </chartFormat>
    <chartFormat chart="38" format="12">
      <pivotArea type="data" outline="0" fieldPosition="0">
        <references count="2">
          <reference field="4294967294" count="1" selected="0">
            <x v="0"/>
          </reference>
          <reference field="2" count="1" selected="0">
            <x v="2"/>
          </reference>
        </references>
      </pivotArea>
    </chartFormat>
    <chartFormat chart="38" format="13">
      <pivotArea type="data" outline="0" fieldPosition="0">
        <references count="2">
          <reference field="4294967294" count="1" selected="0">
            <x v="0"/>
          </reference>
          <reference field="2" count="1" selected="0">
            <x v="3"/>
          </reference>
        </references>
      </pivotArea>
    </chartFormat>
    <chartFormat chart="38" format="14">
      <pivotArea type="data" outline="0" fieldPosition="0">
        <references count="2">
          <reference field="4294967294" count="1" selected="0">
            <x v="0"/>
          </reference>
          <reference field="2" count="1" selected="0">
            <x v="4"/>
          </reference>
        </references>
      </pivotArea>
    </chartFormat>
    <chartFormat chart="38" format="15">
      <pivotArea type="data" outline="0" fieldPosition="0">
        <references count="2">
          <reference field="4294967294" count="1" selected="0">
            <x v="0"/>
          </reference>
          <reference field="2" count="1" selected="0">
            <x v="5"/>
          </reference>
        </references>
      </pivotArea>
    </chartFormat>
    <chartFormat chart="38" format="16">
      <pivotArea type="data" outline="0" fieldPosition="0">
        <references count="2">
          <reference field="4294967294" count="1" selected="0">
            <x v="0"/>
          </reference>
          <reference field="2" count="1" selected="0">
            <x v="6"/>
          </reference>
        </references>
      </pivotArea>
    </chartFormat>
    <chartFormat chart="19" format="1">
      <pivotArea type="data" outline="0" fieldPosition="0">
        <references count="2">
          <reference field="4294967294" count="1" selected="0">
            <x v="0"/>
          </reference>
          <reference field="2" count="1" selected="0">
            <x v="0"/>
          </reference>
        </references>
      </pivotArea>
    </chartFormat>
    <chartFormat chart="19" format="2">
      <pivotArea type="data" outline="0" fieldPosition="0">
        <references count="2">
          <reference field="4294967294" count="1" selected="0">
            <x v="0"/>
          </reference>
          <reference field="2" count="1" selected="0">
            <x v="1"/>
          </reference>
        </references>
      </pivotArea>
    </chartFormat>
    <chartFormat chart="19" format="3">
      <pivotArea type="data" outline="0" fieldPosition="0">
        <references count="2">
          <reference field="4294967294" count="1" selected="0">
            <x v="0"/>
          </reference>
          <reference field="2" count="1" selected="0">
            <x v="2"/>
          </reference>
        </references>
      </pivotArea>
    </chartFormat>
    <chartFormat chart="19" format="4">
      <pivotArea type="data" outline="0" fieldPosition="0">
        <references count="2">
          <reference field="4294967294" count="1" selected="0">
            <x v="0"/>
          </reference>
          <reference field="2" count="1" selected="0">
            <x v="3"/>
          </reference>
        </references>
      </pivotArea>
    </chartFormat>
    <chartFormat chart="19" format="5">
      <pivotArea type="data" outline="0" fieldPosition="0">
        <references count="2">
          <reference field="4294967294" count="1" selected="0">
            <x v="0"/>
          </reference>
          <reference field="2" count="1" selected="0">
            <x v="4"/>
          </reference>
        </references>
      </pivotArea>
    </chartFormat>
    <chartFormat chart="19" format="6">
      <pivotArea type="data" outline="0" fieldPosition="0">
        <references count="2">
          <reference field="4294967294" count="1" selected="0">
            <x v="0"/>
          </reference>
          <reference field="2" count="1" selected="0">
            <x v="5"/>
          </reference>
        </references>
      </pivotArea>
    </chartFormat>
    <chartFormat chart="19" format="7">
      <pivotArea type="data" outline="0" fieldPosition="0">
        <references count="2">
          <reference field="4294967294" count="1" selected="0">
            <x v="0"/>
          </reference>
          <reference field="2" count="1" selected="0">
            <x v="6"/>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6B7A02-EDCC-415D-AC25-CB7102B401E0}"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B160:C168" firstHeaderRow="1" firstDataRow="1" firstDataCol="1"/>
  <pivotFields count="26">
    <pivotField showAll="0">
      <items count="991">
        <item x="463"/>
        <item x="339"/>
        <item x="69"/>
        <item x="415"/>
        <item x="24"/>
        <item x="130"/>
        <item x="106"/>
        <item x="104"/>
        <item x="347"/>
        <item x="557"/>
        <item x="255"/>
        <item x="133"/>
        <item x="412"/>
        <item x="876"/>
        <item x="127"/>
        <item x="827"/>
        <item x="728"/>
        <item x="336"/>
        <item x="795"/>
        <item x="823"/>
        <item x="801"/>
        <item x="234"/>
        <item x="731"/>
        <item x="714"/>
        <item x="796"/>
        <item x="351"/>
        <item x="553"/>
        <item x="695"/>
        <item x="733"/>
        <item x="220"/>
        <item x="271"/>
        <item x="917"/>
        <item x="608"/>
        <item x="824"/>
        <item x="879"/>
        <item x="912"/>
        <item x="548"/>
        <item x="977"/>
        <item x="189"/>
        <item x="309"/>
        <item x="465"/>
        <item x="830"/>
        <item x="434"/>
        <item x="761"/>
        <item x="187"/>
        <item x="591"/>
        <item x="270"/>
        <item x="648"/>
        <item x="869"/>
        <item x="138"/>
        <item x="37"/>
        <item x="964"/>
        <item x="105"/>
        <item x="403"/>
        <item x="135"/>
        <item x="604"/>
        <item x="215"/>
        <item x="211"/>
        <item x="72"/>
        <item x="186"/>
        <item x="773"/>
        <item x="967"/>
        <item x="344"/>
        <item x="654"/>
        <item x="969"/>
        <item x="487"/>
        <item x="440"/>
        <item x="518"/>
        <item x="702"/>
        <item x="781"/>
        <item x="782"/>
        <item x="107"/>
        <item x="379"/>
        <item x="691"/>
        <item x="621"/>
        <item x="228"/>
        <item x="353"/>
        <item x="274"/>
        <item x="603"/>
        <item x="356"/>
        <item x="490"/>
        <item x="858"/>
        <item x="85"/>
        <item x="15"/>
        <item x="677"/>
        <item x="799"/>
        <item x="91"/>
        <item x="937"/>
        <item x="476"/>
        <item x="161"/>
        <item x="706"/>
        <item x="520"/>
        <item x="646"/>
        <item x="862"/>
        <item x="599"/>
        <item x="245"/>
        <item x="838"/>
        <item x="419"/>
        <item x="724"/>
        <item x="595"/>
        <item x="940"/>
        <item x="453"/>
        <item x="409"/>
        <item x="549"/>
        <item x="142"/>
        <item x="908"/>
        <item x="362"/>
        <item x="112"/>
        <item x="79"/>
        <item x="194"/>
        <item x="18"/>
        <item x="813"/>
        <item x="660"/>
        <item x="273"/>
        <item x="576"/>
        <item x="201"/>
        <item x="672"/>
        <item x="246"/>
        <item x="689"/>
        <item x="47"/>
        <item x="546"/>
        <item x="547"/>
        <item x="715"/>
        <item x="207"/>
        <item x="202"/>
        <item x="732"/>
        <item x="647"/>
        <item x="906"/>
        <item x="637"/>
        <item x="661"/>
        <item x="100"/>
        <item x="285"/>
        <item x="59"/>
        <item x="713"/>
        <item x="880"/>
        <item x="372"/>
        <item x="744"/>
        <item x="297"/>
        <item x="566"/>
        <item x="358"/>
        <item x="374"/>
        <item x="391"/>
        <item x="950"/>
        <item x="650"/>
        <item x="363"/>
        <item x="774"/>
        <item x="526"/>
        <item x="95"/>
        <item x="848"/>
        <item x="843"/>
        <item x="257"/>
        <item x="239"/>
        <item x="835"/>
        <item x="73"/>
        <item x="1"/>
        <item x="183"/>
        <item x="441"/>
        <item x="942"/>
        <item x="29"/>
        <item x="98"/>
        <item x="433"/>
        <item x="33"/>
        <item x="825"/>
        <item x="146"/>
        <item x="370"/>
        <item x="223"/>
        <item x="404"/>
        <item x="524"/>
        <item x="760"/>
        <item x="265"/>
        <item x="988"/>
        <item x="28"/>
        <item x="36"/>
        <item x="690"/>
        <item x="124"/>
        <item x="312"/>
        <item x="31"/>
        <item x="663"/>
        <item x="48"/>
        <item x="424"/>
        <item x="25"/>
        <item x="846"/>
        <item x="421"/>
        <item x="618"/>
        <item x="953"/>
        <item x="694"/>
        <item x="6"/>
        <item x="847"/>
        <item x="281"/>
        <item x="384"/>
        <item x="230"/>
        <item x="396"/>
        <item x="160"/>
        <item x="645"/>
        <item x="522"/>
        <item x="667"/>
        <item x="484"/>
        <item x="469"/>
        <item x="545"/>
        <item x="954"/>
        <item x="174"/>
        <item x="909"/>
        <item x="793"/>
        <item x="136"/>
        <item x="554"/>
        <item x="251"/>
        <item x="941"/>
        <item x="669"/>
        <item x="263"/>
        <item x="722"/>
        <item x="560"/>
        <item x="63"/>
        <item x="191"/>
        <item x="0"/>
        <item x="288"/>
        <item x="272"/>
        <item x="925"/>
        <item x="284"/>
        <item x="262"/>
        <item x="929"/>
        <item x="97"/>
        <item x="400"/>
        <item x="905"/>
        <item x="534"/>
        <item x="932"/>
        <item x="778"/>
        <item x="934"/>
        <item x="907"/>
        <item x="821"/>
        <item x="979"/>
        <item x="237"/>
        <item x="581"/>
        <item x="734"/>
        <item x="718"/>
        <item x="974"/>
        <item x="901"/>
        <item x="947"/>
        <item x="203"/>
        <item x="485"/>
        <item x="757"/>
        <item x="357"/>
        <item x="574"/>
        <item x="503"/>
        <item x="23"/>
        <item x="241"/>
        <item x="427"/>
        <item x="894"/>
        <item x="264"/>
        <item x="368"/>
        <item x="815"/>
        <item x="633"/>
        <item x="401"/>
        <item x="617"/>
        <item x="643"/>
        <item x="875"/>
        <item x="895"/>
        <item x="914"/>
        <item x="980"/>
        <item x="303"/>
        <item x="867"/>
        <item x="861"/>
        <item x="762"/>
        <item x="519"/>
        <item x="755"/>
        <item x="784"/>
        <item x="851"/>
        <item x="687"/>
        <item x="468"/>
        <item x="452"/>
        <item x="482"/>
        <item x="390"/>
        <item x="818"/>
        <item x="716"/>
        <item x="610"/>
        <item x="16"/>
        <item x="341"/>
        <item x="389"/>
        <item x="443"/>
        <item x="8"/>
        <item x="156"/>
        <item x="635"/>
        <item x="258"/>
        <item x="644"/>
        <item x="753"/>
        <item x="725"/>
        <item x="22"/>
        <item x="573"/>
        <item x="904"/>
        <item x="516"/>
        <item x="877"/>
        <item x="699"/>
        <item x="417"/>
        <item x="376"/>
        <item x="708"/>
        <item x="88"/>
        <item x="819"/>
        <item x="489"/>
        <item x="833"/>
        <item x="527"/>
        <item x="797"/>
        <item x="318"/>
        <item x="56"/>
        <item x="502"/>
        <item x="314"/>
        <item x="985"/>
        <item x="629"/>
        <item x="926"/>
        <item x="110"/>
        <item x="163"/>
        <item x="493"/>
        <item x="571"/>
        <item x="676"/>
        <item x="425"/>
        <item x="746"/>
        <item x="585"/>
        <item x="889"/>
        <item x="640"/>
        <item x="891"/>
        <item x="631"/>
        <item x="919"/>
        <item x="197"/>
        <item x="955"/>
        <item x="65"/>
        <item x="40"/>
        <item x="474"/>
        <item x="422"/>
        <item x="769"/>
        <item x="128"/>
        <item x="445"/>
        <item x="592"/>
        <item x="350"/>
        <item x="90"/>
        <item x="684"/>
        <item x="544"/>
        <item x="565"/>
        <item x="902"/>
        <item x="510"/>
        <item x="89"/>
        <item x="973"/>
        <item x="317"/>
        <item x="34"/>
        <item x="803"/>
        <item x="928"/>
        <item x="213"/>
        <item x="740"/>
        <item x="261"/>
        <item x="438"/>
        <item x="642"/>
        <item x="266"/>
        <item x="538"/>
        <item x="152"/>
        <item x="158"/>
        <item x="44"/>
        <item x="856"/>
        <item x="859"/>
        <item x="743"/>
        <item x="745"/>
        <item x="366"/>
        <item x="829"/>
        <item x="766"/>
        <item x="83"/>
        <item x="287"/>
        <item x="11"/>
        <item x="108"/>
        <item x="93"/>
        <item x="543"/>
        <item x="616"/>
        <item x="431"/>
        <item x="754"/>
        <item x="157"/>
        <item x="671"/>
        <item x="7"/>
        <item x="559"/>
        <item x="470"/>
        <item x="216"/>
        <item x="580"/>
        <item x="588"/>
        <item x="673"/>
        <item x="717"/>
        <item x="933"/>
        <item x="102"/>
        <item x="583"/>
        <item x="501"/>
        <item x="219"/>
        <item x="678"/>
        <item x="305"/>
        <item x="674"/>
        <item x="483"/>
        <item x="54"/>
        <item x="473"/>
        <item x="84"/>
        <item x="385"/>
        <item x="884"/>
        <item x="338"/>
        <item x="359"/>
        <item x="738"/>
        <item x="383"/>
        <item x="936"/>
        <item x="983"/>
        <item x="212"/>
        <item x="575"/>
        <item x="878"/>
        <item x="248"/>
        <item x="38"/>
        <item x="935"/>
        <item x="680"/>
        <item x="800"/>
        <item x="727"/>
        <item x="432"/>
        <item x="41"/>
        <item x="64"/>
        <item x="326"/>
        <item x="972"/>
        <item x="10"/>
        <item x="244"/>
        <item x="457"/>
        <item x="55"/>
        <item x="763"/>
        <item x="916"/>
        <item x="315"/>
        <item x="331"/>
        <item x="772"/>
        <item x="751"/>
        <item x="204"/>
        <item x="242"/>
        <item x="707"/>
        <item x="930"/>
        <item x="841"/>
        <item x="956"/>
        <item x="14"/>
        <item x="533"/>
        <item x="268"/>
        <item x="897"/>
        <item x="175"/>
        <item x="567"/>
        <item x="50"/>
        <item x="614"/>
        <item x="172"/>
        <item x="682"/>
        <item x="529"/>
        <item x="791"/>
        <item x="692"/>
        <item x="890"/>
        <item x="496"/>
        <item x="176"/>
        <item x="289"/>
        <item x="367"/>
        <item x="512"/>
        <item x="831"/>
        <item x="883"/>
        <item x="652"/>
        <item x="665"/>
        <item x="960"/>
        <item x="910"/>
        <item x="730"/>
        <item x="118"/>
        <item x="630"/>
        <item x="693"/>
        <item x="149"/>
        <item x="627"/>
        <item x="193"/>
        <item x="854"/>
        <item x="458"/>
        <item x="768"/>
        <item x="957"/>
        <item x="462"/>
        <item x="864"/>
        <item x="26"/>
        <item x="442"/>
        <item x="329"/>
        <item x="711"/>
        <item x="792"/>
        <item x="488"/>
        <item x="915"/>
        <item x="386"/>
        <item x="606"/>
        <item x="296"/>
        <item x="709"/>
        <item x="103"/>
        <item x="319"/>
        <item x="607"/>
        <item x="450"/>
        <item x="13"/>
        <item x="638"/>
        <item x="80"/>
        <item x="719"/>
        <item x="278"/>
        <item x="221"/>
        <item x="334"/>
        <item x="200"/>
        <item x="696"/>
        <item x="898"/>
        <item x="39"/>
        <item x="52"/>
        <item x="505"/>
        <item x="335"/>
        <item x="653"/>
        <item x="369"/>
        <item x="76"/>
        <item x="872"/>
        <item x="507"/>
        <item x="525"/>
        <item x="499"/>
        <item x="802"/>
        <item x="747"/>
        <item x="298"/>
        <item x="260"/>
        <item x="291"/>
        <item x="378"/>
        <item x="561"/>
        <item x="965"/>
        <item x="259"/>
        <item x="206"/>
        <item x="236"/>
        <item x="767"/>
        <item x="675"/>
        <item x="446"/>
        <item x="144"/>
        <item x="572"/>
        <item x="231"/>
        <item x="798"/>
        <item x="523"/>
        <item x="531"/>
        <item x="611"/>
        <item x="316"/>
        <item x="342"/>
        <item x="777"/>
        <item x="267"/>
        <item x="703"/>
        <item x="2"/>
        <item x="162"/>
        <item x="504"/>
        <item x="865"/>
        <item x="498"/>
        <item x="540"/>
        <item x="808"/>
        <item x="721"/>
        <item x="408"/>
        <item x="612"/>
        <item x="602"/>
        <item x="229"/>
        <item x="737"/>
        <item x="814"/>
        <item x="346"/>
        <item x="834"/>
        <item x="429"/>
        <item x="295"/>
        <item x="494"/>
        <item x="256"/>
        <item x="214"/>
        <item x="868"/>
        <item x="51"/>
        <item x="466"/>
        <item x="911"/>
        <item x="420"/>
        <item x="448"/>
        <item x="739"/>
        <item x="145"/>
        <item x="134"/>
        <item x="517"/>
        <item x="139"/>
        <item x="632"/>
        <item x="966"/>
        <item x="809"/>
        <item x="923"/>
        <item x="896"/>
        <item x="539"/>
        <item x="765"/>
        <item x="167"/>
        <item x="975"/>
        <item x="300"/>
        <item x="959"/>
        <item x="461"/>
        <item x="393"/>
        <item x="141"/>
        <item x="949"/>
        <item x="688"/>
        <item x="99"/>
        <item x="395"/>
        <item x="280"/>
        <item x="116"/>
        <item x="853"/>
        <item x="870"/>
        <item x="310"/>
        <item x="87"/>
        <item x="121"/>
        <item x="586"/>
        <item x="70"/>
        <item x="299"/>
        <item x="150"/>
        <item x="340"/>
        <item x="53"/>
        <item x="377"/>
        <item x="447"/>
        <item x="578"/>
        <item x="786"/>
        <item x="364"/>
        <item x="863"/>
        <item x="570"/>
        <item x="232"/>
        <item x="454"/>
        <item x="252"/>
        <item x="881"/>
        <item x="634"/>
        <item x="129"/>
        <item x="114"/>
        <item x="770"/>
        <item x="922"/>
        <item x="32"/>
        <item x="330"/>
        <item x="27"/>
        <item x="742"/>
        <item x="750"/>
        <item x="275"/>
        <item x="811"/>
        <item x="238"/>
        <item x="3"/>
        <item x="836"/>
        <item x="623"/>
        <item x="736"/>
        <item x="382"/>
        <item x="375"/>
        <item x="311"/>
        <item x="569"/>
        <item x="700"/>
        <item x="619"/>
        <item x="587"/>
        <item x="989"/>
        <item x="555"/>
        <item x="697"/>
        <item x="749"/>
        <item x="21"/>
        <item x="94"/>
        <item x="832"/>
        <item x="511"/>
        <item x="626"/>
        <item x="658"/>
        <item x="535"/>
        <item x="952"/>
        <item x="943"/>
        <item x="361"/>
        <item x="471"/>
        <item x="410"/>
        <item x="668"/>
        <item x="354"/>
        <item x="593"/>
        <item x="178"/>
        <item x="181"/>
        <item x="115"/>
        <item x="651"/>
        <item x="416"/>
        <item x="19"/>
        <item x="625"/>
        <item x="132"/>
        <item x="874"/>
        <item x="235"/>
        <item x="976"/>
        <item x="509"/>
        <item x="302"/>
        <item x="190"/>
        <item x="579"/>
        <item x="92"/>
        <item x="222"/>
        <item x="486"/>
        <item x="428"/>
        <item x="120"/>
        <item x="360"/>
        <item x="655"/>
        <item x="775"/>
        <item x="137"/>
        <item x="165"/>
        <item x="641"/>
        <item x="636"/>
        <item x="337"/>
        <item x="210"/>
        <item x="491"/>
        <item x="418"/>
        <item x="981"/>
        <item x="845"/>
        <item x="402"/>
        <item x="35"/>
        <item x="164"/>
        <item x="984"/>
        <item x="805"/>
        <item x="77"/>
        <item x="171"/>
        <item x="971"/>
        <item x="147"/>
        <item x="590"/>
        <item x="307"/>
        <item x="30"/>
        <item x="514"/>
        <item x="472"/>
        <item x="355"/>
        <item x="986"/>
        <item x="399"/>
        <item x="111"/>
        <item x="679"/>
        <item x="177"/>
        <item x="804"/>
        <item x="850"/>
        <item x="710"/>
        <item x="20"/>
        <item x="810"/>
        <item x="304"/>
        <item x="159"/>
        <item x="217"/>
        <item x="282"/>
        <item x="530"/>
        <item x="764"/>
        <item x="17"/>
        <item x="550"/>
        <item x="154"/>
        <item x="479"/>
        <item x="5"/>
        <item x="828"/>
        <item x="785"/>
        <item x="787"/>
        <item x="582"/>
        <item x="888"/>
        <item x="168"/>
        <item x="594"/>
        <item x="449"/>
        <item x="807"/>
        <item x="913"/>
        <item x="601"/>
        <item x="712"/>
        <item x="500"/>
        <item x="96"/>
        <item x="225"/>
        <item x="325"/>
        <item x="12"/>
        <item x="657"/>
        <item x="436"/>
        <item x="247"/>
        <item x="649"/>
        <item x="552"/>
        <item x="893"/>
        <item x="666"/>
        <item x="437"/>
        <item x="224"/>
        <item x="887"/>
        <item x="837"/>
        <item x="817"/>
        <item x="439"/>
        <item x="920"/>
        <item x="806"/>
        <item x="283"/>
        <item x="756"/>
        <item x="664"/>
        <item x="705"/>
        <item x="195"/>
        <item x="605"/>
        <item x="380"/>
        <item x="741"/>
        <item x="373"/>
        <item x="779"/>
        <item x="301"/>
        <item x="704"/>
        <item x="622"/>
        <item x="254"/>
        <item x="613"/>
        <item x="659"/>
        <item x="352"/>
        <item x="931"/>
        <item x="43"/>
        <item x="199"/>
        <item x="4"/>
        <item x="816"/>
        <item x="9"/>
        <item x="81"/>
        <item x="790"/>
        <item x="938"/>
        <item x="521"/>
        <item x="119"/>
        <item x="513"/>
        <item x="423"/>
        <item x="944"/>
        <item x="205"/>
        <item x="839"/>
        <item x="480"/>
        <item x="495"/>
        <item x="564"/>
        <item x="192"/>
        <item x="430"/>
        <item x="900"/>
        <item x="577"/>
        <item x="308"/>
        <item x="584"/>
        <item x="117"/>
        <item x="413"/>
        <item x="826"/>
        <item x="885"/>
        <item x="394"/>
        <item x="405"/>
        <item x="292"/>
        <item x="481"/>
        <item x="857"/>
        <item x="968"/>
        <item x="49"/>
        <item x="551"/>
        <item x="180"/>
        <item x="982"/>
        <item x="542"/>
        <item x="456"/>
        <item x="323"/>
        <item x="398"/>
        <item x="776"/>
        <item x="153"/>
        <item x="849"/>
        <item x="970"/>
        <item x="620"/>
        <item x="892"/>
        <item x="243"/>
        <item x="250"/>
        <item x="196"/>
        <item x="294"/>
        <item x="349"/>
        <item x="596"/>
        <item x="66"/>
        <item x="508"/>
        <item x="820"/>
        <item x="921"/>
        <item x="62"/>
        <item x="332"/>
        <item x="568"/>
        <item x="185"/>
        <item x="726"/>
        <item x="467"/>
        <item x="780"/>
        <item x="61"/>
        <item x="42"/>
        <item x="464"/>
        <item x="82"/>
        <item x="184"/>
        <item x="392"/>
        <item x="541"/>
        <item x="198"/>
        <item x="166"/>
        <item x="656"/>
        <item x="537"/>
        <item x="131"/>
        <item x="328"/>
        <item x="249"/>
        <item x="148"/>
        <item x="45"/>
        <item x="371"/>
        <item x="365"/>
        <item x="444"/>
        <item x="397"/>
        <item x="924"/>
        <item x="506"/>
        <item x="771"/>
        <item x="589"/>
        <item x="125"/>
        <item x="348"/>
        <item x="492"/>
        <item x="927"/>
        <item x="46"/>
        <item x="948"/>
        <item x="345"/>
        <item x="74"/>
        <item x="958"/>
        <item x="840"/>
        <item x="748"/>
        <item x="962"/>
        <item x="628"/>
        <item x="343"/>
        <item x="286"/>
        <item x="723"/>
        <item x="822"/>
        <item x="75"/>
        <item x="562"/>
        <item x="882"/>
        <item x="662"/>
        <item x="903"/>
        <item x="276"/>
        <item x="951"/>
        <item x="686"/>
        <item x="218"/>
        <item x="290"/>
        <item x="406"/>
        <item x="68"/>
        <item x="598"/>
        <item x="459"/>
        <item x="101"/>
        <item x="253"/>
        <item x="963"/>
        <item x="151"/>
        <item x="170"/>
        <item x="414"/>
        <item x="126"/>
        <item x="558"/>
        <item x="67"/>
        <item x="321"/>
        <item x="788"/>
        <item x="961"/>
        <item x="113"/>
        <item x="532"/>
        <item x="600"/>
        <item x="71"/>
        <item x="701"/>
        <item x="109"/>
        <item x="173"/>
        <item x="720"/>
        <item x="609"/>
        <item x="615"/>
        <item x="860"/>
        <item x="320"/>
        <item x="411"/>
        <item x="460"/>
        <item x="388"/>
        <item x="597"/>
        <item x="123"/>
        <item x="240"/>
        <item x="871"/>
        <item x="752"/>
        <item x="729"/>
        <item x="987"/>
        <item x="794"/>
        <item x="899"/>
        <item x="233"/>
        <item x="426"/>
        <item x="685"/>
        <item x="945"/>
        <item x="556"/>
        <item x="477"/>
        <item x="143"/>
        <item x="842"/>
        <item x="528"/>
        <item x="78"/>
        <item x="313"/>
        <item x="789"/>
        <item x="683"/>
        <item x="886"/>
        <item x="155"/>
        <item x="670"/>
        <item x="227"/>
        <item x="208"/>
        <item x="866"/>
        <item x="759"/>
        <item x="455"/>
        <item x="169"/>
        <item x="844"/>
        <item x="812"/>
        <item x="783"/>
        <item x="475"/>
        <item x="209"/>
        <item x="122"/>
        <item x="387"/>
        <item x="536"/>
        <item x="407"/>
        <item x="57"/>
        <item x="322"/>
        <item x="58"/>
        <item x="435"/>
        <item x="269"/>
        <item x="381"/>
        <item x="86"/>
        <item x="946"/>
        <item x="918"/>
        <item x="324"/>
        <item x="277"/>
        <item x="497"/>
        <item x="852"/>
        <item x="188"/>
        <item x="624"/>
        <item x="333"/>
        <item x="758"/>
        <item x="681"/>
        <item x="563"/>
        <item x="327"/>
        <item x="60"/>
        <item x="279"/>
        <item x="639"/>
        <item x="978"/>
        <item x="698"/>
        <item x="306"/>
        <item x="182"/>
        <item x="855"/>
        <item x="293"/>
        <item x="735"/>
        <item x="873"/>
        <item x="140"/>
        <item x="226"/>
        <item x="179"/>
        <item x="515"/>
        <item x="451"/>
        <item x="939"/>
        <item x="478"/>
        <item t="default"/>
      </items>
    </pivotField>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Row" showAll="0" sortType="ascending">
      <items count="9">
        <item sd="0" x="6"/>
        <item sd="0" x="3"/>
        <item sd="0" x="5"/>
        <item sd="0" x="2"/>
        <item sd="0" x="0"/>
        <item sd="0" x="4"/>
        <item sd="0" x="1"/>
        <item sd="0" m="1" x="7"/>
        <item t="default" sd="0"/>
      </items>
    </pivotField>
    <pivotField showAll="0"/>
    <pivotField showAll="0">
      <items count="351">
        <item x="148"/>
        <item x="118"/>
        <item x="346"/>
        <item x="238"/>
        <item x="84"/>
        <item x="222"/>
        <item x="205"/>
        <item x="241"/>
        <item x="121"/>
        <item x="271"/>
        <item x="114"/>
        <item x="167"/>
        <item x="249"/>
        <item x="264"/>
        <item x="200"/>
        <item x="32"/>
        <item x="223"/>
        <item x="286"/>
        <item x="224"/>
        <item x="202"/>
        <item x="92"/>
        <item x="126"/>
        <item x="216"/>
        <item x="95"/>
        <item x="328"/>
        <item x="313"/>
        <item x="3"/>
        <item x="267"/>
        <item x="174"/>
        <item x="170"/>
        <item x="316"/>
        <item x="220"/>
        <item x="218"/>
        <item x="298"/>
        <item x="106"/>
        <item x="109"/>
        <item x="88"/>
        <item x="55"/>
        <item x="250"/>
        <item x="179"/>
        <item x="116"/>
        <item x="9"/>
        <item x="236"/>
        <item x="341"/>
        <item x="226"/>
        <item x="186"/>
        <item x="133"/>
        <item x="23"/>
        <item x="244"/>
        <item x="307"/>
        <item x="152"/>
        <item x="279"/>
        <item x="0"/>
        <item x="268"/>
        <item x="49"/>
        <item x="195"/>
        <item x="102"/>
        <item x="63"/>
        <item x="294"/>
        <item x="227"/>
        <item x="113"/>
        <item x="178"/>
        <item x="76"/>
        <item x="52"/>
        <item x="284"/>
        <item x="98"/>
        <item x="85"/>
        <item x="333"/>
        <item x="188"/>
        <item x="149"/>
        <item x="207"/>
        <item x="204"/>
        <item x="321"/>
        <item x="322"/>
        <item x="171"/>
        <item x="317"/>
        <item x="331"/>
        <item x="172"/>
        <item x="311"/>
        <item x="304"/>
        <item x="308"/>
        <item x="66"/>
        <item x="237"/>
        <item x="105"/>
        <item x="4"/>
        <item x="199"/>
        <item x="192"/>
        <item x="272"/>
        <item x="330"/>
        <item x="77"/>
        <item x="332"/>
        <item x="41"/>
        <item x="251"/>
        <item x="34"/>
        <item x="51"/>
        <item x="301"/>
        <item x="31"/>
        <item x="247"/>
        <item x="242"/>
        <item x="295"/>
        <item x="194"/>
        <item x="155"/>
        <item x="82"/>
        <item x="14"/>
        <item x="292"/>
        <item x="160"/>
        <item x="83"/>
        <item x="210"/>
        <item x="26"/>
        <item x="143"/>
        <item x="217"/>
        <item x="146"/>
        <item x="145"/>
        <item x="162"/>
        <item x="193"/>
        <item x="345"/>
        <item x="127"/>
        <item x="180"/>
        <item x="285"/>
        <item x="27"/>
        <item x="150"/>
        <item x="260"/>
        <item x="99"/>
        <item x="342"/>
        <item x="276"/>
        <item x="20"/>
        <item x="78"/>
        <item x="283"/>
        <item x="12"/>
        <item x="334"/>
        <item x="40"/>
        <item x="115"/>
        <item x="46"/>
        <item x="324"/>
        <item x="164"/>
        <item x="104"/>
        <item x="67"/>
        <item x="101"/>
        <item x="140"/>
        <item x="198"/>
        <item x="103"/>
        <item x="278"/>
        <item x="234"/>
        <item x="139"/>
        <item x="318"/>
        <item x="262"/>
        <item x="182"/>
        <item x="243"/>
        <item x="138"/>
        <item x="339"/>
        <item x="232"/>
        <item x="177"/>
        <item x="74"/>
        <item x="144"/>
        <item x="73"/>
        <item x="254"/>
        <item x="274"/>
        <item x="246"/>
        <item x="80"/>
        <item x="30"/>
        <item x="310"/>
        <item x="215"/>
        <item x="124"/>
        <item x="273"/>
        <item x="79"/>
        <item x="134"/>
        <item x="240"/>
        <item x="281"/>
        <item x="225"/>
        <item x="187"/>
        <item x="173"/>
        <item x="206"/>
        <item x="16"/>
        <item x="329"/>
        <item x="107"/>
        <item x="168"/>
        <item x="327"/>
        <item x="38"/>
        <item x="259"/>
        <item x="89"/>
        <item x="300"/>
        <item x="214"/>
        <item x="211"/>
        <item x="112"/>
        <item x="24"/>
        <item x="128"/>
        <item x="161"/>
        <item x="156"/>
        <item x="280"/>
        <item x="158"/>
        <item x="120"/>
        <item x="245"/>
        <item x="97"/>
        <item x="166"/>
        <item x="151"/>
        <item x="323"/>
        <item x="312"/>
        <item x="309"/>
        <item x="289"/>
        <item x="305"/>
        <item x="2"/>
        <item x="291"/>
        <item x="119"/>
        <item x="347"/>
        <item x="60"/>
        <item x="15"/>
        <item x="159"/>
        <item x="349"/>
        <item x="28"/>
        <item x="303"/>
        <item x="111"/>
        <item x="343"/>
        <item x="48"/>
        <item x="197"/>
        <item x="90"/>
        <item x="53"/>
        <item x="81"/>
        <item x="253"/>
        <item x="44"/>
        <item x="233"/>
        <item x="235"/>
        <item x="228"/>
        <item x="43"/>
        <item x="189"/>
        <item x="239"/>
        <item x="287"/>
        <item x="181"/>
        <item x="110"/>
        <item x="135"/>
        <item x="275"/>
        <item x="11"/>
        <item x="147"/>
        <item x="91"/>
        <item x="10"/>
        <item x="59"/>
        <item x="209"/>
        <item x="293"/>
        <item x="297"/>
        <item x="68"/>
        <item x="117"/>
        <item x="70"/>
        <item x="33"/>
        <item x="191"/>
        <item x="17"/>
        <item x="169"/>
        <item x="299"/>
        <item x="326"/>
        <item x="35"/>
        <item x="265"/>
        <item x="212"/>
        <item x="86"/>
        <item x="108"/>
        <item x="335"/>
        <item x="252"/>
        <item x="261"/>
        <item x="175"/>
        <item x="183"/>
        <item x="141"/>
        <item x="75"/>
        <item x="72"/>
        <item x="50"/>
        <item x="257"/>
        <item x="154"/>
        <item x="230"/>
        <item x="270"/>
        <item x="338"/>
        <item x="319"/>
        <item x="315"/>
        <item x="8"/>
        <item x="320"/>
        <item x="142"/>
        <item x="248"/>
        <item x="229"/>
        <item x="348"/>
        <item x="136"/>
        <item x="221"/>
        <item x="176"/>
        <item x="288"/>
        <item x="96"/>
        <item x="263"/>
        <item x="29"/>
        <item x="6"/>
        <item x="190"/>
        <item x="344"/>
        <item x="5"/>
        <item x="165"/>
        <item x="340"/>
        <item x="219"/>
        <item x="184"/>
        <item x="130"/>
        <item x="18"/>
        <item x="131"/>
        <item x="137"/>
        <item x="61"/>
        <item x="277"/>
        <item x="231"/>
        <item x="163"/>
        <item x="196"/>
        <item x="64"/>
        <item x="213"/>
        <item x="125"/>
        <item x="58"/>
        <item x="123"/>
        <item x="19"/>
        <item x="62"/>
        <item x="36"/>
        <item x="57"/>
        <item x="306"/>
        <item x="7"/>
        <item x="42"/>
        <item x="1"/>
        <item x="25"/>
        <item x="87"/>
        <item x="255"/>
        <item x="157"/>
        <item x="132"/>
        <item x="282"/>
        <item x="94"/>
        <item x="54"/>
        <item x="37"/>
        <item x="302"/>
        <item x="290"/>
        <item x="153"/>
        <item x="314"/>
        <item x="71"/>
        <item x="256"/>
        <item x="336"/>
        <item x="69"/>
        <item x="266"/>
        <item x="203"/>
        <item x="45"/>
        <item x="185"/>
        <item x="65"/>
        <item x="208"/>
        <item x="39"/>
        <item x="122"/>
        <item x="258"/>
        <item x="325"/>
        <item x="22"/>
        <item x="93"/>
        <item x="100"/>
        <item x="129"/>
        <item x="337"/>
        <item x="56"/>
        <item x="13"/>
        <item x="201"/>
        <item x="269"/>
        <item x="21"/>
        <item x="296"/>
        <item x="47"/>
        <item t="default"/>
      </items>
    </pivotField>
    <pivotField showAll="0"/>
    <pivotField numFmtId="164" showAll="0"/>
    <pivotField showAll="0"/>
    <pivotField showAll="0"/>
    <pivotField numFmtId="166" showAll="0"/>
    <pivotField dataField="1"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multipleItemSelectionAllowed="1" showAll="0">
      <items count="4">
        <item x="1"/>
        <item x="2"/>
        <item x="0"/>
        <item t="default"/>
      </items>
    </pivotField>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Items count="1">
    <i/>
  </colItems>
  <dataFields count="1">
    <dataField name="Sum of Reorder_Frequency" fld="10" baseField="0" baseItem="0" numFmtId="165"/>
  </dataFields>
  <formats count="6">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grandRow="1" outline="0" fieldPosition="0"/>
    </format>
    <format dxfId="52">
      <pivotArea dataOnly="0" labelOnly="1" outline="0" axis="axisValues" fieldPosition="0"/>
    </format>
  </formats>
  <chartFormats count="16">
    <chartFormat chart="71" format="0" series="1">
      <pivotArea type="data" outline="0" fieldPosition="0">
        <references count="1">
          <reference field="4294967294" count="1" selected="0">
            <x v="0"/>
          </reference>
        </references>
      </pivotArea>
    </chartFormat>
    <chartFormat chart="79" format="9" series="1">
      <pivotArea type="data" outline="0" fieldPosition="0">
        <references count="1">
          <reference field="4294967294" count="1" selected="0">
            <x v="0"/>
          </reference>
        </references>
      </pivotArea>
    </chartFormat>
    <chartFormat chart="79" format="10">
      <pivotArea type="data" outline="0" fieldPosition="0">
        <references count="2">
          <reference field="4294967294" count="1" selected="0">
            <x v="0"/>
          </reference>
          <reference field="2" count="1" selected="0">
            <x v="0"/>
          </reference>
        </references>
      </pivotArea>
    </chartFormat>
    <chartFormat chart="79" format="11">
      <pivotArea type="data" outline="0" fieldPosition="0">
        <references count="2">
          <reference field="4294967294" count="1" selected="0">
            <x v="0"/>
          </reference>
          <reference field="2" count="1" selected="0">
            <x v="1"/>
          </reference>
        </references>
      </pivotArea>
    </chartFormat>
    <chartFormat chart="79" format="12">
      <pivotArea type="data" outline="0" fieldPosition="0">
        <references count="2">
          <reference field="4294967294" count="1" selected="0">
            <x v="0"/>
          </reference>
          <reference field="2" count="1" selected="0">
            <x v="2"/>
          </reference>
        </references>
      </pivotArea>
    </chartFormat>
    <chartFormat chart="79" format="13">
      <pivotArea type="data" outline="0" fieldPosition="0">
        <references count="2">
          <reference field="4294967294" count="1" selected="0">
            <x v="0"/>
          </reference>
          <reference field="2" count="1" selected="0">
            <x v="3"/>
          </reference>
        </references>
      </pivotArea>
    </chartFormat>
    <chartFormat chart="79" format="14">
      <pivotArea type="data" outline="0" fieldPosition="0">
        <references count="2">
          <reference field="4294967294" count="1" selected="0">
            <x v="0"/>
          </reference>
          <reference field="2" count="1" selected="0">
            <x v="4"/>
          </reference>
        </references>
      </pivotArea>
    </chartFormat>
    <chartFormat chart="79" format="15">
      <pivotArea type="data" outline="0" fieldPosition="0">
        <references count="2">
          <reference field="4294967294" count="1" selected="0">
            <x v="0"/>
          </reference>
          <reference field="2" count="1" selected="0">
            <x v="5"/>
          </reference>
        </references>
      </pivotArea>
    </chartFormat>
    <chartFormat chart="79" format="16">
      <pivotArea type="data" outline="0" fieldPosition="0">
        <references count="2">
          <reference field="4294967294" count="1" selected="0">
            <x v="0"/>
          </reference>
          <reference field="2" count="1" selected="0">
            <x v="6"/>
          </reference>
        </references>
      </pivotArea>
    </chartFormat>
    <chartFormat chart="71" format="1">
      <pivotArea type="data" outline="0" fieldPosition="0">
        <references count="2">
          <reference field="4294967294" count="1" selected="0">
            <x v="0"/>
          </reference>
          <reference field="2" count="1" selected="0">
            <x v="0"/>
          </reference>
        </references>
      </pivotArea>
    </chartFormat>
    <chartFormat chart="71" format="2">
      <pivotArea type="data" outline="0" fieldPosition="0">
        <references count="2">
          <reference field="4294967294" count="1" selected="0">
            <x v="0"/>
          </reference>
          <reference field="2" count="1" selected="0">
            <x v="1"/>
          </reference>
        </references>
      </pivotArea>
    </chartFormat>
    <chartFormat chart="71" format="3">
      <pivotArea type="data" outline="0" fieldPosition="0">
        <references count="2">
          <reference field="4294967294" count="1" selected="0">
            <x v="0"/>
          </reference>
          <reference field="2" count="1" selected="0">
            <x v="2"/>
          </reference>
        </references>
      </pivotArea>
    </chartFormat>
    <chartFormat chart="71" format="4">
      <pivotArea type="data" outline="0" fieldPosition="0">
        <references count="2">
          <reference field="4294967294" count="1" selected="0">
            <x v="0"/>
          </reference>
          <reference field="2" count="1" selected="0">
            <x v="3"/>
          </reference>
        </references>
      </pivotArea>
    </chartFormat>
    <chartFormat chart="71" format="5">
      <pivotArea type="data" outline="0" fieldPosition="0">
        <references count="2">
          <reference field="4294967294" count="1" selected="0">
            <x v="0"/>
          </reference>
          <reference field="2" count="1" selected="0">
            <x v="4"/>
          </reference>
        </references>
      </pivotArea>
    </chartFormat>
    <chartFormat chart="71" format="6">
      <pivotArea type="data" outline="0" fieldPosition="0">
        <references count="2">
          <reference field="4294967294" count="1" selected="0">
            <x v="0"/>
          </reference>
          <reference field="2" count="1" selected="0">
            <x v="5"/>
          </reference>
        </references>
      </pivotArea>
    </chartFormat>
    <chartFormat chart="71" format="7">
      <pivotArea type="data" outline="0" fieldPosition="0">
        <references count="2">
          <reference field="4294967294" count="1" selected="0">
            <x v="0"/>
          </reference>
          <reference field="2" count="1" selected="0">
            <x v="6"/>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11C1EB-F23D-4273-91CC-8A61A344EB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9:C37" firstHeaderRow="1" firstDataRow="1" firstDataCol="1"/>
  <pivotFields count="26">
    <pivotField showAll="0"/>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Row" showAll="0" sortType="ascending">
      <items count="9">
        <item x="6"/>
        <item x="3"/>
        <item x="5"/>
        <item x="2"/>
        <item x="0"/>
        <item x="4"/>
        <item x="1"/>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showAll="0"/>
    <pivotField numFmtId="166" showAll="0"/>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showAll="0"/>
    <pivotField numFmtId="164" showAll="0"/>
    <pivotField dataField="1"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5"/>
    </i>
    <i>
      <x v="6"/>
    </i>
    <i>
      <x v="4"/>
    </i>
    <i>
      <x v="2"/>
    </i>
    <i>
      <x v="3"/>
    </i>
    <i t="grand">
      <x/>
    </i>
  </rowItems>
  <colItems count="1">
    <i/>
  </colItems>
  <dataFields count="1">
    <dataField name="Count of Reorder_Status" fld="21" subtotal="count" baseField="0" baseItem="0"/>
  </dataFields>
  <formats count="12">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grandRow="1" outline="0"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outline="0" axis="axisValues" fieldPosition="0"/>
    </format>
  </format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0ADEBD-F45E-4047-BA1F-1A0CB8D4FD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C22" firstHeaderRow="1" firstDataRow="1" firstDataCol="1"/>
  <pivotFields count="26">
    <pivotField showAll="0"/>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Row" showAll="0" sortType="descending">
      <items count="9">
        <item x="6"/>
        <item x="3"/>
        <item x="5"/>
        <item x="2"/>
        <item x="0"/>
        <item x="4"/>
        <item x="1"/>
        <item m="1"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64" showAll="0"/>
    <pivotField showAll="0"/>
    <pivotField showAll="0"/>
    <pivotField numFmtId="166" showAll="0"/>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showAll="0"/>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v="3"/>
    </i>
    <i>
      <x v="2"/>
    </i>
    <i>
      <x v="4"/>
    </i>
    <i>
      <x v="6"/>
    </i>
    <i>
      <x/>
    </i>
    <i>
      <x v="5"/>
    </i>
    <i>
      <x v="1"/>
    </i>
    <i t="grand">
      <x/>
    </i>
  </rowItems>
  <colItems count="1">
    <i/>
  </colItems>
  <dataFields count="1">
    <dataField name="Sum of Stock_Quantity" fld="5" baseField="0" baseItem="0"/>
  </dataFields>
  <formats count="12">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7ED130-810D-46EE-AA3B-58A5D57416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B65:C76" firstHeaderRow="1" firstDataRow="1" firstDataCol="1"/>
  <pivotFields count="26">
    <pivotField showAll="0"/>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showAll="0" sortType="ascending">
      <items count="9">
        <item x="6"/>
        <item x="3"/>
        <item x="5"/>
        <item x="2"/>
        <item x="0"/>
        <item x="4"/>
        <item x="1"/>
        <item m="1" x="7"/>
        <item t="default"/>
      </items>
    </pivotField>
    <pivotField showAll="0"/>
    <pivotField axis="axisRow" showAll="0" measureFilter="1" sortType="descending">
      <items count="351">
        <item x="148"/>
        <item x="118"/>
        <item x="346"/>
        <item x="238"/>
        <item x="84"/>
        <item x="222"/>
        <item x="205"/>
        <item x="241"/>
        <item x="121"/>
        <item x="271"/>
        <item x="114"/>
        <item x="167"/>
        <item x="249"/>
        <item x="264"/>
        <item x="200"/>
        <item x="32"/>
        <item x="223"/>
        <item x="286"/>
        <item x="224"/>
        <item x="202"/>
        <item x="92"/>
        <item x="126"/>
        <item x="216"/>
        <item x="95"/>
        <item x="328"/>
        <item x="313"/>
        <item x="3"/>
        <item x="267"/>
        <item x="174"/>
        <item x="170"/>
        <item x="316"/>
        <item x="220"/>
        <item x="218"/>
        <item x="298"/>
        <item x="106"/>
        <item x="109"/>
        <item x="88"/>
        <item x="55"/>
        <item x="250"/>
        <item x="179"/>
        <item x="116"/>
        <item x="9"/>
        <item x="236"/>
        <item x="341"/>
        <item x="226"/>
        <item x="186"/>
        <item x="133"/>
        <item x="23"/>
        <item x="244"/>
        <item x="307"/>
        <item x="152"/>
        <item x="279"/>
        <item x="0"/>
        <item x="268"/>
        <item x="49"/>
        <item x="195"/>
        <item x="102"/>
        <item x="63"/>
        <item x="294"/>
        <item x="227"/>
        <item x="113"/>
        <item x="178"/>
        <item x="76"/>
        <item x="52"/>
        <item x="284"/>
        <item x="98"/>
        <item x="85"/>
        <item x="333"/>
        <item x="188"/>
        <item x="149"/>
        <item x="207"/>
        <item x="204"/>
        <item x="321"/>
        <item x="322"/>
        <item x="171"/>
        <item x="317"/>
        <item x="331"/>
        <item x="172"/>
        <item x="311"/>
        <item x="304"/>
        <item x="308"/>
        <item x="66"/>
        <item x="237"/>
        <item x="105"/>
        <item x="4"/>
        <item x="199"/>
        <item x="192"/>
        <item x="272"/>
        <item x="330"/>
        <item x="77"/>
        <item x="332"/>
        <item x="41"/>
        <item x="251"/>
        <item x="34"/>
        <item x="51"/>
        <item x="301"/>
        <item x="31"/>
        <item x="247"/>
        <item x="242"/>
        <item x="295"/>
        <item x="194"/>
        <item x="155"/>
        <item x="82"/>
        <item x="14"/>
        <item x="292"/>
        <item x="160"/>
        <item x="83"/>
        <item x="210"/>
        <item x="26"/>
        <item x="143"/>
        <item x="217"/>
        <item x="146"/>
        <item x="145"/>
        <item x="162"/>
        <item x="193"/>
        <item x="345"/>
        <item x="127"/>
        <item x="180"/>
        <item x="285"/>
        <item x="27"/>
        <item x="150"/>
        <item x="260"/>
        <item x="99"/>
        <item x="342"/>
        <item x="276"/>
        <item x="20"/>
        <item x="78"/>
        <item x="283"/>
        <item x="12"/>
        <item x="334"/>
        <item x="40"/>
        <item x="115"/>
        <item x="46"/>
        <item x="324"/>
        <item x="164"/>
        <item x="104"/>
        <item x="67"/>
        <item x="101"/>
        <item x="140"/>
        <item x="198"/>
        <item x="103"/>
        <item x="278"/>
        <item x="234"/>
        <item x="139"/>
        <item x="318"/>
        <item x="262"/>
        <item x="182"/>
        <item x="243"/>
        <item x="138"/>
        <item x="339"/>
        <item x="232"/>
        <item x="177"/>
        <item x="74"/>
        <item x="144"/>
        <item x="73"/>
        <item x="254"/>
        <item x="274"/>
        <item x="246"/>
        <item x="80"/>
        <item x="30"/>
        <item x="310"/>
        <item x="215"/>
        <item x="124"/>
        <item x="273"/>
        <item x="79"/>
        <item x="134"/>
        <item x="240"/>
        <item x="281"/>
        <item x="225"/>
        <item x="187"/>
        <item x="173"/>
        <item x="206"/>
        <item x="16"/>
        <item x="329"/>
        <item x="107"/>
        <item x="168"/>
        <item x="327"/>
        <item x="38"/>
        <item x="259"/>
        <item x="89"/>
        <item x="300"/>
        <item x="214"/>
        <item x="211"/>
        <item x="112"/>
        <item x="24"/>
        <item x="128"/>
        <item x="161"/>
        <item x="156"/>
        <item x="280"/>
        <item x="158"/>
        <item x="120"/>
        <item x="245"/>
        <item x="97"/>
        <item x="166"/>
        <item x="151"/>
        <item x="323"/>
        <item x="312"/>
        <item x="309"/>
        <item x="289"/>
        <item x="305"/>
        <item x="2"/>
        <item x="291"/>
        <item x="119"/>
        <item x="347"/>
        <item x="60"/>
        <item x="15"/>
        <item x="159"/>
        <item x="349"/>
        <item x="28"/>
        <item x="303"/>
        <item x="111"/>
        <item x="343"/>
        <item x="48"/>
        <item x="197"/>
        <item x="90"/>
        <item x="53"/>
        <item x="81"/>
        <item x="253"/>
        <item x="44"/>
        <item x="233"/>
        <item x="235"/>
        <item x="228"/>
        <item x="43"/>
        <item x="189"/>
        <item x="239"/>
        <item x="287"/>
        <item x="181"/>
        <item x="110"/>
        <item x="135"/>
        <item x="275"/>
        <item x="11"/>
        <item x="147"/>
        <item x="91"/>
        <item x="10"/>
        <item x="59"/>
        <item x="209"/>
        <item x="293"/>
        <item x="297"/>
        <item x="68"/>
        <item x="117"/>
        <item x="70"/>
        <item x="33"/>
        <item x="191"/>
        <item x="17"/>
        <item x="169"/>
        <item x="299"/>
        <item x="326"/>
        <item x="35"/>
        <item x="265"/>
        <item x="212"/>
        <item x="86"/>
        <item x="108"/>
        <item x="335"/>
        <item x="252"/>
        <item x="261"/>
        <item x="175"/>
        <item x="183"/>
        <item x="141"/>
        <item x="75"/>
        <item x="72"/>
        <item x="50"/>
        <item x="257"/>
        <item x="154"/>
        <item x="230"/>
        <item x="270"/>
        <item x="338"/>
        <item x="319"/>
        <item x="315"/>
        <item x="8"/>
        <item x="320"/>
        <item x="142"/>
        <item x="248"/>
        <item x="229"/>
        <item x="348"/>
        <item x="136"/>
        <item x="221"/>
        <item x="176"/>
        <item x="288"/>
        <item x="96"/>
        <item x="263"/>
        <item x="29"/>
        <item x="6"/>
        <item x="190"/>
        <item x="344"/>
        <item x="5"/>
        <item x="165"/>
        <item x="340"/>
        <item x="219"/>
        <item x="184"/>
        <item x="130"/>
        <item x="18"/>
        <item x="131"/>
        <item x="137"/>
        <item x="61"/>
        <item x="277"/>
        <item x="231"/>
        <item x="163"/>
        <item x="196"/>
        <item x="64"/>
        <item x="213"/>
        <item x="125"/>
        <item x="58"/>
        <item x="123"/>
        <item x="19"/>
        <item x="62"/>
        <item x="36"/>
        <item x="57"/>
        <item x="306"/>
        <item x="7"/>
        <item x="42"/>
        <item x="1"/>
        <item x="25"/>
        <item x="87"/>
        <item x="255"/>
        <item x="157"/>
        <item x="132"/>
        <item x="282"/>
        <item x="94"/>
        <item x="54"/>
        <item x="37"/>
        <item x="302"/>
        <item x="290"/>
        <item x="153"/>
        <item x="314"/>
        <item x="71"/>
        <item x="256"/>
        <item x="336"/>
        <item x="69"/>
        <item x="266"/>
        <item x="203"/>
        <item x="45"/>
        <item x="185"/>
        <item x="65"/>
        <item x="208"/>
        <item x="39"/>
        <item x="122"/>
        <item x="258"/>
        <item x="325"/>
        <item x="22"/>
        <item x="93"/>
        <item x="100"/>
        <item x="129"/>
        <item x="337"/>
        <item x="56"/>
        <item x="13"/>
        <item x="201"/>
        <item x="269"/>
        <item x="21"/>
        <item x="296"/>
        <item x="47"/>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dataField="1" numFmtId="166" showAll="0" measureFilter="1"/>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multipleItemSelectionAllowed="1" showAll="0"/>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11">
    <i>
      <x v="298"/>
    </i>
    <i>
      <x v="332"/>
    </i>
    <i>
      <x v="228"/>
    </i>
    <i>
      <x v="128"/>
    </i>
    <i>
      <x v="218"/>
    </i>
    <i>
      <x v="311"/>
    </i>
    <i>
      <x v="334"/>
    </i>
    <i>
      <x v="200"/>
    </i>
    <i>
      <x v="138"/>
    </i>
    <i>
      <x v="238"/>
    </i>
    <i t="grand">
      <x/>
    </i>
  </rowItems>
  <colItems count="1">
    <i/>
  </colItems>
  <dataFields count="1">
    <dataField name="Sum of Reorder_Value" fld="9" baseField="0" baseItem="0" numFmtId="166"/>
  </dataFields>
  <formats count="18">
    <format dxfId="99">
      <pivotArea type="all" dataOnly="0" outline="0" fieldPosition="0"/>
    </format>
    <format dxfId="98">
      <pivotArea outline="0" collapsedLevelsAreSubtotals="1" fieldPosition="0"/>
    </format>
    <format dxfId="97">
      <pivotArea field="4" type="button" dataOnly="0" labelOnly="1" outline="0" axis="axisRow" fieldPosition="0"/>
    </format>
    <format dxfId="96">
      <pivotArea dataOnly="0" labelOnly="1" fieldPosition="0">
        <references count="1">
          <reference field="4" count="10">
            <x v="128"/>
            <x v="138"/>
            <x v="200"/>
            <x v="218"/>
            <x v="228"/>
            <x v="238"/>
            <x v="298"/>
            <x v="311"/>
            <x v="332"/>
            <x v="334"/>
          </reference>
        </references>
      </pivotArea>
    </format>
    <format dxfId="95">
      <pivotArea dataOnly="0" labelOnly="1" grandRow="1" outline="0"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field="4" type="button" dataOnly="0" labelOnly="1" outline="0" axis="axisRow" fieldPosition="0"/>
    </format>
    <format dxfId="90">
      <pivotArea dataOnly="0" labelOnly="1" fieldPosition="0">
        <references count="1">
          <reference field="4" count="10">
            <x v="128"/>
            <x v="138"/>
            <x v="200"/>
            <x v="218"/>
            <x v="228"/>
            <x v="238"/>
            <x v="298"/>
            <x v="311"/>
            <x v="332"/>
            <x v="334"/>
          </reference>
        </references>
      </pivotArea>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4" type="button" dataOnly="0" labelOnly="1" outline="0" axis="axisRow" fieldPosition="0"/>
    </format>
    <format dxfId="84">
      <pivotArea dataOnly="0" labelOnly="1" fieldPosition="0">
        <references count="1">
          <reference field="4" count="10">
            <x v="18"/>
            <x v="31"/>
            <x v="90"/>
            <x v="128"/>
            <x v="130"/>
            <x v="163"/>
            <x v="204"/>
            <x v="247"/>
            <x v="302"/>
            <x v="304"/>
          </reference>
        </references>
      </pivotArea>
    </format>
    <format dxfId="83">
      <pivotArea dataOnly="0" labelOnly="1" grandRow="1" outline="0" fieldPosition="0"/>
    </format>
    <format dxfId="82">
      <pivotArea dataOnly="0" labelOnly="1" outline="0" axis="axisValues" fieldPosition="0"/>
    </format>
  </formats>
  <chartFormats count="2">
    <chartFormat chart="39"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filters count="2">
    <filter fld="9" type="count" evalOrder="-1" id="2" iMeasureFld="0">
      <autoFilter ref="A1">
        <filterColumn colId="0">
          <top10 val="10" filterVal="10"/>
        </filterColumn>
      </autoFilter>
    </filter>
    <filter fld="4"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2B1575-F8A9-4FBE-AA48-32DFF42E4A7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B139:D147" firstHeaderRow="0" firstDataRow="1" firstDataCol="1"/>
  <pivotFields count="26">
    <pivotField showAll="0"/>
    <pivotField showAll="0">
      <items count="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axis="axisRow" showAll="0" sortType="ascending">
      <items count="9">
        <item x="6"/>
        <item x="3"/>
        <item x="5"/>
        <item x="2"/>
        <item x="0"/>
        <item x="4"/>
        <item x="1"/>
        <item m="1" x="7"/>
        <item t="default"/>
      </items>
    </pivotField>
    <pivotField showAll="0"/>
    <pivotField showAll="0">
      <items count="351">
        <item x="148"/>
        <item x="118"/>
        <item x="346"/>
        <item x="238"/>
        <item x="84"/>
        <item x="222"/>
        <item x="205"/>
        <item x="241"/>
        <item x="121"/>
        <item x="271"/>
        <item x="114"/>
        <item x="167"/>
        <item x="249"/>
        <item x="264"/>
        <item x="200"/>
        <item x="32"/>
        <item x="223"/>
        <item x="286"/>
        <item x="224"/>
        <item x="202"/>
        <item x="92"/>
        <item x="126"/>
        <item x="216"/>
        <item x="95"/>
        <item x="328"/>
        <item x="313"/>
        <item x="3"/>
        <item x="267"/>
        <item x="174"/>
        <item x="170"/>
        <item x="316"/>
        <item x="220"/>
        <item x="218"/>
        <item x="298"/>
        <item x="106"/>
        <item x="109"/>
        <item x="88"/>
        <item x="55"/>
        <item x="250"/>
        <item x="179"/>
        <item x="116"/>
        <item x="9"/>
        <item x="236"/>
        <item x="341"/>
        <item x="226"/>
        <item x="186"/>
        <item x="133"/>
        <item x="23"/>
        <item x="244"/>
        <item x="307"/>
        <item x="152"/>
        <item x="279"/>
        <item x="0"/>
        <item x="268"/>
        <item x="49"/>
        <item x="195"/>
        <item x="102"/>
        <item x="63"/>
        <item x="294"/>
        <item x="227"/>
        <item x="113"/>
        <item x="178"/>
        <item x="76"/>
        <item x="52"/>
        <item x="284"/>
        <item x="98"/>
        <item x="85"/>
        <item x="333"/>
        <item x="188"/>
        <item x="149"/>
        <item x="207"/>
        <item x="204"/>
        <item x="321"/>
        <item x="322"/>
        <item x="171"/>
        <item x="317"/>
        <item x="331"/>
        <item x="172"/>
        <item x="311"/>
        <item x="304"/>
        <item x="308"/>
        <item x="66"/>
        <item x="237"/>
        <item x="105"/>
        <item x="4"/>
        <item x="199"/>
        <item x="192"/>
        <item x="272"/>
        <item x="330"/>
        <item x="77"/>
        <item x="332"/>
        <item x="41"/>
        <item x="251"/>
        <item x="34"/>
        <item x="51"/>
        <item x="301"/>
        <item x="31"/>
        <item x="247"/>
        <item x="242"/>
        <item x="295"/>
        <item x="194"/>
        <item x="155"/>
        <item x="82"/>
        <item x="14"/>
        <item x="292"/>
        <item x="160"/>
        <item x="83"/>
        <item x="210"/>
        <item x="26"/>
        <item x="143"/>
        <item x="217"/>
        <item x="146"/>
        <item x="145"/>
        <item x="162"/>
        <item x="193"/>
        <item x="345"/>
        <item x="127"/>
        <item x="180"/>
        <item x="285"/>
        <item x="27"/>
        <item x="150"/>
        <item x="260"/>
        <item x="99"/>
        <item x="342"/>
        <item x="276"/>
        <item x="20"/>
        <item x="78"/>
        <item x="283"/>
        <item x="12"/>
        <item x="334"/>
        <item x="40"/>
        <item x="115"/>
        <item x="46"/>
        <item x="324"/>
        <item x="164"/>
        <item x="104"/>
        <item x="67"/>
        <item x="101"/>
        <item x="140"/>
        <item x="198"/>
        <item x="103"/>
        <item x="278"/>
        <item x="234"/>
        <item x="139"/>
        <item x="318"/>
        <item x="262"/>
        <item x="182"/>
        <item x="243"/>
        <item x="138"/>
        <item x="339"/>
        <item x="232"/>
        <item x="177"/>
        <item x="74"/>
        <item x="144"/>
        <item x="73"/>
        <item x="254"/>
        <item x="274"/>
        <item x="246"/>
        <item x="80"/>
        <item x="30"/>
        <item x="310"/>
        <item x="215"/>
        <item x="124"/>
        <item x="273"/>
        <item x="79"/>
        <item x="134"/>
        <item x="240"/>
        <item x="281"/>
        <item x="225"/>
        <item x="187"/>
        <item x="173"/>
        <item x="206"/>
        <item x="16"/>
        <item x="329"/>
        <item x="107"/>
        <item x="168"/>
        <item x="327"/>
        <item x="38"/>
        <item x="259"/>
        <item x="89"/>
        <item x="300"/>
        <item x="214"/>
        <item x="211"/>
        <item x="112"/>
        <item x="24"/>
        <item x="128"/>
        <item x="161"/>
        <item x="156"/>
        <item x="280"/>
        <item x="158"/>
        <item x="120"/>
        <item x="245"/>
        <item x="97"/>
        <item x="166"/>
        <item x="151"/>
        <item x="323"/>
        <item x="312"/>
        <item x="309"/>
        <item x="289"/>
        <item x="305"/>
        <item x="2"/>
        <item x="291"/>
        <item x="119"/>
        <item x="347"/>
        <item x="60"/>
        <item x="15"/>
        <item x="159"/>
        <item x="349"/>
        <item x="28"/>
        <item x="303"/>
        <item x="111"/>
        <item x="343"/>
        <item x="48"/>
        <item x="197"/>
        <item x="90"/>
        <item x="53"/>
        <item x="81"/>
        <item x="253"/>
        <item x="44"/>
        <item x="233"/>
        <item x="235"/>
        <item x="228"/>
        <item x="43"/>
        <item x="189"/>
        <item x="239"/>
        <item x="287"/>
        <item x="181"/>
        <item x="110"/>
        <item x="135"/>
        <item x="275"/>
        <item x="11"/>
        <item x="147"/>
        <item x="91"/>
        <item x="10"/>
        <item x="59"/>
        <item x="209"/>
        <item x="293"/>
        <item x="297"/>
        <item x="68"/>
        <item x="117"/>
        <item x="70"/>
        <item x="33"/>
        <item x="191"/>
        <item x="17"/>
        <item x="169"/>
        <item x="299"/>
        <item x="326"/>
        <item x="35"/>
        <item x="265"/>
        <item x="212"/>
        <item x="86"/>
        <item x="108"/>
        <item x="335"/>
        <item x="252"/>
        <item x="261"/>
        <item x="175"/>
        <item x="183"/>
        <item x="141"/>
        <item x="75"/>
        <item x="72"/>
        <item x="50"/>
        <item x="257"/>
        <item x="154"/>
        <item x="230"/>
        <item x="270"/>
        <item x="338"/>
        <item x="319"/>
        <item x="315"/>
        <item x="8"/>
        <item x="320"/>
        <item x="142"/>
        <item x="248"/>
        <item x="229"/>
        <item x="348"/>
        <item x="136"/>
        <item x="221"/>
        <item x="176"/>
        <item x="288"/>
        <item x="96"/>
        <item x="263"/>
        <item x="29"/>
        <item x="6"/>
        <item x="190"/>
        <item x="344"/>
        <item x="5"/>
        <item x="165"/>
        <item x="340"/>
        <item x="219"/>
        <item x="184"/>
        <item x="130"/>
        <item x="18"/>
        <item x="131"/>
        <item x="137"/>
        <item x="61"/>
        <item x="277"/>
        <item x="231"/>
        <item x="163"/>
        <item x="196"/>
        <item x="64"/>
        <item x="213"/>
        <item x="125"/>
        <item x="58"/>
        <item x="123"/>
        <item x="19"/>
        <item x="62"/>
        <item x="36"/>
        <item x="57"/>
        <item x="306"/>
        <item x="7"/>
        <item x="42"/>
        <item x="1"/>
        <item x="25"/>
        <item x="87"/>
        <item x="255"/>
        <item x="157"/>
        <item x="132"/>
        <item x="282"/>
        <item x="94"/>
        <item x="54"/>
        <item x="37"/>
        <item x="302"/>
        <item x="290"/>
        <item x="153"/>
        <item x="314"/>
        <item x="71"/>
        <item x="256"/>
        <item x="336"/>
        <item x="69"/>
        <item x="266"/>
        <item x="203"/>
        <item x="45"/>
        <item x="185"/>
        <item x="65"/>
        <item x="208"/>
        <item x="39"/>
        <item x="122"/>
        <item x="258"/>
        <item x="325"/>
        <item x="22"/>
        <item x="93"/>
        <item x="100"/>
        <item x="129"/>
        <item x="337"/>
        <item x="56"/>
        <item x="13"/>
        <item x="201"/>
        <item x="269"/>
        <item x="21"/>
        <item x="296"/>
        <item x="47"/>
        <item t="default"/>
      </items>
    </pivotField>
    <pivotField showAll="0"/>
    <pivotField dataField="1" numFmtId="164" showAll="0"/>
    <pivotField showAll="0"/>
    <pivotField showAll="0"/>
    <pivotField dataField="1" numFmtId="166" showAll="0"/>
    <pivotField numFmtId="165" showAll="0"/>
    <pivotField numFmtId="164" showAll="0"/>
    <pivotField numFmtId="165" showAll="0"/>
    <pivotField showAll="0"/>
    <pivotField showAll="0"/>
    <pivotField numFmtId="14" showAll="0">
      <items count="991">
        <item x="756"/>
        <item x="172"/>
        <item x="85"/>
        <item x="689"/>
        <item x="569"/>
        <item x="598"/>
        <item x="821"/>
        <item x="532"/>
        <item x="773"/>
        <item x="385"/>
        <item x="135"/>
        <item x="548"/>
        <item x="134"/>
        <item x="504"/>
        <item x="54"/>
        <item x="849"/>
        <item x="547"/>
        <item x="713"/>
        <item x="39"/>
        <item x="804"/>
        <item x="283"/>
        <item x="931"/>
        <item x="792"/>
        <item x="177"/>
        <item x="815"/>
        <item x="609"/>
        <item x="672"/>
        <item x="833"/>
        <item x="38"/>
        <item x="107"/>
        <item x="530"/>
        <item x="688"/>
        <item x="0"/>
        <item x="282"/>
        <item x="338"/>
        <item x="416"/>
        <item x="329"/>
        <item x="531"/>
        <item x="930"/>
        <item x="874"/>
        <item x="680"/>
        <item x="295"/>
        <item x="636"/>
        <item x="727"/>
        <item x="351"/>
        <item x="577"/>
        <item x="585"/>
        <item x="663"/>
        <item x="301"/>
        <item x="678"/>
        <item x="591"/>
        <item x="480"/>
        <item x="449"/>
        <item x="597"/>
        <item x="834"/>
        <item x="679"/>
        <item x="980"/>
        <item x="791"/>
        <item x="546"/>
        <item x="510"/>
        <item x="97"/>
        <item x="423"/>
        <item x="917"/>
        <item x="816"/>
        <item x="981"/>
        <item x="805"/>
        <item x="610"/>
        <item x="772"/>
        <item x="592"/>
        <item x="207"/>
        <item x="119"/>
        <item x="664"/>
        <item x="593"/>
        <item x="739"/>
        <item x="98"/>
        <item x="941"/>
        <item x="302"/>
        <item x="562"/>
        <item x="153"/>
        <item x="367"/>
        <item x="875"/>
        <item x="471"/>
        <item x="190"/>
        <item x="431"/>
        <item x="774"/>
        <item x="932"/>
        <item x="136"/>
        <item x="303"/>
        <item x="850"/>
        <item x="654"/>
        <item x="126"/>
        <item x="250"/>
        <item x="239"/>
        <item x="620"/>
        <item x="368"/>
        <item x="391"/>
        <item x="486"/>
        <item x="732"/>
        <item x="982"/>
        <item x="570"/>
        <item x="740"/>
        <item x="137"/>
        <item x="291"/>
        <item x="911"/>
        <item x="3"/>
        <item x="183"/>
        <item x="110"/>
        <item x="700"/>
        <item x="99"/>
        <item x="156"/>
        <item x="377"/>
        <item x="862"/>
        <item x="371"/>
        <item x="964"/>
        <item x="179"/>
        <item x="720"/>
        <item x="681"/>
        <item x="645"/>
        <item x="55"/>
        <item x="690"/>
        <item x="835"/>
        <item x="41"/>
        <item x="665"/>
        <item x="806"/>
        <item x="666"/>
        <item x="472"/>
        <item x="926"/>
        <item x="214"/>
        <item x="198"/>
        <item x="68"/>
        <item x="138"/>
        <item x="395"/>
        <item x="109"/>
        <item x="417"/>
        <item x="882"/>
        <item x="511"/>
        <item x="611"/>
        <item x="612"/>
        <item x="827"/>
        <item x="139"/>
        <item x="837"/>
        <item x="441"/>
        <item x="404"/>
        <item x="828"/>
        <item x="668"/>
        <item x="743"/>
        <item x="864"/>
        <item x="776"/>
        <item x="807"/>
        <item x="793"/>
        <item x="718"/>
        <item x="851"/>
        <item x="884"/>
        <item x="304"/>
        <item x="369"/>
        <item x="392"/>
        <item x="895"/>
        <item x="912"/>
        <item x="229"/>
        <item x="260"/>
        <item x="357"/>
        <item x="481"/>
        <item x="779"/>
        <item x="859"/>
        <item x="699"/>
        <item x="120"/>
        <item x="487"/>
        <item x="386"/>
        <item x="734"/>
        <item x="473"/>
        <item x="398"/>
        <item x="945"/>
        <item x="648"/>
        <item x="572"/>
        <item x="47"/>
        <item x="296"/>
        <item x="586"/>
        <item x="440"/>
        <item x="13"/>
        <item x="230"/>
        <item x="69"/>
        <item x="42"/>
        <item x="876"/>
        <item x="277"/>
        <item x="757"/>
        <item x="79"/>
        <item x="933"/>
        <item x="808"/>
        <item x="942"/>
        <item x="918"/>
        <item x="563"/>
        <item x="656"/>
        <item x="396"/>
        <item x="251"/>
        <item x="519"/>
        <item x="883"/>
        <item x="60"/>
        <item x="450"/>
        <item x="505"/>
        <item x="667"/>
        <item x="628"/>
        <item x="243"/>
        <item x="262"/>
        <item x="972"/>
        <item x="674"/>
        <item x="515"/>
        <item x="578"/>
        <item x="339"/>
        <item x="418"/>
        <item x="646"/>
        <item x="943"/>
        <item x="836"/>
        <item x="822"/>
        <item x="579"/>
        <item x="154"/>
        <item x="919"/>
        <item x="419"/>
        <item x="199"/>
        <item x="524"/>
        <item x="200"/>
        <item x="127"/>
        <item x="564"/>
        <item x="885"/>
        <item x="944"/>
        <item x="655"/>
        <item x="798"/>
        <item x="621"/>
        <item x="111"/>
        <item x="312"/>
        <item x="387"/>
        <item x="129"/>
        <item x="513"/>
        <item x="683"/>
        <item x="388"/>
        <item x="703"/>
        <item x="735"/>
        <item x="128"/>
        <item x="313"/>
        <item x="397"/>
        <item x="4"/>
        <item x="252"/>
        <item x="451"/>
        <item x="330"/>
        <item x="647"/>
        <item x="539"/>
        <item x="340"/>
        <item x="983"/>
        <item x="88"/>
        <item x="240"/>
        <item x="984"/>
        <item x="613"/>
        <item x="506"/>
        <item x="261"/>
        <item x="173"/>
        <item x="141"/>
        <item x="775"/>
        <item x="733"/>
        <item x="852"/>
        <item x="758"/>
        <item x="43"/>
        <item x="557"/>
        <item x="130"/>
        <item x="474"/>
        <item x="80"/>
        <item x="843"/>
        <item x="973"/>
        <item x="516"/>
        <item x="402"/>
        <item x="860"/>
        <item x="595"/>
        <item x="750"/>
        <item x="673"/>
        <item x="163"/>
        <item x="184"/>
        <item x="580"/>
        <item x="623"/>
        <item x="306"/>
        <item x="853"/>
        <item x="463"/>
        <item x="877"/>
        <item x="896"/>
        <item x="314"/>
        <item x="315"/>
        <item x="31"/>
        <item x="861"/>
        <item x="40"/>
        <item x="533"/>
        <item x="549"/>
        <item x="523"/>
        <item x="512"/>
        <item x="622"/>
        <item x="691"/>
        <item x="920"/>
        <item x="89"/>
        <item x="174"/>
        <item x="904"/>
        <item x="158"/>
        <item x="903"/>
        <item x="215"/>
        <item x="420"/>
        <item x="452"/>
        <item x="131"/>
        <item x="823"/>
        <item x="507"/>
        <item x="270"/>
        <item x="869"/>
        <item x="242"/>
        <item x="558"/>
        <item x="433"/>
        <item x="370"/>
        <item x="403"/>
        <item x="143"/>
        <item x="464"/>
        <item x="809"/>
        <item x="112"/>
        <item x="178"/>
        <item x="259"/>
        <item x="86"/>
        <item x="358"/>
        <item x="701"/>
        <item x="44"/>
        <item x="142"/>
        <item x="971"/>
        <item x="46"/>
        <item x="892"/>
        <item x="266"/>
        <item x="331"/>
        <item x="332"/>
        <item x="278"/>
        <item x="934"/>
        <item x="870"/>
        <item x="534"/>
        <item x="535"/>
        <item x="209"/>
        <item x="657"/>
        <item x="702"/>
        <item x="359"/>
        <item x="824"/>
        <item x="985"/>
        <item x="878"/>
        <item x="550"/>
        <item x="465"/>
        <item x="759"/>
        <item x="799"/>
        <item x="231"/>
        <item x="360"/>
        <item x="854"/>
        <item x="275"/>
        <item x="87"/>
        <item x="955"/>
        <item x="749"/>
        <item x="155"/>
        <item x="241"/>
        <item x="599"/>
        <item x="405"/>
        <item x="614"/>
        <item x="25"/>
        <item x="844"/>
        <item x="692"/>
        <item x="780"/>
        <item x="297"/>
        <item x="271"/>
        <item x="61"/>
        <item x="963"/>
        <item x="536"/>
        <item x="600"/>
        <item x="764"/>
        <item x="714"/>
        <item x="434"/>
        <item x="719"/>
        <item x="216"/>
        <item x="500"/>
        <item x="393"/>
        <item x="442"/>
        <item x="443"/>
        <item x="444"/>
        <item x="292"/>
        <item x="75"/>
        <item x="682"/>
        <item x="748"/>
        <item x="571"/>
        <item x="499"/>
        <item x="208"/>
        <item x="886"/>
        <item x="76"/>
        <item x="372"/>
        <item x="581"/>
        <item x="77"/>
        <item x="272"/>
        <item x="838"/>
        <item x="279"/>
        <item x="629"/>
        <item x="341"/>
        <item x="144"/>
        <item x="263"/>
        <item x="741"/>
        <item x="728"/>
        <item x="453"/>
        <item x="630"/>
        <item x="781"/>
        <item x="425"/>
        <item x="810"/>
        <item x="293"/>
        <item x="742"/>
        <item x="751"/>
        <item x="863"/>
        <item x="389"/>
        <item x="232"/>
        <item x="108"/>
        <item x="276"/>
        <item x="902"/>
        <item x="305"/>
        <item x="140"/>
        <item x="794"/>
        <item x="14"/>
        <item x="157"/>
        <item x="378"/>
        <item x="540"/>
        <item x="855"/>
        <item x="704"/>
        <item x="175"/>
        <item x="121"/>
        <item x="537"/>
        <item x="100"/>
        <item x="454"/>
        <item x="101"/>
        <item x="15"/>
        <item x="514"/>
        <item x="342"/>
        <item x="145"/>
        <item x="637"/>
        <item x="541"/>
        <item x="56"/>
        <item x="952"/>
        <item x="935"/>
        <item x="185"/>
        <item x="800"/>
        <item x="887"/>
        <item x="698"/>
        <item x="439"/>
        <item x="432"/>
        <item x="594"/>
        <item x="482"/>
        <item x="45"/>
        <item x="24"/>
        <item x="424"/>
        <item x="913"/>
        <item x="951"/>
        <item x="233"/>
        <item x="729"/>
        <item x="373"/>
        <item x="406"/>
        <item x="905"/>
        <item x="16"/>
        <item x="974"/>
        <item x="914"/>
        <item x="352"/>
        <item x="253"/>
        <item x="744"/>
        <item x="897"/>
        <item x="475"/>
        <item x="294"/>
        <item x="284"/>
        <item x="765"/>
        <item x="542"/>
        <item x="244"/>
        <item x="445"/>
        <item x="217"/>
        <item x="587"/>
        <item x="361"/>
        <item x="856"/>
        <item x="436"/>
        <item x="50"/>
        <item x="32"/>
        <item x="858"/>
        <item x="638"/>
        <item x="707"/>
        <item x="103"/>
        <item x="319"/>
        <item x="106"/>
        <item x="716"/>
        <item x="601"/>
        <item x="811"/>
        <item x="245"/>
        <item x="90"/>
        <item x="947"/>
        <item x="159"/>
        <item x="649"/>
        <item x="210"/>
        <item x="501"/>
        <item x="48"/>
        <item x="559"/>
        <item x="829"/>
        <item x="907"/>
        <item x="975"/>
        <item x="782"/>
        <item x="17"/>
        <item x="285"/>
        <item x="407"/>
        <item x="317"/>
        <item x="893"/>
        <item x="191"/>
        <item x="408"/>
        <item x="146"/>
        <item x="956"/>
        <item x="669"/>
        <item x="187"/>
        <item x="923"/>
        <item x="180"/>
        <item x="769"/>
        <item x="670"/>
        <item x="831"/>
        <item x="675"/>
        <item x="6"/>
        <item x="201"/>
        <item x="202"/>
        <item x="176"/>
        <item x="298"/>
        <item x="986"/>
        <item x="435"/>
        <item x="560"/>
        <item x="192"/>
        <item x="273"/>
        <item x="784"/>
        <item x="1"/>
        <item x="915"/>
        <item x="483"/>
        <item x="455"/>
        <item x="316"/>
        <item x="588"/>
        <item x="234"/>
        <item x="7"/>
        <item x="72"/>
        <item x="286"/>
        <item x="193"/>
        <item x="211"/>
        <item x="287"/>
        <item x="521"/>
        <item x="866"/>
        <item x="938"/>
        <item x="220"/>
        <item x="362"/>
        <item x="676"/>
        <item x="825"/>
        <item x="421"/>
        <item x="631"/>
        <item x="777"/>
        <item x="785"/>
        <item x="721"/>
        <item x="488"/>
        <item x="221"/>
        <item x="489"/>
        <item x="693"/>
        <item x="409"/>
        <item x="632"/>
        <item x="839"/>
        <item x="318"/>
        <item x="761"/>
        <item x="254"/>
        <item x="379"/>
        <item x="812"/>
        <item x="81"/>
        <item x="752"/>
        <item x="552"/>
        <item x="730"/>
        <item x="457"/>
        <item x="166"/>
        <item x="268"/>
        <item x="114"/>
        <item x="618"/>
        <item x="196"/>
        <item x="222"/>
        <item x="334"/>
        <item x="615"/>
        <item x="71"/>
        <item x="255"/>
        <item x="857"/>
        <item x="394"/>
        <item x="223"/>
        <item x="908"/>
        <item x="164"/>
        <item x="62"/>
        <item x="224"/>
        <item x="18"/>
        <item x="551"/>
        <item x="456"/>
        <item x="706"/>
        <item x="437"/>
        <item x="380"/>
        <item x="946"/>
        <item x="565"/>
        <item x="948"/>
        <item x="705"/>
        <item x="63"/>
        <item x="566"/>
        <item x="323"/>
        <item x="194"/>
        <item x="381"/>
        <item x="959"/>
        <item x="526"/>
        <item x="307"/>
        <item x="624"/>
        <item x="694"/>
        <item x="225"/>
        <item x="267"/>
        <item x="246"/>
        <item x="226"/>
        <item x="898"/>
        <item x="888"/>
        <item x="186"/>
        <item x="517"/>
        <item x="766"/>
        <item x="354"/>
        <item x="840"/>
        <item x="322"/>
        <item x="58"/>
        <item x="476"/>
        <item x="841"/>
        <item x="82"/>
        <item x="412"/>
        <item x="70"/>
        <item x="736"/>
        <item x="745"/>
        <item x="976"/>
        <item x="375"/>
        <item x="582"/>
        <item x="165"/>
        <item x="346"/>
        <item x="93"/>
        <item x="256"/>
        <item x="400"/>
        <item x="890"/>
        <item x="299"/>
        <item x="413"/>
        <item x="438"/>
        <item x="762"/>
        <item x="446"/>
        <item x="842"/>
        <item x="335"/>
        <item x="817"/>
        <item x="33"/>
        <item x="509"/>
        <item x="113"/>
        <item x="447"/>
        <item x="355"/>
        <item x="633"/>
        <item x="477"/>
        <item x="122"/>
        <item x="796"/>
        <item x="91"/>
        <item x="343"/>
        <item x="684"/>
        <item x="879"/>
        <item x="410"/>
        <item x="411"/>
        <item x="602"/>
        <item x="51"/>
        <item x="801"/>
        <item x="520"/>
        <item x="123"/>
        <item x="604"/>
        <item x="528"/>
        <item x="147"/>
        <item x="64"/>
        <item x="965"/>
        <item x="977"/>
        <item x="188"/>
        <item x="336"/>
        <item x="65"/>
        <item x="922"/>
        <item x="966"/>
        <item x="345"/>
        <item x="928"/>
        <item x="722"/>
        <item x="561"/>
        <item x="553"/>
        <item x="590"/>
        <item x="818"/>
        <item x="132"/>
        <item x="753"/>
        <item x="909"/>
        <item x="57"/>
        <item x="936"/>
        <item x="333"/>
        <item x="543"/>
        <item x="786"/>
        <item x="78"/>
        <item x="916"/>
        <item x="8"/>
        <item x="167"/>
        <item x="910"/>
        <item x="459"/>
        <item x="872"/>
        <item x="625"/>
        <item x="59"/>
        <item x="937"/>
        <item x="787"/>
        <item x="830"/>
        <item x="92"/>
        <item x="422"/>
        <item x="924"/>
        <item x="347"/>
        <item x="525"/>
        <item x="324"/>
        <item x="899"/>
        <item x="491"/>
        <item x="754"/>
        <item x="567"/>
        <item x="957"/>
        <item x="768"/>
        <item x="949"/>
        <item x="603"/>
        <item x="218"/>
        <item x="783"/>
        <item x="921"/>
        <item x="353"/>
        <item x="616"/>
        <item x="987"/>
        <item x="927"/>
        <item x="160"/>
        <item x="958"/>
        <item x="115"/>
        <item x="9"/>
        <item x="709"/>
        <item x="148"/>
        <item x="458"/>
        <item x="426"/>
        <item x="264"/>
        <item x="26"/>
        <item x="168"/>
        <item x="737"/>
        <item x="660"/>
        <item x="19"/>
        <item x="723"/>
        <item x="626"/>
        <item x="889"/>
        <item x="755"/>
        <item x="94"/>
        <item x="325"/>
        <item x="34"/>
        <item x="746"/>
        <item x="390"/>
        <item x="5"/>
        <item x="344"/>
        <item x="219"/>
        <item x="374"/>
        <item x="778"/>
        <item x="247"/>
        <item x="639"/>
        <item x="490"/>
        <item x="763"/>
        <item x="634"/>
        <item x="871"/>
        <item x="20"/>
        <item x="133"/>
        <item x="288"/>
        <item x="826"/>
        <item x="52"/>
        <item x="695"/>
        <item x="770"/>
        <item x="161"/>
        <item x="544"/>
        <item x="502"/>
        <item x="788"/>
        <item x="104"/>
        <item x="35"/>
        <item x="492"/>
        <item x="967"/>
        <item x="715"/>
        <item x="349"/>
        <item x="105"/>
        <item x="953"/>
        <item x="900"/>
        <item x="906"/>
        <item x="102"/>
        <item x="49"/>
        <item x="363"/>
        <item x="659"/>
        <item x="484"/>
        <item x="767"/>
        <item x="399"/>
        <item x="617"/>
        <item x="348"/>
        <item x="478"/>
        <item x="414"/>
        <item x="527"/>
        <item x="364"/>
        <item x="950"/>
        <item x="195"/>
        <item x="493"/>
        <item x="181"/>
        <item x="169"/>
        <item x="149"/>
        <item x="627"/>
        <item x="10"/>
        <item x="36"/>
        <item x="845"/>
        <item x="802"/>
        <item x="116"/>
        <item x="771"/>
        <item x="479"/>
        <item x="708"/>
        <item x="596"/>
        <item x="760"/>
        <item x="658"/>
        <item x="685"/>
        <item x="589"/>
        <item x="508"/>
        <item x="795"/>
        <item x="686"/>
        <item x="865"/>
        <item x="573"/>
        <item x="235"/>
        <item x="227"/>
        <item x="813"/>
        <item x="66"/>
        <item x="485"/>
        <item x="2"/>
        <item x="11"/>
        <item x="738"/>
        <item x="466"/>
        <item x="27"/>
        <item x="203"/>
        <item x="867"/>
        <item x="382"/>
        <item x="583"/>
        <item x="415"/>
        <item x="605"/>
        <item x="687"/>
        <item x="212"/>
        <item x="640"/>
        <item x="650"/>
        <item x="365"/>
        <item x="873"/>
        <item x="522"/>
        <item x="249"/>
        <item x="789"/>
        <item x="337"/>
        <item x="274"/>
        <item x="820"/>
        <item x="350"/>
        <item x="280"/>
        <item x="710"/>
        <item x="257"/>
        <item x="467"/>
        <item x="308"/>
        <item x="236"/>
        <item x="545"/>
        <item x="383"/>
        <item x="606"/>
        <item x="248"/>
        <item x="265"/>
        <item x="671"/>
        <item x="979"/>
        <item x="117"/>
        <item x="960"/>
        <item x="954"/>
        <item x="747"/>
        <item x="204"/>
        <item x="978"/>
        <item x="661"/>
        <item x="555"/>
        <item x="556"/>
        <item x="891"/>
        <item x="238"/>
        <item x="968"/>
        <item x="494"/>
        <item x="988"/>
        <item x="289"/>
        <item x="309"/>
        <item x="607"/>
        <item x="880"/>
        <item x="356"/>
        <item x="124"/>
        <item x="21"/>
        <item x="969"/>
        <item x="427"/>
        <item x="182"/>
        <item x="401"/>
        <item x="22"/>
        <item x="269"/>
        <item x="619"/>
        <item x="189"/>
        <item x="461"/>
        <item x="503"/>
        <item x="819"/>
        <item x="197"/>
        <item x="469"/>
        <item x="37"/>
        <item x="881"/>
        <item x="310"/>
        <item x="428"/>
        <item x="724"/>
        <item x="711"/>
        <item x="152"/>
        <item x="118"/>
        <item x="962"/>
        <item x="125"/>
        <item x="429"/>
        <item x="642"/>
        <item x="989"/>
        <item x="894"/>
        <item x="847"/>
        <item x="901"/>
        <item x="258"/>
        <item x="462"/>
        <item x="150"/>
        <item x="67"/>
        <item x="162"/>
        <item x="712"/>
        <item x="213"/>
        <item x="74"/>
        <item x="584"/>
        <item x="497"/>
        <item x="171"/>
        <item x="575"/>
        <item x="384"/>
        <item x="538"/>
        <item x="925"/>
        <item x="939"/>
        <item x="311"/>
        <item x="643"/>
        <item x="95"/>
        <item x="290"/>
        <item x="96"/>
        <item x="206"/>
        <item x="321"/>
        <item x="300"/>
        <item x="29"/>
        <item x="662"/>
        <item x="651"/>
        <item x="170"/>
        <item x="281"/>
        <item x="228"/>
        <item x="848"/>
        <item x="635"/>
        <item x="797"/>
        <item x="328"/>
        <item x="970"/>
        <item x="30"/>
        <item x="697"/>
        <item x="677"/>
        <item x="237"/>
        <item x="470"/>
        <item x="940"/>
        <item x="376"/>
        <item x="448"/>
        <item x="529"/>
        <item x="73"/>
        <item x="868"/>
        <item x="498"/>
        <item x="84"/>
        <item x="644"/>
        <item x="726"/>
        <item x="814"/>
        <item x="151"/>
        <item x="53"/>
        <item x="641"/>
        <item x="725"/>
        <item x="518"/>
        <item x="731"/>
        <item x="205"/>
        <item x="790"/>
        <item x="568"/>
        <item x="576"/>
        <item x="574"/>
        <item x="460"/>
        <item x="468"/>
        <item x="23"/>
        <item x="83"/>
        <item x="320"/>
        <item x="326"/>
        <item x="495"/>
        <item x="832"/>
        <item x="803"/>
        <item x="652"/>
        <item x="961"/>
        <item x="496"/>
        <item x="28"/>
        <item x="327"/>
        <item x="554"/>
        <item x="846"/>
        <item x="653"/>
        <item x="430"/>
        <item x="717"/>
        <item x="696"/>
        <item x="12"/>
        <item x="929"/>
        <item x="366"/>
        <item x="608"/>
        <item t="default"/>
      </items>
    </pivotField>
    <pivotField showAll="0"/>
    <pivotField showAll="0"/>
    <pivotField showAll="0"/>
    <pivotField multipleItemSelectionAllowed="1" showAll="0">
      <items count="4">
        <item x="1"/>
        <item x="2"/>
        <item x="0"/>
        <item t="default"/>
      </items>
    </pivotField>
    <pivotField numFmtId="164" showAll="0"/>
    <pivotField multipleItemSelectionAllowed="1" showAll="0">
      <items count="4">
        <item x="0"/>
        <item x="1"/>
        <item x="2"/>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8">
    <i>
      <x/>
    </i>
    <i>
      <x v="1"/>
    </i>
    <i>
      <x v="2"/>
    </i>
    <i>
      <x v="3"/>
    </i>
    <i>
      <x v="4"/>
    </i>
    <i>
      <x v="5"/>
    </i>
    <i>
      <x v="6"/>
    </i>
    <i t="grand">
      <x/>
    </i>
  </rowItems>
  <colFields count="1">
    <field x="-2"/>
  </colFields>
  <colItems count="2">
    <i>
      <x/>
    </i>
    <i i="1">
      <x v="1"/>
    </i>
  </colItems>
  <dataFields count="2">
    <dataField name="Sum of Stock_Value" fld="6" baseField="0" baseItem="0" numFmtId="164"/>
    <dataField name="Sum of Reorder_Value" fld="9" baseField="0" baseItem="0" numFmtId="166"/>
  </dataFields>
  <formats count="6">
    <format dxfId="105">
      <pivotArea type="all" dataOnly="0" outline="0" fieldPosition="0"/>
    </format>
    <format dxfId="104">
      <pivotArea outline="0" collapsedLevelsAreSubtotals="1" fieldPosition="0"/>
    </format>
    <format dxfId="103">
      <pivotArea field="2" type="button" dataOnly="0" labelOnly="1" outline="0" axis="axisRow" fieldPosition="0"/>
    </format>
    <format dxfId="102">
      <pivotArea dataOnly="0" labelOnly="1" fieldPosition="0">
        <references count="1">
          <reference field="2" count="0"/>
        </references>
      </pivotArea>
    </format>
    <format dxfId="101">
      <pivotArea dataOnly="0" labelOnly="1" grandRow="1" outline="0" fieldPosition="0"/>
    </format>
    <format dxfId="100">
      <pivotArea dataOnly="0" labelOnly="1" outline="0" fieldPosition="0">
        <references count="1">
          <reference field="4294967294" count="2">
            <x v="0"/>
            <x v="1"/>
          </reference>
        </references>
      </pivotArea>
    </format>
  </formats>
  <chartFormats count="4">
    <chartFormat chart="65" format="1" series="1">
      <pivotArea type="data" outline="0" fieldPosition="0">
        <references count="1">
          <reference field="4294967294" count="1" selected="0">
            <x v="1"/>
          </reference>
        </references>
      </pivotArea>
    </chartFormat>
    <chartFormat chart="65" format="2" series="1">
      <pivotArea type="data" outline="0" fieldPosition="0">
        <references count="1">
          <reference field="4294967294" count="1" selected="0">
            <x v="0"/>
          </reference>
        </references>
      </pivotArea>
    </chartFormat>
    <chartFormat chart="70" format="5" series="1">
      <pivotArea type="data" outline="0" fieldPosition="0">
        <references count="1">
          <reference field="4294967294" count="1" selected="0">
            <x v="0"/>
          </reference>
        </references>
      </pivotArea>
    </chartFormat>
    <chartFormat chart="70" format="6"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4FAA60A-872B-4641-9B63-2EB8F968D62A}" sourceName="Category">
  <pivotTables>
    <pivotTable tabId="3" name="PivotTable1"/>
    <pivotTable tabId="3" name="PivotTable2"/>
    <pivotTable tabId="3" name="PivotTable3"/>
    <pivotTable tabId="3" name="PivotTable4"/>
    <pivotTable tabId="3" name="PivotTable5"/>
    <pivotTable tabId="3" name="PivotTable8"/>
    <pivotTable tabId="3" name="PivotTable13"/>
    <pivotTable tabId="3" name="PivotTable18"/>
    <pivotTable tabId="3" name="PivotTable20"/>
  </pivotTables>
  <data>
    <tabular pivotCacheId="1359367801">
      <items count="8">
        <i x="6" s="1"/>
        <i x="3" s="1"/>
        <i x="5" s="1"/>
        <i x="2" s="1"/>
        <i x="0" s="1"/>
        <i x="4" s="1"/>
        <i x="1"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order_Status" xr10:uid="{BD72467C-9A97-4738-A908-30ADAAE3C170}" sourceName="Reorder_Status">
  <pivotTables>
    <pivotTable tabId="3" name="PivotTable1"/>
    <pivotTable tabId="3" name="PivotTable2"/>
    <pivotTable tabId="3" name="PivotTable3"/>
    <pivotTable tabId="3" name="PivotTable4"/>
    <pivotTable tabId="3" name="PivotTable5"/>
    <pivotTable tabId="3" name="PivotTable8"/>
    <pivotTable tabId="3" name="PivotTable13"/>
    <pivotTable tabId="3" name="PivotTable18"/>
    <pivotTable tabId="3" name="PivotTable20"/>
  </pivotTables>
  <data>
    <tabular pivotCacheId="135936780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iry_Status" xr10:uid="{2FD1F193-83E6-4526-A6E4-63A806C6FE87}" sourceName="Expiry_Status">
  <pivotTables>
    <pivotTable tabId="3" name="PivotTable1"/>
    <pivotTable tabId="3" name="PivotTable2"/>
    <pivotTable tabId="3" name="PivotTable3"/>
    <pivotTable tabId="3" name="PivotTable4"/>
    <pivotTable tabId="3" name="PivotTable5"/>
    <pivotTable tabId="3" name="PivotTable8"/>
    <pivotTable tabId="3" name="PivotTable13"/>
    <pivotTable tabId="3" name="PivotTable18"/>
    <pivotTable tabId="3" name="PivotTable20"/>
  </pivotTables>
  <data>
    <tabular pivotCacheId="135936780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3EDB8D4-0DA6-4F66-AF3D-00F4A9C822DD}" cache="Slicer_Category" caption="Category" style="SlicerStyleLight1" rowHeight="234950"/>
  <slicer name="Reorder_Status" xr10:uid="{D7A58DBC-ABCD-4DB1-BC61-3D931DC46621}" cache="Slicer_Reorder_Status" caption="Reorder_Status" startItem="1" style="SlicerStyleLight1" rowHeight="234950"/>
  <slicer name="Expiry_Status" xr10:uid="{7D36D12F-AA63-47E1-B883-67D543B5C378}" cache="Slicer_Expiry_Status" caption="Expiry_Status"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EFA0FBC-D8F2-4074-85F3-12FF46B8D9B8}" cache="Slicer_Category" caption="Category" rowHeight="234950"/>
  <slicer name="Reorder_Status 1" xr10:uid="{96328802-AFDF-44B1-B8DC-D96D20B449C9}" cache="Slicer_Reorder_Status" caption="Reorder_Status" rowHeight="234950"/>
  <slicer name="Expiry_Status 1" xr10:uid="{64807002-04C3-4D36-BE86-720AFD36B9B5}" cache="Slicer_Expiry_Status" caption="Expiry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AED914-C145-4664-8EA6-9B93358A9E9E}" name="tblInventory" displayName="tblInventory" ref="B1:X991" totalsRowShown="0" headerRowDxfId="133" dataDxfId="132">
  <autoFilter ref="B1:X991" xr:uid="{46AED914-C145-4664-8EA6-9B93358A9E9E}"/>
  <sortState xmlns:xlrd2="http://schemas.microsoft.com/office/spreadsheetml/2017/richdata2" ref="B2:X991">
    <sortCondition ref="C2:C991"/>
  </sortState>
  <tableColumns count="23">
    <tableColumn id="1" xr3:uid="{2CADE5BD-64FA-419E-9D4C-8C84DA00E39E}" name="Product_ID" dataDxfId="131"/>
    <tableColumn id="2" xr3:uid="{139E9E1D-4367-4CE3-860A-035E3217A0A0}" name="Product_Name" dataDxfId="130"/>
    <tableColumn id="3" xr3:uid="{9731E0AD-E869-47CD-971F-764D78F39F2A}" name="Category" dataDxfId="129"/>
    <tableColumn id="4" xr3:uid="{A56B263D-DA82-4093-A6F7-E66B15CA8B4D}" name="Supplier_ID" dataDxfId="128"/>
    <tableColumn id="5" xr3:uid="{D9E8B44F-A3A9-494B-9006-3FAC6F62E334}" name="Supplier_Name" dataDxfId="127"/>
    <tableColumn id="6" xr3:uid="{FD058927-C554-4A22-9782-39A053A2370B}" name="Stock_Quantity" dataDxfId="126"/>
    <tableColumn id="17" xr3:uid="{5F49672B-02E5-40F2-B896-B98868C09FFA}" name="Stock_Value" dataDxfId="125">
      <calculatedColumnFormula>tblInventory[[#This Row],[Stock_Quantity]] * tblInventory[[#This Row],[Unit_Price]]</calculatedColumnFormula>
    </tableColumn>
    <tableColumn id="7" xr3:uid="{874E2915-899B-4C61-B2A4-C8E1FCDB616F}" name="Reorder_Level" dataDxfId="124"/>
    <tableColumn id="8" xr3:uid="{BF4334D6-43E5-43BF-85D7-31631CBC4C50}" name="Reorder_Quantity" dataDxfId="123"/>
    <tableColumn id="19" xr3:uid="{82BA3D4E-40D7-4A25-B283-6B82BBB1FC78}" name="Reorder_Value" dataDxfId="122">
      <calculatedColumnFormula>tblInventory[[#This Row],[Reorder_Quantity]]*M2</calculatedColumnFormula>
    </tableColumn>
    <tableColumn id="23" xr3:uid="{208D088F-B59A-4254-84D4-FF58F8500F0E}" name="Reorder_Frequency" dataDxfId="121">
      <calculatedColumnFormula>tblInventory[[#This Row],[Stock_Quantity]] / tblInventory[[#This Row],[Reorder_Quantity]]</calculatedColumnFormula>
    </tableColumn>
    <tableColumn id="9" xr3:uid="{885F2697-4F3A-4B1D-8883-C3AC5424DEBB}" name="Unit_Price" dataDxfId="120"/>
    <tableColumn id="22" xr3:uid="{F684EBCA-9353-4FCC-8EC0-ABF04BB684DD}" name="Stock_Coverage_Days" dataDxfId="119">
      <calculatedColumnFormula>G2 / 58.9</calculatedColumnFormula>
    </tableColumn>
    <tableColumn id="10" xr3:uid="{FF21AE5A-D9D3-4859-91AD-618DE2AFE0B3}" name="Date_Received" dataDxfId="118"/>
    <tableColumn id="11" xr3:uid="{C0DD3AD9-E47F-41DB-B634-F614EEFA73E3}" name="Last_Order_Date" dataDxfId="117"/>
    <tableColumn id="12" xr3:uid="{78E86753-53BE-4E11-9620-6222A9C9CDC3}" name="Expiration_Date" dataDxfId="116"/>
    <tableColumn id="13" xr3:uid="{3B52A8B0-2A31-4235-AC8D-A17628DDC8AD}" name="Warehouse_Location" dataDxfId="115"/>
    <tableColumn id="14" xr3:uid="{6FAF7736-5FEC-4448-B28E-308FDD6D39D6}" name="Sales_Volume" dataDxfId="114"/>
    <tableColumn id="15" xr3:uid="{C454F251-5119-4124-B6E9-90241C787853}" name="Inventory_Turnover_Rate" dataDxfId="113"/>
    <tableColumn id="16" xr3:uid="{74718A41-B86A-44F6-8407-8CEDD91D0551}" name="Status" dataDxfId="112"/>
    <tableColumn id="18" xr3:uid="{0735F734-9B02-4B28-B4FF-33F17BF1702E}" name="Stock_Value2" dataDxfId="111">
      <calculatedColumnFormula>tblInventory[[#This Row],[Stock_Quantity]]*tblInventory[[#This Row],[Unit_Price]]</calculatedColumnFormula>
    </tableColumn>
    <tableColumn id="20" xr3:uid="{E1B276A6-4306-4D1C-A994-B2080B2AD3D5}" name="Reorder_Status" dataDxfId="110">
      <calculatedColumnFormula>IF(tblInventory[[#This Row],[Status]]="Discontinued","INACTIVE",
IF(tblInventory[[#This Row],[Stock_Quantity]] &lt; tblInventory[[#This Row],[Reorder_Level]],"REORDER","OK"))</calculatedColumnFormula>
    </tableColumn>
    <tableColumn id="21" xr3:uid="{EF2AEC1F-87A3-4641-8836-23BC695C5385}" name="Expiry_Status" dataDxfId="109">
      <calculatedColumnFormula>IF(Q2&lt;TODAY(),"Expired","Valid")</calculatedColumnFormula>
    </tableColumn>
  </tableColumns>
  <tableStyleInfo name="TableStylePreset3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B1EDFB-7719-4A6F-BECD-B88D8842D740}" name="Table2" displayName="Table2" ref="A1:A991" totalsRowShown="0" headerRowDxfId="108" dataDxfId="107">
  <autoFilter ref="A1:A991" xr:uid="{21B1EDFB-7719-4A6F-BECD-B88D8842D740}"/>
  <tableColumns count="1">
    <tableColumn id="1" xr3:uid="{72EE4D1A-896E-4083-880F-7013ED1DD7A7}" name="Row_ID" dataDxfId="106"/>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1"/>
  <sheetViews>
    <sheetView zoomScaleNormal="100" workbookViewId="0"/>
  </sheetViews>
  <sheetFormatPr defaultColWidth="10" defaultRowHeight="14.4"/>
  <cols>
    <col min="1" max="1" width="11.33203125" style="1" customWidth="1"/>
    <col min="2" max="2" width="14.77734375" style="1" customWidth="1"/>
    <col min="3" max="3" width="20.109375" style="1" customWidth="1"/>
    <col min="4" max="4" width="18.109375" style="1" customWidth="1"/>
    <col min="5" max="5" width="20.33203125" style="1" customWidth="1"/>
    <col min="6" max="6" width="19.33203125" style="1" customWidth="1"/>
    <col min="7" max="7" width="19.33203125" style="6" customWidth="1"/>
    <col min="8" max="8" width="19.33203125" style="8" customWidth="1"/>
    <col min="9" max="9" width="19.109375" style="1" customWidth="1"/>
    <col min="10" max="10" width="21.109375" style="1" customWidth="1"/>
    <col min="11" max="11" width="21.109375" style="8" customWidth="1"/>
    <col min="12" max="12" width="21.6640625" style="10" customWidth="1"/>
    <col min="13" max="13" width="21.77734375" style="10" customWidth="1"/>
    <col min="14" max="14" width="19.6640625" style="1" customWidth="1"/>
    <col min="15" max="15" width="22.33203125" style="1" customWidth="1"/>
    <col min="16" max="16" width="19.77734375" style="1" customWidth="1"/>
    <col min="17" max="17" width="25.77734375" style="1" customWidth="1"/>
    <col min="18" max="18" width="20.6640625" style="1" customWidth="1"/>
    <col min="19" max="19" width="30.44140625" style="1" customWidth="1"/>
    <col min="20" max="20" width="14.88671875" style="1" customWidth="1"/>
    <col min="21" max="21" width="18.6640625" customWidth="1"/>
    <col min="22" max="22" width="19.77734375" customWidth="1"/>
    <col min="23" max="23" width="22.33203125" customWidth="1"/>
    <col min="24" max="24" width="10.5546875" bestFit="1" customWidth="1"/>
  </cols>
  <sheetData>
    <row r="1" spans="1:27">
      <c r="A1" s="1" t="s">
        <v>3687</v>
      </c>
      <c r="B1" s="1" t="s">
        <v>0</v>
      </c>
      <c r="C1" s="1" t="s">
        <v>1</v>
      </c>
      <c r="D1" s="1" t="s">
        <v>3691</v>
      </c>
      <c r="E1" s="1" t="s">
        <v>2</v>
      </c>
      <c r="F1" s="1" t="s">
        <v>3</v>
      </c>
      <c r="G1" s="6" t="s">
        <v>4</v>
      </c>
      <c r="H1" s="7" t="s">
        <v>3688</v>
      </c>
      <c r="I1" s="1" t="s">
        <v>5</v>
      </c>
      <c r="J1" s="1" t="s">
        <v>6</v>
      </c>
      <c r="K1" s="7" t="s">
        <v>3697</v>
      </c>
      <c r="L1" s="9" t="s">
        <v>3706</v>
      </c>
      <c r="M1" s="1" t="s">
        <v>7</v>
      </c>
      <c r="N1" s="9" t="s">
        <v>3702</v>
      </c>
      <c r="O1" s="1" t="s">
        <v>8</v>
      </c>
      <c r="P1" s="1" t="s">
        <v>9</v>
      </c>
      <c r="Q1" s="1" t="s">
        <v>10</v>
      </c>
      <c r="R1" s="1" t="s">
        <v>11</v>
      </c>
      <c r="S1" s="1" t="s">
        <v>12</v>
      </c>
      <c r="T1" s="1" t="s">
        <v>13</v>
      </c>
      <c r="U1" s="1" t="s">
        <v>14</v>
      </c>
      <c r="V1" s="1" t="s">
        <v>3703</v>
      </c>
      <c r="W1" s="1" t="s">
        <v>3689</v>
      </c>
      <c r="X1" s="1" t="s">
        <v>3690</v>
      </c>
    </row>
    <row r="2" spans="1:27">
      <c r="A2" s="1">
        <v>1</v>
      </c>
      <c r="B2" s="1" t="s">
        <v>53</v>
      </c>
      <c r="C2" s="1" t="s">
        <v>54</v>
      </c>
      <c r="D2" s="1" t="s">
        <v>17</v>
      </c>
      <c r="E2" s="1" t="s">
        <v>55</v>
      </c>
      <c r="F2" s="1" t="s">
        <v>56</v>
      </c>
      <c r="G2" s="6">
        <v>55</v>
      </c>
      <c r="H2" s="8">
        <f>tblInventory[[#This Row],[Stock_Quantity]] * tblInventory[[#This Row],[Unit_Price]]</f>
        <v>96.25</v>
      </c>
      <c r="I2" s="1">
        <v>33</v>
      </c>
      <c r="J2" s="1">
        <v>14</v>
      </c>
      <c r="K2" s="8">
        <f>tblInventory[[#This Row],[Reorder_Quantity]]*M2</f>
        <v>24.5</v>
      </c>
      <c r="L2" s="10">
        <f>tblInventory[[#This Row],[Stock_Quantity]] / tblInventory[[#This Row],[Reorder_Quantity]]</f>
        <v>3.9285714285714284</v>
      </c>
      <c r="M2" s="3">
        <v>1.75</v>
      </c>
      <c r="N2" s="10">
        <f t="shared" ref="N2:N65" si="0">G2 / 58.9</f>
        <v>0.93378607809847203</v>
      </c>
      <c r="O2" s="2">
        <v>45363</v>
      </c>
      <c r="P2" s="1" t="s">
        <v>57</v>
      </c>
      <c r="Q2" s="2">
        <v>45559</v>
      </c>
      <c r="R2" s="1" t="s">
        <v>58</v>
      </c>
      <c r="S2" s="1">
        <v>34</v>
      </c>
      <c r="T2" s="1">
        <v>62</v>
      </c>
      <c r="U2" s="1" t="s">
        <v>24</v>
      </c>
      <c r="V2" s="3">
        <f>tblInventory[[#This Row],[Stock_Quantity]]*tblInventory[[#This Row],[Unit_Price]]</f>
        <v>96.25</v>
      </c>
      <c r="W2" s="1" t="str">
        <f>IF(tblInventory[[#This Row],[Status]]="Discontinued","INACTIVE",
IF(tblInventory[[#This Row],[Stock_Quantity]] &lt; tblInventory[[#This Row],[Reorder_Level]],"REORDER","OK"))</f>
        <v>INACTIVE</v>
      </c>
      <c r="X2" s="1" t="str">
        <f t="shared" ref="X2:X65" ca="1" si="1">IF(Q2&lt;TODAY(),"Expired","Valid")</f>
        <v>Expired</v>
      </c>
    </row>
    <row r="3" spans="1:27">
      <c r="A3" s="1">
        <v>2</v>
      </c>
      <c r="B3" s="1" t="s">
        <v>2210</v>
      </c>
      <c r="C3" s="1" t="s">
        <v>54</v>
      </c>
      <c r="D3" s="1" t="s">
        <v>17</v>
      </c>
      <c r="E3" s="1" t="s">
        <v>2211</v>
      </c>
      <c r="F3" s="1" t="s">
        <v>1601</v>
      </c>
      <c r="G3" s="1">
        <v>54</v>
      </c>
      <c r="H3" s="8">
        <f>tblInventory[[#This Row],[Stock_Quantity]] * tblInventory[[#This Row],[Unit_Price]]</f>
        <v>94.5</v>
      </c>
      <c r="I3" s="1">
        <v>69</v>
      </c>
      <c r="J3" s="1">
        <v>68</v>
      </c>
      <c r="K3" s="8">
        <f>tblInventory[[#This Row],[Reorder_Quantity]]*M3</f>
        <v>119</v>
      </c>
      <c r="L3" s="10">
        <f>tblInventory[[#This Row],[Stock_Quantity]] / tblInventory[[#This Row],[Reorder_Quantity]]</f>
        <v>0.79411764705882348</v>
      </c>
      <c r="M3" s="3">
        <v>1.75</v>
      </c>
      <c r="N3" s="10">
        <f t="shared" si="0"/>
        <v>0.91680814940577249</v>
      </c>
      <c r="O3" s="1" t="s">
        <v>1000</v>
      </c>
      <c r="P3" s="2">
        <v>45423</v>
      </c>
      <c r="Q3" s="2">
        <v>46078</v>
      </c>
      <c r="R3" s="1" t="s">
        <v>2212</v>
      </c>
      <c r="S3" s="1">
        <v>77</v>
      </c>
      <c r="T3" s="1">
        <v>56</v>
      </c>
      <c r="U3" s="1" t="s">
        <v>24</v>
      </c>
      <c r="V3" s="3">
        <f>tblInventory[[#This Row],[Stock_Quantity]]*tblInventory[[#This Row],[Unit_Price]]</f>
        <v>94.5</v>
      </c>
      <c r="W3" s="1" t="str">
        <f>IF(tblInventory[[#This Row],[Status]]="Discontinued","INACTIVE",
IF(tblInventory[[#This Row],[Stock_Quantity]] &lt; tblInventory[[#This Row],[Reorder_Level]],"REORDER","OK"))</f>
        <v>INACTIVE</v>
      </c>
      <c r="X3" s="1" t="str">
        <f t="shared" ca="1" si="1"/>
        <v>Valid</v>
      </c>
    </row>
    <row r="4" spans="1:27">
      <c r="A4" s="1">
        <v>3</v>
      </c>
      <c r="B4" s="1" t="s">
        <v>3155</v>
      </c>
      <c r="C4" s="1" t="s">
        <v>54</v>
      </c>
      <c r="D4" s="1" t="s">
        <v>17</v>
      </c>
      <c r="E4" s="1" t="s">
        <v>3156</v>
      </c>
      <c r="F4" s="1" t="s">
        <v>238</v>
      </c>
      <c r="G4" s="6">
        <v>50</v>
      </c>
      <c r="H4" s="8">
        <f>tblInventory[[#This Row],[Stock_Quantity]] * tblInventory[[#This Row],[Unit_Price]]</f>
        <v>87.5</v>
      </c>
      <c r="I4" s="1">
        <v>42</v>
      </c>
      <c r="J4" s="1">
        <v>20</v>
      </c>
      <c r="K4" s="8">
        <f>tblInventory[[#This Row],[Reorder_Quantity]]*M4</f>
        <v>35</v>
      </c>
      <c r="L4" s="10">
        <f>tblInventory[[#This Row],[Stock_Quantity]] / tblInventory[[#This Row],[Reorder_Quantity]]</f>
        <v>2.5</v>
      </c>
      <c r="M4" s="3">
        <v>1.75</v>
      </c>
      <c r="N4" s="10">
        <f t="shared" si="0"/>
        <v>0.84889643463497455</v>
      </c>
      <c r="O4" s="2">
        <v>45454</v>
      </c>
      <c r="P4" s="1" t="s">
        <v>43</v>
      </c>
      <c r="Q4" s="2">
        <v>46371</v>
      </c>
      <c r="R4" s="1" t="s">
        <v>3157</v>
      </c>
      <c r="S4" s="1">
        <v>87</v>
      </c>
      <c r="T4" s="1">
        <v>59</v>
      </c>
      <c r="U4" s="1" t="s">
        <v>46</v>
      </c>
      <c r="V4" s="3">
        <f>tblInventory[[#This Row],[Stock_Quantity]]*tblInventory[[#This Row],[Unit_Price]]</f>
        <v>87.5</v>
      </c>
      <c r="W4" s="1" t="str">
        <f>IF(tblInventory[[#This Row],[Status]]="Discontinued","INACTIVE",
IF(tblInventory[[#This Row],[Stock_Quantity]] &lt; tblInventory[[#This Row],[Reorder_Level]],"REORDER","OK"))</f>
        <v>OK</v>
      </c>
      <c r="X4" s="1" t="str">
        <f t="shared" ca="1" si="1"/>
        <v>Valid</v>
      </c>
    </row>
    <row r="5" spans="1:27">
      <c r="A5" s="1">
        <v>4</v>
      </c>
      <c r="B5" s="1" t="s">
        <v>634</v>
      </c>
      <c r="C5" s="1" t="s">
        <v>635</v>
      </c>
      <c r="D5" s="1" t="s">
        <v>17</v>
      </c>
      <c r="E5" s="1" t="s">
        <v>636</v>
      </c>
      <c r="F5" s="1" t="s">
        <v>218</v>
      </c>
      <c r="G5" s="6">
        <v>13</v>
      </c>
      <c r="H5" s="8">
        <f>tblInventory[[#This Row],[Stock_Quantity]] * tblInventory[[#This Row],[Unit_Price]]</f>
        <v>123.5</v>
      </c>
      <c r="I5" s="1">
        <v>88</v>
      </c>
      <c r="J5" s="1">
        <v>7</v>
      </c>
      <c r="K5" s="8">
        <f>tblInventory[[#This Row],[Reorder_Quantity]]*M5</f>
        <v>66.5</v>
      </c>
      <c r="L5" s="10">
        <f>tblInventory[[#This Row],[Stock_Quantity]] / tblInventory[[#This Row],[Reorder_Quantity]]</f>
        <v>1.8571428571428572</v>
      </c>
      <c r="M5" s="3">
        <v>9.5</v>
      </c>
      <c r="N5" s="10">
        <f t="shared" si="0"/>
        <v>0.22071307300509338</v>
      </c>
      <c r="O5" s="1" t="s">
        <v>334</v>
      </c>
      <c r="P5" s="1" t="s">
        <v>348</v>
      </c>
      <c r="Q5" s="2">
        <v>45658</v>
      </c>
      <c r="R5" s="1" t="s">
        <v>637</v>
      </c>
      <c r="S5" s="1">
        <v>24</v>
      </c>
      <c r="T5" s="1">
        <v>21</v>
      </c>
      <c r="U5" s="1" t="s">
        <v>38</v>
      </c>
      <c r="V5" s="3">
        <f>tblInventory[[#This Row],[Stock_Quantity]]*tblInventory[[#This Row],[Unit_Price]]</f>
        <v>123.5</v>
      </c>
      <c r="W5" s="1" t="str">
        <f>IF(tblInventory[[#This Row],[Status]]="Discontinued","INACTIVE",
IF(tblInventory[[#This Row],[Stock_Quantity]] &lt; tblInventory[[#This Row],[Reorder_Level]],"REORDER","OK"))</f>
        <v>REORDER</v>
      </c>
      <c r="X5" s="1" t="str">
        <f t="shared" ca="1" si="1"/>
        <v>Expired</v>
      </c>
    </row>
    <row r="6" spans="1:27">
      <c r="A6" s="1">
        <v>5</v>
      </c>
      <c r="B6" s="1" t="s">
        <v>1214</v>
      </c>
      <c r="C6" s="1" t="s">
        <v>635</v>
      </c>
      <c r="D6" s="1" t="s">
        <v>17</v>
      </c>
      <c r="E6" s="1" t="s">
        <v>1215</v>
      </c>
      <c r="F6" s="1" t="s">
        <v>1216</v>
      </c>
      <c r="G6" s="6">
        <v>75</v>
      </c>
      <c r="H6" s="8">
        <f>tblInventory[[#This Row],[Stock_Quantity]] * tblInventory[[#This Row],[Unit_Price]]</f>
        <v>712.5</v>
      </c>
      <c r="I6" s="1">
        <v>46</v>
      </c>
      <c r="J6" s="1">
        <v>75</v>
      </c>
      <c r="K6" s="8">
        <f>tblInventory[[#This Row],[Reorder_Quantity]]*M6</f>
        <v>712.5</v>
      </c>
      <c r="L6" s="10">
        <f>tblInventory[[#This Row],[Stock_Quantity]] / tblInventory[[#This Row],[Reorder_Quantity]]</f>
        <v>1</v>
      </c>
      <c r="M6" s="3">
        <v>9.5</v>
      </c>
      <c r="N6" s="10">
        <f t="shared" si="0"/>
        <v>1.2733446519524618</v>
      </c>
      <c r="O6" s="1" t="s">
        <v>850</v>
      </c>
      <c r="P6" s="1" t="s">
        <v>164</v>
      </c>
      <c r="Q6" s="2">
        <v>45793</v>
      </c>
      <c r="R6" s="1" t="s">
        <v>1218</v>
      </c>
      <c r="S6" s="1">
        <v>43</v>
      </c>
      <c r="T6" s="1">
        <v>77</v>
      </c>
      <c r="U6" s="1" t="s">
        <v>38</v>
      </c>
      <c r="V6" s="3">
        <f>tblInventory[[#This Row],[Stock_Quantity]]*tblInventory[[#This Row],[Unit_Price]]</f>
        <v>712.5</v>
      </c>
      <c r="W6" s="1" t="str">
        <f>IF(tblInventory[[#This Row],[Status]]="Discontinued","INACTIVE",
IF(tblInventory[[#This Row],[Stock_Quantity]] &lt; tblInventory[[#This Row],[Reorder_Level]],"REORDER","OK"))</f>
        <v>OK</v>
      </c>
      <c r="X6" s="1" t="str">
        <f t="shared" ca="1" si="1"/>
        <v>Expired</v>
      </c>
    </row>
    <row r="7" spans="1:27">
      <c r="A7" s="1">
        <v>6</v>
      </c>
      <c r="B7" s="1" t="s">
        <v>2059</v>
      </c>
      <c r="C7" s="1" t="s">
        <v>635</v>
      </c>
      <c r="D7" s="1" t="s">
        <v>17</v>
      </c>
      <c r="E7" s="1" t="s">
        <v>2060</v>
      </c>
      <c r="F7" s="1" t="s">
        <v>238</v>
      </c>
      <c r="G7" s="6">
        <v>54</v>
      </c>
      <c r="H7" s="8">
        <f>tblInventory[[#This Row],[Stock_Quantity]] * tblInventory[[#This Row],[Unit_Price]]</f>
        <v>513</v>
      </c>
      <c r="I7" s="1">
        <v>17</v>
      </c>
      <c r="J7" s="1">
        <v>90</v>
      </c>
      <c r="K7" s="8">
        <f>tblInventory[[#This Row],[Reorder_Quantity]]*M7</f>
        <v>855</v>
      </c>
      <c r="L7" s="10">
        <f>tblInventory[[#This Row],[Stock_Quantity]] / tblInventory[[#This Row],[Reorder_Quantity]]</f>
        <v>0.6</v>
      </c>
      <c r="M7" s="3">
        <v>9.5</v>
      </c>
      <c r="N7" s="10">
        <f t="shared" si="0"/>
        <v>0.91680814940577249</v>
      </c>
      <c r="O7" s="1" t="s">
        <v>417</v>
      </c>
      <c r="P7" s="2">
        <v>45481</v>
      </c>
      <c r="Q7" s="2">
        <v>46296</v>
      </c>
      <c r="R7" s="1" t="s">
        <v>2061</v>
      </c>
      <c r="S7" s="1">
        <v>60</v>
      </c>
      <c r="T7" s="1">
        <v>20</v>
      </c>
      <c r="U7" s="1" t="s">
        <v>46</v>
      </c>
      <c r="V7" s="3">
        <f>tblInventory[[#This Row],[Stock_Quantity]]*tblInventory[[#This Row],[Unit_Price]]</f>
        <v>513</v>
      </c>
      <c r="W7" s="1" t="str">
        <f>IF(tblInventory[[#This Row],[Status]]="Discontinued","INACTIVE",
IF(tblInventory[[#This Row],[Stock_Quantity]] &lt; tblInventory[[#This Row],[Reorder_Level]],"REORDER","OK"))</f>
        <v>OK</v>
      </c>
      <c r="X7" s="1" t="str">
        <f t="shared" ca="1" si="1"/>
        <v>Valid</v>
      </c>
      <c r="Y7" s="5"/>
    </row>
    <row r="8" spans="1:27">
      <c r="A8" s="1">
        <v>7</v>
      </c>
      <c r="B8" s="1" t="s">
        <v>2172</v>
      </c>
      <c r="C8" s="1" t="s">
        <v>635</v>
      </c>
      <c r="D8" s="1" t="s">
        <v>17</v>
      </c>
      <c r="E8" s="1" t="s">
        <v>2173</v>
      </c>
      <c r="F8" s="1" t="s">
        <v>2174</v>
      </c>
      <c r="G8" s="6">
        <v>76</v>
      </c>
      <c r="H8" s="8">
        <f>tblInventory[[#This Row],[Stock_Quantity]] * tblInventory[[#This Row],[Unit_Price]]</f>
        <v>722</v>
      </c>
      <c r="I8" s="1">
        <v>8</v>
      </c>
      <c r="J8" s="1">
        <v>2</v>
      </c>
      <c r="K8" s="8">
        <f>tblInventory[[#This Row],[Reorder_Quantity]]*M8</f>
        <v>19</v>
      </c>
      <c r="L8" s="10">
        <f>tblInventory[[#This Row],[Stock_Quantity]] / tblInventory[[#This Row],[Reorder_Quantity]]</f>
        <v>38</v>
      </c>
      <c r="M8" s="3">
        <v>9.5</v>
      </c>
      <c r="N8" s="10">
        <f t="shared" si="0"/>
        <v>1.2903225806451613</v>
      </c>
      <c r="O8" s="2">
        <v>45392</v>
      </c>
      <c r="P8" s="2">
        <v>45515</v>
      </c>
      <c r="Q8" s="2">
        <v>46067</v>
      </c>
      <c r="R8" s="1" t="s">
        <v>2175</v>
      </c>
      <c r="S8" s="1">
        <v>24</v>
      </c>
      <c r="T8" s="1">
        <v>53</v>
      </c>
      <c r="U8" s="1" t="s">
        <v>46</v>
      </c>
      <c r="V8" s="3">
        <f>tblInventory[[#This Row],[Stock_Quantity]]*tblInventory[[#This Row],[Unit_Price]]</f>
        <v>722</v>
      </c>
      <c r="W8" s="1" t="str">
        <f>IF(tblInventory[[#This Row],[Status]]="Discontinued","INACTIVE",
IF(tblInventory[[#This Row],[Stock_Quantity]] &lt; tblInventory[[#This Row],[Reorder_Level]],"REORDER","OK"))</f>
        <v>OK</v>
      </c>
      <c r="X8" s="1" t="str">
        <f t="shared" ca="1" si="1"/>
        <v>Valid</v>
      </c>
      <c r="AA8" t="b">
        <f>ISNUMBER(G1)</f>
        <v>0</v>
      </c>
    </row>
    <row r="9" spans="1:27">
      <c r="A9" s="1">
        <v>8</v>
      </c>
      <c r="B9" s="1" t="s">
        <v>2326</v>
      </c>
      <c r="C9" s="1" t="s">
        <v>635</v>
      </c>
      <c r="D9" s="1" t="s">
        <v>17</v>
      </c>
      <c r="E9" s="1" t="s">
        <v>2327</v>
      </c>
      <c r="F9" s="1" t="s">
        <v>999</v>
      </c>
      <c r="G9" s="6">
        <v>37</v>
      </c>
      <c r="H9" s="8">
        <f>tblInventory[[#This Row],[Stock_Quantity]] * tblInventory[[#This Row],[Unit_Price]]</f>
        <v>351.5</v>
      </c>
      <c r="I9" s="1">
        <v>47</v>
      </c>
      <c r="J9" s="1">
        <v>34</v>
      </c>
      <c r="K9" s="8">
        <f>tblInventory[[#This Row],[Reorder_Quantity]]*M9</f>
        <v>323</v>
      </c>
      <c r="L9" s="10">
        <f>tblInventory[[#This Row],[Stock_Quantity]] / tblInventory[[#This Row],[Reorder_Quantity]]</f>
        <v>1.088235294117647</v>
      </c>
      <c r="M9" s="3">
        <v>9.5</v>
      </c>
      <c r="N9" s="10">
        <f t="shared" si="0"/>
        <v>0.6281833616298812</v>
      </c>
      <c r="O9" s="1" t="s">
        <v>1327</v>
      </c>
      <c r="P9" s="1" t="s">
        <v>923</v>
      </c>
      <c r="Q9" s="2">
        <v>46085</v>
      </c>
      <c r="R9" s="1" t="s">
        <v>2328</v>
      </c>
      <c r="S9" s="1">
        <v>38</v>
      </c>
      <c r="T9" s="1">
        <v>89</v>
      </c>
      <c r="U9" s="1" t="s">
        <v>38</v>
      </c>
      <c r="V9" s="3">
        <f>tblInventory[[#This Row],[Stock_Quantity]]*tblInventory[[#This Row],[Unit_Price]]</f>
        <v>351.5</v>
      </c>
      <c r="W9" s="1" t="str">
        <f>IF(tblInventory[[#This Row],[Status]]="Discontinued","INACTIVE",
IF(tblInventory[[#This Row],[Stock_Quantity]] &lt; tblInventory[[#This Row],[Reorder_Level]],"REORDER","OK"))</f>
        <v>REORDER</v>
      </c>
      <c r="X9" s="1" t="str">
        <f t="shared" ca="1" si="1"/>
        <v>Valid</v>
      </c>
    </row>
    <row r="10" spans="1:27">
      <c r="A10" s="1">
        <v>9</v>
      </c>
      <c r="B10" s="1" t="s">
        <v>2740</v>
      </c>
      <c r="C10" s="1" t="s">
        <v>635</v>
      </c>
      <c r="D10" s="1" t="s">
        <v>17</v>
      </c>
      <c r="E10" s="1" t="s">
        <v>2741</v>
      </c>
      <c r="F10" s="1" t="s">
        <v>2742</v>
      </c>
      <c r="G10" s="6">
        <v>79</v>
      </c>
      <c r="H10" s="8">
        <f>tblInventory[[#This Row],[Stock_Quantity]] * tblInventory[[#This Row],[Unit_Price]]</f>
        <v>750.5</v>
      </c>
      <c r="I10" s="1">
        <v>47</v>
      </c>
      <c r="J10" s="1">
        <v>51</v>
      </c>
      <c r="K10" s="8">
        <f>tblInventory[[#This Row],[Reorder_Quantity]]*M10</f>
        <v>484.5</v>
      </c>
      <c r="L10" s="10">
        <f>tblInventory[[#This Row],[Stock_Quantity]] / tblInventory[[#This Row],[Reorder_Quantity]]</f>
        <v>1.5490196078431373</v>
      </c>
      <c r="M10" s="3">
        <v>9.5</v>
      </c>
      <c r="N10" s="10">
        <f t="shared" si="0"/>
        <v>1.3412563667232598</v>
      </c>
      <c r="O10" s="1" t="s">
        <v>1299</v>
      </c>
      <c r="P10" s="1" t="s">
        <v>259</v>
      </c>
      <c r="Q10" s="2">
        <v>46242</v>
      </c>
      <c r="R10" s="1" t="s">
        <v>2743</v>
      </c>
      <c r="S10" s="1">
        <v>83</v>
      </c>
      <c r="T10" s="1">
        <v>69</v>
      </c>
      <c r="U10" s="1" t="s">
        <v>24</v>
      </c>
      <c r="V10" s="3">
        <f>tblInventory[[#This Row],[Stock_Quantity]]*tblInventory[[#This Row],[Unit_Price]]</f>
        <v>750.5</v>
      </c>
      <c r="W10" s="1" t="str">
        <f>IF(tblInventory[[#This Row],[Status]]="Discontinued","INACTIVE",
IF(tblInventory[[#This Row],[Stock_Quantity]] &lt; tblInventory[[#This Row],[Reorder_Level]],"REORDER","OK"))</f>
        <v>INACTIVE</v>
      </c>
      <c r="X10" s="1" t="str">
        <f t="shared" ca="1" si="1"/>
        <v>Valid</v>
      </c>
    </row>
    <row r="11" spans="1:27">
      <c r="A11" s="1">
        <v>10</v>
      </c>
      <c r="B11" s="1" t="s">
        <v>3041</v>
      </c>
      <c r="C11" s="1" t="s">
        <v>635</v>
      </c>
      <c r="D11" s="1" t="s">
        <v>17</v>
      </c>
      <c r="E11" s="1" t="s">
        <v>3042</v>
      </c>
      <c r="F11" s="1" t="s">
        <v>760</v>
      </c>
      <c r="G11" s="6">
        <v>74</v>
      </c>
      <c r="H11" s="8">
        <f>tblInventory[[#This Row],[Stock_Quantity]] * tblInventory[[#This Row],[Unit_Price]]</f>
        <v>703</v>
      </c>
      <c r="I11" s="1">
        <v>22</v>
      </c>
      <c r="J11" s="1">
        <v>91</v>
      </c>
      <c r="K11" s="8">
        <f>tblInventory[[#This Row],[Reorder_Quantity]]*M11</f>
        <v>864.5</v>
      </c>
      <c r="L11" s="10">
        <f>tblInventory[[#This Row],[Stock_Quantity]] / tblInventory[[#This Row],[Reorder_Quantity]]</f>
        <v>0.81318681318681318</v>
      </c>
      <c r="M11" s="3">
        <v>9.5</v>
      </c>
      <c r="N11" s="10">
        <f t="shared" si="0"/>
        <v>1.2563667232597624</v>
      </c>
      <c r="O11" s="1" t="s">
        <v>1273</v>
      </c>
      <c r="P11" s="1" t="s">
        <v>1056</v>
      </c>
      <c r="Q11" s="2">
        <v>46276</v>
      </c>
      <c r="R11" s="1" t="s">
        <v>3043</v>
      </c>
      <c r="S11" s="1">
        <v>24</v>
      </c>
      <c r="T11" s="1">
        <v>12</v>
      </c>
      <c r="U11" s="1" t="s">
        <v>46</v>
      </c>
      <c r="V11" s="3">
        <f>tblInventory[[#This Row],[Stock_Quantity]]*tblInventory[[#This Row],[Unit_Price]]</f>
        <v>703</v>
      </c>
      <c r="W11" s="1" t="str">
        <f>IF(tblInventory[[#This Row],[Status]]="Discontinued","INACTIVE",
IF(tblInventory[[#This Row],[Stock_Quantity]] &lt; tblInventory[[#This Row],[Reorder_Level]],"REORDER","OK"))</f>
        <v>OK</v>
      </c>
      <c r="X11" s="1" t="str">
        <f t="shared" ca="1" si="1"/>
        <v>Valid</v>
      </c>
    </row>
    <row r="12" spans="1:27">
      <c r="A12" s="1">
        <v>11</v>
      </c>
      <c r="B12" s="1" t="s">
        <v>3083</v>
      </c>
      <c r="C12" s="1" t="s">
        <v>635</v>
      </c>
      <c r="D12" s="1" t="s">
        <v>17</v>
      </c>
      <c r="E12" s="1" t="s">
        <v>3084</v>
      </c>
      <c r="F12" s="1" t="s">
        <v>1650</v>
      </c>
      <c r="G12" s="6">
        <v>77</v>
      </c>
      <c r="H12" s="8">
        <f>tblInventory[[#This Row],[Stock_Quantity]] * tblInventory[[#This Row],[Unit_Price]]</f>
        <v>731.5</v>
      </c>
      <c r="I12" s="1">
        <v>19</v>
      </c>
      <c r="J12" s="1">
        <v>31</v>
      </c>
      <c r="K12" s="8">
        <f>tblInventory[[#This Row],[Reorder_Quantity]]*M12</f>
        <v>294.5</v>
      </c>
      <c r="L12" s="10">
        <f>tblInventory[[#This Row],[Stock_Quantity]] / tblInventory[[#This Row],[Reorder_Quantity]]</f>
        <v>2.4838709677419355</v>
      </c>
      <c r="M12" s="3">
        <v>9.5</v>
      </c>
      <c r="N12" s="10">
        <f t="shared" si="0"/>
        <v>1.3073005093378609</v>
      </c>
      <c r="O12" s="1" t="s">
        <v>620</v>
      </c>
      <c r="P12" s="1" t="s">
        <v>417</v>
      </c>
      <c r="Q12" s="2">
        <v>46348</v>
      </c>
      <c r="R12" s="1" t="s">
        <v>3085</v>
      </c>
      <c r="S12" s="1">
        <v>27</v>
      </c>
      <c r="T12" s="1">
        <v>25</v>
      </c>
      <c r="U12" s="1" t="s">
        <v>38</v>
      </c>
      <c r="V12" s="3">
        <f>tblInventory[[#This Row],[Stock_Quantity]]*tblInventory[[#This Row],[Unit_Price]]</f>
        <v>731.5</v>
      </c>
      <c r="W12" s="1" t="str">
        <f>IF(tblInventory[[#This Row],[Status]]="Discontinued","INACTIVE",
IF(tblInventory[[#This Row],[Stock_Quantity]] &lt; tblInventory[[#This Row],[Reorder_Level]],"REORDER","OK"))</f>
        <v>OK</v>
      </c>
      <c r="X12" s="1" t="str">
        <f t="shared" ca="1" si="1"/>
        <v>Valid</v>
      </c>
    </row>
    <row r="13" spans="1:27">
      <c r="A13" s="1">
        <v>12</v>
      </c>
      <c r="B13" s="1" t="s">
        <v>3158</v>
      </c>
      <c r="C13" s="1" t="s">
        <v>635</v>
      </c>
      <c r="D13" s="1" t="s">
        <v>17</v>
      </c>
      <c r="E13" s="1" t="s">
        <v>3159</v>
      </c>
      <c r="F13" s="1" t="s">
        <v>2865</v>
      </c>
      <c r="G13" s="6">
        <v>85</v>
      </c>
      <c r="H13" s="8">
        <f>tblInventory[[#This Row],[Stock_Quantity]] * tblInventory[[#This Row],[Unit_Price]]</f>
        <v>807.5</v>
      </c>
      <c r="I13" s="1">
        <v>12</v>
      </c>
      <c r="J13" s="1">
        <v>94</v>
      </c>
      <c r="K13" s="8">
        <f>tblInventory[[#This Row],[Reorder_Quantity]]*M13</f>
        <v>893</v>
      </c>
      <c r="L13" s="10">
        <f>tblInventory[[#This Row],[Stock_Quantity]] / tblInventory[[#This Row],[Reorder_Quantity]]</f>
        <v>0.9042553191489362</v>
      </c>
      <c r="M13" s="3">
        <v>9.5</v>
      </c>
      <c r="N13" s="10">
        <f t="shared" si="0"/>
        <v>1.4431239388794568</v>
      </c>
      <c r="O13" s="1" t="s">
        <v>530</v>
      </c>
      <c r="P13" s="1" t="s">
        <v>428</v>
      </c>
      <c r="Q13" s="2">
        <v>46372</v>
      </c>
      <c r="R13" s="1" t="s">
        <v>3160</v>
      </c>
      <c r="S13" s="1">
        <v>26</v>
      </c>
      <c r="T13" s="1">
        <v>32</v>
      </c>
      <c r="U13" s="1" t="s">
        <v>24</v>
      </c>
      <c r="V13" s="3">
        <f>tblInventory[[#This Row],[Stock_Quantity]]*tblInventory[[#This Row],[Unit_Price]]</f>
        <v>807.5</v>
      </c>
      <c r="W13" s="1" t="str">
        <f>IF(tblInventory[[#This Row],[Status]]="Discontinued","INACTIVE",
IF(tblInventory[[#This Row],[Stock_Quantity]] &lt; tblInventory[[#This Row],[Reorder_Level]],"REORDER","OK"))</f>
        <v>INACTIVE</v>
      </c>
      <c r="X13" s="1" t="str">
        <f t="shared" ca="1" si="1"/>
        <v>Valid</v>
      </c>
    </row>
    <row r="14" spans="1:27">
      <c r="A14" s="1">
        <v>13</v>
      </c>
      <c r="B14" s="1" t="s">
        <v>3336</v>
      </c>
      <c r="C14" s="1" t="s">
        <v>635</v>
      </c>
      <c r="D14" s="1" t="s">
        <v>17</v>
      </c>
      <c r="E14" s="1" t="s">
        <v>3337</v>
      </c>
      <c r="F14" s="1" t="s">
        <v>572</v>
      </c>
      <c r="G14" s="6">
        <v>12</v>
      </c>
      <c r="H14" s="8">
        <f>tblInventory[[#This Row],[Stock_Quantity]] * tblInventory[[#This Row],[Unit_Price]]</f>
        <v>114</v>
      </c>
      <c r="I14" s="1">
        <v>56</v>
      </c>
      <c r="J14" s="1">
        <v>92</v>
      </c>
      <c r="K14" s="8">
        <f>tblInventory[[#This Row],[Reorder_Quantity]]*M14</f>
        <v>874</v>
      </c>
      <c r="L14" s="10">
        <f>tblInventory[[#This Row],[Stock_Quantity]] / tblInventory[[#This Row],[Reorder_Quantity]]</f>
        <v>0.13043478260869565</v>
      </c>
      <c r="M14" s="3">
        <v>9.5</v>
      </c>
      <c r="N14" s="10">
        <f t="shared" si="0"/>
        <v>0.2037351443123939</v>
      </c>
      <c r="O14" s="2">
        <v>45509</v>
      </c>
      <c r="P14" s="1" t="s">
        <v>1125</v>
      </c>
      <c r="Q14" s="2">
        <v>46723</v>
      </c>
      <c r="R14" s="1" t="s">
        <v>3338</v>
      </c>
      <c r="S14" s="1">
        <v>56</v>
      </c>
      <c r="T14" s="1">
        <v>6</v>
      </c>
      <c r="U14" s="1" t="s">
        <v>46</v>
      </c>
      <c r="V14" s="3">
        <f>tblInventory[[#This Row],[Stock_Quantity]]*tblInventory[[#This Row],[Unit_Price]]</f>
        <v>114</v>
      </c>
      <c r="W14" s="1" t="str">
        <f>IF(tblInventory[[#This Row],[Status]]="Discontinued","INACTIVE",
IF(tblInventory[[#This Row],[Stock_Quantity]] &lt; tblInventory[[#This Row],[Reorder_Level]],"REORDER","OK"))</f>
        <v>REORDER</v>
      </c>
      <c r="X14" s="1" t="str">
        <f t="shared" ca="1" si="1"/>
        <v>Valid</v>
      </c>
    </row>
    <row r="15" spans="1:27">
      <c r="A15" s="1">
        <v>14</v>
      </c>
      <c r="B15" s="1" t="s">
        <v>967</v>
      </c>
      <c r="C15" s="1" t="s">
        <v>968</v>
      </c>
      <c r="D15" s="1" t="s">
        <v>155</v>
      </c>
      <c r="E15" s="1" t="s">
        <v>969</v>
      </c>
      <c r="F15" s="1" t="s">
        <v>970</v>
      </c>
      <c r="G15" s="6">
        <v>88</v>
      </c>
      <c r="H15" s="8">
        <f>tblInventory[[#This Row],[Stock_Quantity]] * tblInventory[[#This Row],[Unit_Price]]</f>
        <v>880</v>
      </c>
      <c r="I15" s="1">
        <v>56</v>
      </c>
      <c r="J15" s="1">
        <v>81</v>
      </c>
      <c r="K15" s="8">
        <f>tblInventory[[#This Row],[Reorder_Quantity]]*M15</f>
        <v>810</v>
      </c>
      <c r="L15" s="10">
        <f>tblInventory[[#This Row],[Stock_Quantity]] / tblInventory[[#This Row],[Reorder_Quantity]]</f>
        <v>1.0864197530864197</v>
      </c>
      <c r="M15" s="3">
        <v>10</v>
      </c>
      <c r="N15" s="10">
        <f t="shared" si="0"/>
        <v>1.4940577249575553</v>
      </c>
      <c r="O15" s="2">
        <v>45570</v>
      </c>
      <c r="P15" s="2">
        <v>45568</v>
      </c>
      <c r="Q15" s="2">
        <v>45732</v>
      </c>
      <c r="R15" s="1" t="s">
        <v>971</v>
      </c>
      <c r="S15" s="1">
        <v>98</v>
      </c>
      <c r="T15" s="1">
        <v>86</v>
      </c>
      <c r="U15" s="1" t="s">
        <v>24</v>
      </c>
      <c r="V15" s="3">
        <f>tblInventory[[#This Row],[Stock_Quantity]]*tblInventory[[#This Row],[Unit_Price]]</f>
        <v>880</v>
      </c>
      <c r="W15" s="1" t="str">
        <f>IF(tblInventory[[#This Row],[Status]]="Discontinued","INACTIVE",
IF(tblInventory[[#This Row],[Stock_Quantity]] &lt; tblInventory[[#This Row],[Reorder_Level]],"REORDER","OK"))</f>
        <v>INACTIVE</v>
      </c>
      <c r="X15" s="1" t="str">
        <f t="shared" ca="1" si="1"/>
        <v>Expired</v>
      </c>
    </row>
    <row r="16" spans="1:27">
      <c r="A16" s="1">
        <v>15</v>
      </c>
      <c r="B16" s="1" t="s">
        <v>1433</v>
      </c>
      <c r="C16" s="1" t="s">
        <v>968</v>
      </c>
      <c r="D16" s="1" t="s">
        <v>155</v>
      </c>
      <c r="E16" s="1" t="s">
        <v>1434</v>
      </c>
      <c r="F16" s="1" t="s">
        <v>1435</v>
      </c>
      <c r="G16" s="6">
        <v>81</v>
      </c>
      <c r="H16" s="8">
        <f>tblInventory[[#This Row],[Stock_Quantity]] * tblInventory[[#This Row],[Unit_Price]]</f>
        <v>810</v>
      </c>
      <c r="I16" s="1">
        <v>22</v>
      </c>
      <c r="J16" s="1">
        <v>20</v>
      </c>
      <c r="K16" s="8">
        <f>tblInventory[[#This Row],[Reorder_Quantity]]*M16</f>
        <v>200</v>
      </c>
      <c r="L16" s="10">
        <f>tblInventory[[#This Row],[Stock_Quantity]] / tblInventory[[#This Row],[Reorder_Quantity]]</f>
        <v>4.05</v>
      </c>
      <c r="M16" s="3">
        <v>10</v>
      </c>
      <c r="N16" s="10">
        <f t="shared" si="0"/>
        <v>1.3752122241086588</v>
      </c>
      <c r="O16" s="2">
        <v>45297</v>
      </c>
      <c r="P16" s="1" t="s">
        <v>1436</v>
      </c>
      <c r="Q16" s="2">
        <v>45968</v>
      </c>
      <c r="R16" s="1" t="s">
        <v>1437</v>
      </c>
      <c r="S16" s="1">
        <v>95</v>
      </c>
      <c r="T16" s="1">
        <v>77</v>
      </c>
      <c r="U16" s="1" t="s">
        <v>24</v>
      </c>
      <c r="V16" s="3">
        <f>tblInventory[[#This Row],[Stock_Quantity]]*tblInventory[[#This Row],[Unit_Price]]</f>
        <v>810</v>
      </c>
      <c r="W16" s="1" t="str">
        <f>IF(tblInventory[[#This Row],[Status]]="Discontinued","INACTIVE",
IF(tblInventory[[#This Row],[Stock_Quantity]] &lt; tblInventory[[#This Row],[Reorder_Level]],"REORDER","OK"))</f>
        <v>INACTIVE</v>
      </c>
      <c r="X16" s="1" t="str">
        <f t="shared" ca="1" si="1"/>
        <v>Expired</v>
      </c>
    </row>
    <row r="17" spans="1:24">
      <c r="A17" s="1">
        <v>16</v>
      </c>
      <c r="B17" s="1" t="s">
        <v>1891</v>
      </c>
      <c r="C17" s="1" t="s">
        <v>968</v>
      </c>
      <c r="D17" s="1" t="s">
        <v>155</v>
      </c>
      <c r="E17" s="1" t="s">
        <v>1892</v>
      </c>
      <c r="F17" s="1" t="s">
        <v>1650</v>
      </c>
      <c r="G17" s="6">
        <v>60</v>
      </c>
      <c r="H17" s="8">
        <f>tblInventory[[#This Row],[Stock_Quantity]] * tblInventory[[#This Row],[Unit_Price]]</f>
        <v>600</v>
      </c>
      <c r="I17" s="1">
        <v>64</v>
      </c>
      <c r="J17" s="1">
        <v>36</v>
      </c>
      <c r="K17" s="8">
        <f>tblInventory[[#This Row],[Reorder_Quantity]]*M17</f>
        <v>360</v>
      </c>
      <c r="L17" s="10">
        <f>tblInventory[[#This Row],[Stock_Quantity]] / tblInventory[[#This Row],[Reorder_Quantity]]</f>
        <v>1.6666666666666667</v>
      </c>
      <c r="M17" s="3">
        <v>10</v>
      </c>
      <c r="N17" s="10">
        <f t="shared" si="0"/>
        <v>1.0186757215619695</v>
      </c>
      <c r="O17" s="2">
        <v>45331</v>
      </c>
      <c r="P17" s="1" t="s">
        <v>622</v>
      </c>
      <c r="Q17" s="2">
        <v>45980</v>
      </c>
      <c r="R17" s="1" t="s">
        <v>1893</v>
      </c>
      <c r="S17" s="1">
        <v>34</v>
      </c>
      <c r="T17" s="1">
        <v>48</v>
      </c>
      <c r="U17" s="1" t="s">
        <v>24</v>
      </c>
      <c r="V17" s="3">
        <f>tblInventory[[#This Row],[Stock_Quantity]]*tblInventory[[#This Row],[Unit_Price]]</f>
        <v>600</v>
      </c>
      <c r="W17" s="1" t="str">
        <f>IF(tblInventory[[#This Row],[Status]]="Discontinued","INACTIVE",
IF(tblInventory[[#This Row],[Stock_Quantity]] &lt; tblInventory[[#This Row],[Reorder_Level]],"REORDER","OK"))</f>
        <v>INACTIVE</v>
      </c>
      <c r="X17" s="1" t="str">
        <f t="shared" ca="1" si="1"/>
        <v>Expired</v>
      </c>
    </row>
    <row r="18" spans="1:24">
      <c r="A18" s="1">
        <v>17</v>
      </c>
      <c r="B18" s="1" t="s">
        <v>1978</v>
      </c>
      <c r="C18" s="1" t="s">
        <v>968</v>
      </c>
      <c r="D18" s="1" t="s">
        <v>155</v>
      </c>
      <c r="E18" s="1" t="s">
        <v>1979</v>
      </c>
      <c r="F18" s="1" t="s">
        <v>790</v>
      </c>
      <c r="G18" s="6">
        <v>100</v>
      </c>
      <c r="H18" s="8">
        <f>tblInventory[[#This Row],[Stock_Quantity]] * tblInventory[[#This Row],[Unit_Price]]</f>
        <v>1000</v>
      </c>
      <c r="I18" s="1">
        <v>99</v>
      </c>
      <c r="J18" s="1">
        <v>8</v>
      </c>
      <c r="K18" s="8">
        <f>tblInventory[[#This Row],[Reorder_Quantity]]*M18</f>
        <v>80</v>
      </c>
      <c r="L18" s="10">
        <f>tblInventory[[#This Row],[Stock_Quantity]] / tblInventory[[#This Row],[Reorder_Quantity]]</f>
        <v>12.5</v>
      </c>
      <c r="M18" s="3">
        <v>10</v>
      </c>
      <c r="N18" s="10">
        <f t="shared" si="0"/>
        <v>1.6977928692699491</v>
      </c>
      <c r="O18" s="1" t="s">
        <v>43</v>
      </c>
      <c r="P18" s="1" t="s">
        <v>1217</v>
      </c>
      <c r="Q18" s="2">
        <v>46007</v>
      </c>
      <c r="R18" s="1" t="s">
        <v>1980</v>
      </c>
      <c r="S18" s="1">
        <v>54</v>
      </c>
      <c r="T18" s="1">
        <v>92</v>
      </c>
      <c r="U18" s="1" t="s">
        <v>24</v>
      </c>
      <c r="V18" s="3">
        <f>tblInventory[[#This Row],[Stock_Quantity]]*tblInventory[[#This Row],[Unit_Price]]</f>
        <v>1000</v>
      </c>
      <c r="W18" s="1" t="str">
        <f>IF(tblInventory[[#This Row],[Status]]="Discontinued","INACTIVE",
IF(tblInventory[[#This Row],[Stock_Quantity]] &lt; tblInventory[[#This Row],[Reorder_Level]],"REORDER","OK"))</f>
        <v>INACTIVE</v>
      </c>
      <c r="X18" s="1" t="str">
        <f t="shared" ca="1" si="1"/>
        <v>Valid</v>
      </c>
    </row>
    <row r="19" spans="1:24">
      <c r="A19" s="1">
        <v>18</v>
      </c>
      <c r="B19" s="1" t="s">
        <v>2116</v>
      </c>
      <c r="C19" s="1" t="s">
        <v>968</v>
      </c>
      <c r="D19" s="1" t="s">
        <v>155</v>
      </c>
      <c r="E19" s="1" t="s">
        <v>2117</v>
      </c>
      <c r="F19" s="1" t="s">
        <v>1086</v>
      </c>
      <c r="G19" s="6">
        <v>66</v>
      </c>
      <c r="H19" s="8">
        <f>tblInventory[[#This Row],[Stock_Quantity]] * tblInventory[[#This Row],[Unit_Price]]</f>
        <v>660</v>
      </c>
      <c r="I19" s="1">
        <v>49</v>
      </c>
      <c r="J19" s="1">
        <v>41</v>
      </c>
      <c r="K19" s="8">
        <f>tblInventory[[#This Row],[Reorder_Quantity]]*M19</f>
        <v>410</v>
      </c>
      <c r="L19" s="10">
        <f>tblInventory[[#This Row],[Stock_Quantity]] / tblInventory[[#This Row],[Reorder_Quantity]]</f>
        <v>1.6097560975609757</v>
      </c>
      <c r="M19" s="3">
        <v>10</v>
      </c>
      <c r="N19" s="10">
        <f t="shared" si="0"/>
        <v>1.1205432937181663</v>
      </c>
      <c r="O19" s="1" t="s">
        <v>1424</v>
      </c>
      <c r="P19" s="2">
        <v>45514</v>
      </c>
      <c r="Q19" s="2">
        <v>46050</v>
      </c>
      <c r="R19" s="1" t="s">
        <v>2118</v>
      </c>
      <c r="S19" s="1">
        <v>27</v>
      </c>
      <c r="T19" s="1">
        <v>37</v>
      </c>
      <c r="U19" s="1" t="s">
        <v>24</v>
      </c>
      <c r="V19" s="3">
        <f>tblInventory[[#This Row],[Stock_Quantity]]*tblInventory[[#This Row],[Unit_Price]]</f>
        <v>660</v>
      </c>
      <c r="W19" s="1" t="str">
        <f>IF(tblInventory[[#This Row],[Status]]="Discontinued","INACTIVE",
IF(tblInventory[[#This Row],[Stock_Quantity]] &lt; tblInventory[[#This Row],[Reorder_Level]],"REORDER","OK"))</f>
        <v>INACTIVE</v>
      </c>
      <c r="X19" s="1" t="str">
        <f t="shared" ca="1" si="1"/>
        <v>Valid</v>
      </c>
    </row>
    <row r="20" spans="1:24">
      <c r="A20" s="1">
        <v>19</v>
      </c>
      <c r="B20" s="1" t="s">
        <v>2399</v>
      </c>
      <c r="C20" s="1" t="s">
        <v>968</v>
      </c>
      <c r="D20" s="1" t="s">
        <v>155</v>
      </c>
      <c r="E20" s="1" t="s">
        <v>2400</v>
      </c>
      <c r="F20" s="1" t="s">
        <v>1489</v>
      </c>
      <c r="G20" s="6">
        <v>83</v>
      </c>
      <c r="H20" s="8">
        <f>tblInventory[[#This Row],[Stock_Quantity]] * tblInventory[[#This Row],[Unit_Price]]</f>
        <v>830</v>
      </c>
      <c r="I20" s="1">
        <v>17</v>
      </c>
      <c r="J20" s="1">
        <v>39</v>
      </c>
      <c r="K20" s="8">
        <f>tblInventory[[#This Row],[Reorder_Quantity]]*M20</f>
        <v>390</v>
      </c>
      <c r="L20" s="10">
        <f>tblInventory[[#This Row],[Stock_Quantity]] / tblInventory[[#This Row],[Reorder_Quantity]]</f>
        <v>2.1282051282051282</v>
      </c>
      <c r="M20" s="3">
        <v>10</v>
      </c>
      <c r="N20" s="10">
        <f t="shared" si="0"/>
        <v>1.4091680814940577</v>
      </c>
      <c r="O20" s="2">
        <v>45357</v>
      </c>
      <c r="P20" s="2">
        <v>45603</v>
      </c>
      <c r="Q20" s="2">
        <v>46137</v>
      </c>
      <c r="R20" s="1" t="s">
        <v>2401</v>
      </c>
      <c r="S20" s="1">
        <v>33</v>
      </c>
      <c r="T20" s="1">
        <v>20</v>
      </c>
      <c r="U20" s="1" t="s">
        <v>46</v>
      </c>
      <c r="V20" s="3">
        <f>tblInventory[[#This Row],[Stock_Quantity]]*tblInventory[[#This Row],[Unit_Price]]</f>
        <v>830</v>
      </c>
      <c r="W20" s="1" t="str">
        <f>IF(tblInventory[[#This Row],[Status]]="Discontinued","INACTIVE",
IF(tblInventory[[#This Row],[Stock_Quantity]] &lt; tblInventory[[#This Row],[Reorder_Level]],"REORDER","OK"))</f>
        <v>OK</v>
      </c>
      <c r="X20" s="1" t="str">
        <f t="shared" ca="1" si="1"/>
        <v>Valid</v>
      </c>
    </row>
    <row r="21" spans="1:24">
      <c r="A21" s="1">
        <v>20</v>
      </c>
      <c r="B21" s="1" t="s">
        <v>2890</v>
      </c>
      <c r="C21" s="1" t="s">
        <v>968</v>
      </c>
      <c r="D21" s="1" t="s">
        <v>155</v>
      </c>
      <c r="E21" s="1" t="s">
        <v>2891</v>
      </c>
      <c r="F21" s="1" t="s">
        <v>333</v>
      </c>
      <c r="G21" s="6">
        <v>44</v>
      </c>
      <c r="H21" s="8">
        <f>tblInventory[[#This Row],[Stock_Quantity]] * tblInventory[[#This Row],[Unit_Price]]</f>
        <v>440</v>
      </c>
      <c r="I21" s="1">
        <v>97</v>
      </c>
      <c r="J21" s="1">
        <v>76</v>
      </c>
      <c r="K21" s="8">
        <f>tblInventory[[#This Row],[Reorder_Quantity]]*M21</f>
        <v>760</v>
      </c>
      <c r="L21" s="10">
        <f>tblInventory[[#This Row],[Stock_Quantity]] / tblInventory[[#This Row],[Reorder_Quantity]]</f>
        <v>0.57894736842105265</v>
      </c>
      <c r="M21" s="3">
        <v>10</v>
      </c>
      <c r="N21" s="10">
        <f t="shared" si="0"/>
        <v>0.74702886247877764</v>
      </c>
      <c r="O21" s="1" t="s">
        <v>1079</v>
      </c>
      <c r="P21" s="2">
        <v>45569</v>
      </c>
      <c r="Q21" s="2">
        <v>46286</v>
      </c>
      <c r="R21" s="1" t="s">
        <v>2892</v>
      </c>
      <c r="S21" s="1">
        <v>80</v>
      </c>
      <c r="T21" s="1">
        <v>33</v>
      </c>
      <c r="U21" s="1" t="s">
        <v>24</v>
      </c>
      <c r="V21" s="3">
        <f>tblInventory[[#This Row],[Stock_Quantity]]*tblInventory[[#This Row],[Unit_Price]]</f>
        <v>440</v>
      </c>
      <c r="W21" s="1" t="str">
        <f>IF(tblInventory[[#This Row],[Status]]="Discontinued","INACTIVE",
IF(tblInventory[[#This Row],[Stock_Quantity]] &lt; tblInventory[[#This Row],[Reorder_Level]],"REORDER","OK"))</f>
        <v>INACTIVE</v>
      </c>
      <c r="X21" s="1" t="str">
        <f t="shared" ca="1" si="1"/>
        <v>Valid</v>
      </c>
    </row>
    <row r="22" spans="1:24">
      <c r="A22" s="1">
        <v>21</v>
      </c>
      <c r="B22" s="1" t="s">
        <v>3139</v>
      </c>
      <c r="C22" s="1" t="s">
        <v>968</v>
      </c>
      <c r="D22" s="1" t="s">
        <v>155</v>
      </c>
      <c r="E22" s="1" t="s">
        <v>3140</v>
      </c>
      <c r="F22" s="1" t="s">
        <v>1016</v>
      </c>
      <c r="G22" s="6">
        <v>51</v>
      </c>
      <c r="H22" s="8">
        <f>tblInventory[[#This Row],[Stock_Quantity]] * tblInventory[[#This Row],[Unit_Price]]</f>
        <v>510</v>
      </c>
      <c r="I22" s="1">
        <v>35</v>
      </c>
      <c r="J22" s="1">
        <v>95</v>
      </c>
      <c r="K22" s="8">
        <f>tblInventory[[#This Row],[Reorder_Quantity]]*M22</f>
        <v>950</v>
      </c>
      <c r="L22" s="10">
        <f>tblInventory[[#This Row],[Stock_Quantity]] / tblInventory[[#This Row],[Reorder_Quantity]]</f>
        <v>0.5368421052631579</v>
      </c>
      <c r="M22" s="3">
        <v>10</v>
      </c>
      <c r="N22" s="10">
        <f t="shared" si="0"/>
        <v>0.86587436332767409</v>
      </c>
      <c r="O22" s="1" t="s">
        <v>518</v>
      </c>
      <c r="P22" s="2">
        <v>45509</v>
      </c>
      <c r="Q22" s="2">
        <v>46307</v>
      </c>
      <c r="R22" s="1" t="s">
        <v>3141</v>
      </c>
      <c r="S22" s="1">
        <v>80</v>
      </c>
      <c r="T22" s="1">
        <v>89</v>
      </c>
      <c r="U22" s="1" t="s">
        <v>38</v>
      </c>
      <c r="V22" s="3">
        <f>tblInventory[[#This Row],[Stock_Quantity]]*tblInventory[[#This Row],[Unit_Price]]</f>
        <v>510</v>
      </c>
      <c r="W22" s="1" t="str">
        <f>IF(tblInventory[[#This Row],[Status]]="Discontinued","INACTIVE",
IF(tblInventory[[#This Row],[Stock_Quantity]] &lt; tblInventory[[#This Row],[Reorder_Level]],"REORDER","OK"))</f>
        <v>OK</v>
      </c>
      <c r="X22" s="1" t="str">
        <f t="shared" ca="1" si="1"/>
        <v>Valid</v>
      </c>
    </row>
    <row r="23" spans="1:24">
      <c r="A23" s="1">
        <v>22</v>
      </c>
      <c r="B23" s="1" t="s">
        <v>3367</v>
      </c>
      <c r="C23" s="1" t="s">
        <v>968</v>
      </c>
      <c r="D23" s="1" t="s">
        <v>155</v>
      </c>
      <c r="E23" s="1" t="s">
        <v>3368</v>
      </c>
      <c r="F23" s="1" t="s">
        <v>479</v>
      </c>
      <c r="G23" s="6">
        <v>86</v>
      </c>
      <c r="H23" s="8">
        <f>tblInventory[[#This Row],[Stock_Quantity]] * tblInventory[[#This Row],[Unit_Price]]</f>
        <v>860</v>
      </c>
      <c r="I23" s="1">
        <v>55</v>
      </c>
      <c r="J23" s="1">
        <v>96</v>
      </c>
      <c r="K23" s="8">
        <f>tblInventory[[#This Row],[Reorder_Quantity]]*M23</f>
        <v>960</v>
      </c>
      <c r="L23" s="10">
        <f>tblInventory[[#This Row],[Stock_Quantity]] / tblInventory[[#This Row],[Reorder_Quantity]]</f>
        <v>0.89583333333333337</v>
      </c>
      <c r="M23" s="3">
        <v>10</v>
      </c>
      <c r="N23" s="10">
        <f t="shared" si="0"/>
        <v>1.4601018675721562</v>
      </c>
      <c r="O23" s="1" t="s">
        <v>1008</v>
      </c>
      <c r="P23" s="2">
        <v>45542</v>
      </c>
      <c r="Q23" s="2">
        <v>46440</v>
      </c>
      <c r="R23" s="1" t="s">
        <v>3369</v>
      </c>
      <c r="S23" s="1">
        <v>37</v>
      </c>
      <c r="T23" s="1">
        <v>53</v>
      </c>
      <c r="U23" s="1" t="s">
        <v>38</v>
      </c>
      <c r="V23" s="3">
        <f>tblInventory[[#This Row],[Stock_Quantity]]*tblInventory[[#This Row],[Unit_Price]]</f>
        <v>860</v>
      </c>
      <c r="W23" s="1" t="str">
        <f>IF(tblInventory[[#This Row],[Status]]="Discontinued","INACTIVE",
IF(tblInventory[[#This Row],[Stock_Quantity]] &lt; tblInventory[[#This Row],[Reorder_Level]],"REORDER","OK"))</f>
        <v>OK</v>
      </c>
      <c r="X23" s="1" t="str">
        <f t="shared" ca="1" si="1"/>
        <v>Valid</v>
      </c>
    </row>
    <row r="24" spans="1:24">
      <c r="A24" s="1">
        <v>23</v>
      </c>
      <c r="B24" s="1" t="s">
        <v>3383</v>
      </c>
      <c r="C24" s="1" t="s">
        <v>968</v>
      </c>
      <c r="D24" s="1" t="s">
        <v>155</v>
      </c>
      <c r="E24" s="1" t="s">
        <v>3384</v>
      </c>
      <c r="F24" s="1" t="s">
        <v>1350</v>
      </c>
      <c r="G24" s="6">
        <v>64</v>
      </c>
      <c r="H24" s="8">
        <f>tblInventory[[#This Row],[Stock_Quantity]] * tblInventory[[#This Row],[Unit_Price]]</f>
        <v>640</v>
      </c>
      <c r="I24" s="1">
        <v>1</v>
      </c>
      <c r="J24" s="1">
        <v>92</v>
      </c>
      <c r="K24" s="8">
        <f>tblInventory[[#This Row],[Reorder_Quantity]]*M24</f>
        <v>920</v>
      </c>
      <c r="L24" s="10">
        <f>tblInventory[[#This Row],[Stock_Quantity]] / tblInventory[[#This Row],[Reorder_Quantity]]</f>
        <v>0.69565217391304346</v>
      </c>
      <c r="M24" s="3">
        <v>10</v>
      </c>
      <c r="N24" s="10">
        <f t="shared" si="0"/>
        <v>1.0865874363327674</v>
      </c>
      <c r="O24" s="2">
        <v>45416</v>
      </c>
      <c r="P24" s="1" t="s">
        <v>910</v>
      </c>
      <c r="Q24" s="2">
        <v>46445</v>
      </c>
      <c r="R24" s="1" t="s">
        <v>3385</v>
      </c>
      <c r="S24" s="1">
        <v>49</v>
      </c>
      <c r="T24" s="1">
        <v>15</v>
      </c>
      <c r="U24" s="1" t="s">
        <v>46</v>
      </c>
      <c r="V24" s="3">
        <f>tblInventory[[#This Row],[Stock_Quantity]]*tblInventory[[#This Row],[Unit_Price]]</f>
        <v>640</v>
      </c>
      <c r="W24" s="1" t="str">
        <f>IF(tblInventory[[#This Row],[Status]]="Discontinued","INACTIVE",
IF(tblInventory[[#This Row],[Stock_Quantity]] &lt; tblInventory[[#This Row],[Reorder_Level]],"REORDER","OK"))</f>
        <v>OK</v>
      </c>
      <c r="X24" s="1" t="str">
        <f t="shared" ca="1" si="1"/>
        <v>Valid</v>
      </c>
    </row>
    <row r="25" spans="1:24">
      <c r="A25" s="1">
        <v>24</v>
      </c>
      <c r="B25" s="1" t="s">
        <v>3506</v>
      </c>
      <c r="C25" s="1" t="s">
        <v>968</v>
      </c>
      <c r="D25" s="1" t="s">
        <v>155</v>
      </c>
      <c r="E25" s="1" t="s">
        <v>3507</v>
      </c>
      <c r="F25" s="1" t="s">
        <v>1115</v>
      </c>
      <c r="G25" s="6">
        <v>93</v>
      </c>
      <c r="H25" s="8">
        <f>tblInventory[[#This Row],[Stock_Quantity]] * tblInventory[[#This Row],[Unit_Price]]</f>
        <v>930</v>
      </c>
      <c r="I25" s="1">
        <v>51</v>
      </c>
      <c r="J25" s="1">
        <v>70</v>
      </c>
      <c r="K25" s="8">
        <f>tblInventory[[#This Row],[Reorder_Quantity]]*M25</f>
        <v>700</v>
      </c>
      <c r="L25" s="10">
        <f>tblInventory[[#This Row],[Stock_Quantity]] / tblInventory[[#This Row],[Reorder_Quantity]]</f>
        <v>1.3285714285714285</v>
      </c>
      <c r="M25" s="3">
        <v>10</v>
      </c>
      <c r="N25" s="10">
        <f t="shared" si="0"/>
        <v>1.5789473684210527</v>
      </c>
      <c r="O25" s="1" t="s">
        <v>1811</v>
      </c>
      <c r="P25" s="2">
        <v>45632</v>
      </c>
      <c r="Q25" s="2">
        <v>46603</v>
      </c>
      <c r="R25" s="1" t="s">
        <v>3508</v>
      </c>
      <c r="S25" s="1">
        <v>81</v>
      </c>
      <c r="T25" s="1">
        <v>18</v>
      </c>
      <c r="U25" s="1" t="s">
        <v>46</v>
      </c>
      <c r="V25" s="3">
        <f>tblInventory[[#This Row],[Stock_Quantity]]*tblInventory[[#This Row],[Unit_Price]]</f>
        <v>930</v>
      </c>
      <c r="W25" s="1" t="str">
        <f>IF(tblInventory[[#This Row],[Status]]="Discontinued","INACTIVE",
IF(tblInventory[[#This Row],[Stock_Quantity]] &lt; tblInventory[[#This Row],[Reorder_Level]],"REORDER","OK"))</f>
        <v>OK</v>
      </c>
      <c r="X25" s="1" t="str">
        <f t="shared" ca="1" si="1"/>
        <v>Valid</v>
      </c>
    </row>
    <row r="26" spans="1:24">
      <c r="A26" s="1">
        <v>25</v>
      </c>
      <c r="B26" s="1" t="s">
        <v>1438</v>
      </c>
      <c r="C26" s="1" t="s">
        <v>1439</v>
      </c>
      <c r="D26" s="1" t="s">
        <v>49</v>
      </c>
      <c r="E26" s="1" t="s">
        <v>1440</v>
      </c>
      <c r="F26" s="1" t="s">
        <v>1306</v>
      </c>
      <c r="G26" s="6">
        <v>81</v>
      </c>
      <c r="H26" s="8">
        <f>tblInventory[[#This Row],[Stock_Quantity]] * tblInventory[[#This Row],[Unit_Price]]</f>
        <v>283.5</v>
      </c>
      <c r="I26" s="1">
        <v>74</v>
      </c>
      <c r="J26" s="1">
        <v>45</v>
      </c>
      <c r="K26" s="8">
        <f>tblInventory[[#This Row],[Reorder_Quantity]]*M26</f>
        <v>157.5</v>
      </c>
      <c r="L26" s="10">
        <f>tblInventory[[#This Row],[Stock_Quantity]] / tblInventory[[#This Row],[Reorder_Quantity]]</f>
        <v>1.8</v>
      </c>
      <c r="M26" s="3">
        <v>3.5</v>
      </c>
      <c r="N26" s="10">
        <f t="shared" si="0"/>
        <v>1.3752122241086588</v>
      </c>
      <c r="O26" s="1" t="s">
        <v>1120</v>
      </c>
      <c r="P26" s="1" t="s">
        <v>512</v>
      </c>
      <c r="Q26" s="2">
        <v>45998</v>
      </c>
      <c r="R26" s="1" t="s">
        <v>1441</v>
      </c>
      <c r="S26" s="1">
        <v>42</v>
      </c>
      <c r="T26" s="1">
        <v>23</v>
      </c>
      <c r="U26" s="1" t="s">
        <v>24</v>
      </c>
      <c r="V26" s="3">
        <f>tblInventory[[#This Row],[Stock_Quantity]]*tblInventory[[#This Row],[Unit_Price]]</f>
        <v>283.5</v>
      </c>
      <c r="W26" s="1" t="str">
        <f>IF(tblInventory[[#This Row],[Status]]="Discontinued","INACTIVE",
IF(tblInventory[[#This Row],[Stock_Quantity]] &lt; tblInventory[[#This Row],[Reorder_Level]],"REORDER","OK"))</f>
        <v>INACTIVE</v>
      </c>
      <c r="X26" s="1" t="str">
        <f t="shared" ca="1" si="1"/>
        <v>Valid</v>
      </c>
    </row>
    <row r="27" spans="1:24">
      <c r="A27" s="1">
        <v>26</v>
      </c>
      <c r="B27" s="1" t="s">
        <v>1753</v>
      </c>
      <c r="C27" s="1" t="s">
        <v>1439</v>
      </c>
      <c r="D27" s="1" t="s">
        <v>49</v>
      </c>
      <c r="E27" s="1" t="s">
        <v>1754</v>
      </c>
      <c r="F27" s="1" t="s">
        <v>1321</v>
      </c>
      <c r="G27" s="6">
        <v>43</v>
      </c>
      <c r="H27" s="8">
        <f>tblInventory[[#This Row],[Stock_Quantity]] * tblInventory[[#This Row],[Unit_Price]]</f>
        <v>150.5</v>
      </c>
      <c r="I27" s="1">
        <v>63</v>
      </c>
      <c r="J27" s="1">
        <v>99</v>
      </c>
      <c r="K27" s="8">
        <f>tblInventory[[#This Row],[Reorder_Quantity]]*M27</f>
        <v>346.5</v>
      </c>
      <c r="L27" s="10">
        <f>tblInventory[[#This Row],[Stock_Quantity]] / tblInventory[[#This Row],[Reorder_Quantity]]</f>
        <v>0.43434343434343436</v>
      </c>
      <c r="M27" s="3">
        <v>3.5</v>
      </c>
      <c r="N27" s="10">
        <f t="shared" si="0"/>
        <v>0.7300509337860781</v>
      </c>
      <c r="O27" s="2">
        <v>45515</v>
      </c>
      <c r="P27" s="1" t="s">
        <v>103</v>
      </c>
      <c r="Q27" s="2">
        <v>45910</v>
      </c>
      <c r="R27" s="1" t="s">
        <v>1755</v>
      </c>
      <c r="S27" s="1">
        <v>39</v>
      </c>
      <c r="T27" s="1">
        <v>77</v>
      </c>
      <c r="U27" s="1" t="s">
        <v>24</v>
      </c>
      <c r="V27" s="3">
        <f>tblInventory[[#This Row],[Stock_Quantity]]*tblInventory[[#This Row],[Unit_Price]]</f>
        <v>150.5</v>
      </c>
      <c r="W27" s="1" t="str">
        <f>IF(tblInventory[[#This Row],[Status]]="Discontinued","INACTIVE",
IF(tblInventory[[#This Row],[Stock_Quantity]] &lt; tblInventory[[#This Row],[Reorder_Level]],"REORDER","OK"))</f>
        <v>INACTIVE</v>
      </c>
      <c r="X27" s="1" t="str">
        <f t="shared" ca="1" si="1"/>
        <v>Expired</v>
      </c>
    </row>
    <row r="28" spans="1:24">
      <c r="A28" s="1">
        <v>27</v>
      </c>
      <c r="B28" s="1" t="s">
        <v>2878</v>
      </c>
      <c r="C28" s="1" t="s">
        <v>1439</v>
      </c>
      <c r="D28" s="1" t="s">
        <v>49</v>
      </c>
      <c r="E28" s="1" t="s">
        <v>2879</v>
      </c>
      <c r="F28" s="1" t="s">
        <v>1138</v>
      </c>
      <c r="G28" s="6">
        <v>71</v>
      </c>
      <c r="H28" s="8">
        <f>tblInventory[[#This Row],[Stock_Quantity]] * tblInventory[[#This Row],[Unit_Price]]</f>
        <v>248.5</v>
      </c>
      <c r="I28" s="1">
        <v>36</v>
      </c>
      <c r="J28" s="1">
        <v>45</v>
      </c>
      <c r="K28" s="8">
        <f>tblInventory[[#This Row],[Reorder_Quantity]]*M28</f>
        <v>157.5</v>
      </c>
      <c r="L28" s="10">
        <f>tblInventory[[#This Row],[Stock_Quantity]] / tblInventory[[#This Row],[Reorder_Quantity]]</f>
        <v>1.5777777777777777</v>
      </c>
      <c r="M28" s="3">
        <v>3.5</v>
      </c>
      <c r="N28" s="10">
        <f t="shared" si="0"/>
        <v>1.2054329371816639</v>
      </c>
      <c r="O28" s="1" t="s">
        <v>1597</v>
      </c>
      <c r="P28" s="1" t="s">
        <v>317</v>
      </c>
      <c r="Q28" s="2">
        <v>46282</v>
      </c>
      <c r="R28" s="1" t="s">
        <v>2880</v>
      </c>
      <c r="S28" s="1">
        <v>87</v>
      </c>
      <c r="T28" s="1">
        <v>2</v>
      </c>
      <c r="U28" s="1" t="s">
        <v>38</v>
      </c>
      <c r="V28" s="3">
        <f>tblInventory[[#This Row],[Stock_Quantity]]*tblInventory[[#This Row],[Unit_Price]]</f>
        <v>248.5</v>
      </c>
      <c r="W28" s="1" t="str">
        <f>IF(tblInventory[[#This Row],[Status]]="Discontinued","INACTIVE",
IF(tblInventory[[#This Row],[Stock_Quantity]] &lt; tblInventory[[#This Row],[Reorder_Level]],"REORDER","OK"))</f>
        <v>OK</v>
      </c>
      <c r="X28" s="1" t="str">
        <f t="shared" ca="1" si="1"/>
        <v>Valid</v>
      </c>
    </row>
    <row r="29" spans="1:24">
      <c r="A29" s="1">
        <v>28</v>
      </c>
      <c r="B29" s="1" t="s">
        <v>3167</v>
      </c>
      <c r="C29" s="1" t="s">
        <v>1439</v>
      </c>
      <c r="D29" s="1" t="s">
        <v>49</v>
      </c>
      <c r="E29" s="1" t="s">
        <v>3168</v>
      </c>
      <c r="F29" s="1" t="s">
        <v>2557</v>
      </c>
      <c r="G29" s="6">
        <v>17</v>
      </c>
      <c r="H29" s="8">
        <f>tblInventory[[#This Row],[Stock_Quantity]] * tblInventory[[#This Row],[Unit_Price]]</f>
        <v>59.5</v>
      </c>
      <c r="I29" s="1">
        <v>14</v>
      </c>
      <c r="J29" s="1">
        <v>17</v>
      </c>
      <c r="K29" s="8">
        <f>tblInventory[[#This Row],[Reorder_Quantity]]*M29</f>
        <v>59.5</v>
      </c>
      <c r="L29" s="10">
        <f>tblInventory[[#This Row],[Stock_Quantity]] / tblInventory[[#This Row],[Reorder_Quantity]]</f>
        <v>1</v>
      </c>
      <c r="M29" s="3">
        <v>3.5</v>
      </c>
      <c r="N29" s="10">
        <f t="shared" si="0"/>
        <v>0.28862478777589134</v>
      </c>
      <c r="O29" s="1" t="s">
        <v>530</v>
      </c>
      <c r="P29" s="2">
        <v>45422</v>
      </c>
      <c r="Q29" s="2">
        <v>46375</v>
      </c>
      <c r="R29" s="1" t="s">
        <v>3169</v>
      </c>
      <c r="S29" s="1">
        <v>36</v>
      </c>
      <c r="T29" s="1">
        <v>64</v>
      </c>
      <c r="U29" s="1" t="s">
        <v>24</v>
      </c>
      <c r="V29" s="3">
        <f>tblInventory[[#This Row],[Stock_Quantity]]*tblInventory[[#This Row],[Unit_Price]]</f>
        <v>59.5</v>
      </c>
      <c r="W29" s="1" t="str">
        <f>IF(tblInventory[[#This Row],[Status]]="Discontinued","INACTIVE",
IF(tblInventory[[#This Row],[Stock_Quantity]] &lt; tblInventory[[#This Row],[Reorder_Level]],"REORDER","OK"))</f>
        <v>INACTIVE</v>
      </c>
      <c r="X29" s="1" t="str">
        <f t="shared" ca="1" si="1"/>
        <v>Valid</v>
      </c>
    </row>
    <row r="30" spans="1:24">
      <c r="A30" s="1">
        <v>29</v>
      </c>
      <c r="B30" s="1" t="s">
        <v>3512</v>
      </c>
      <c r="C30" s="1" t="s">
        <v>1439</v>
      </c>
      <c r="D30" s="1" t="s">
        <v>49</v>
      </c>
      <c r="E30" s="1" t="s">
        <v>3513</v>
      </c>
      <c r="F30" s="1" t="s">
        <v>808</v>
      </c>
      <c r="G30" s="6">
        <v>77</v>
      </c>
      <c r="H30" s="8">
        <f>tblInventory[[#This Row],[Stock_Quantity]] * tblInventory[[#This Row],[Unit_Price]]</f>
        <v>269.5</v>
      </c>
      <c r="I30" s="1">
        <v>58</v>
      </c>
      <c r="J30" s="1">
        <v>13</v>
      </c>
      <c r="K30" s="8">
        <f>tblInventory[[#This Row],[Reorder_Quantity]]*M30</f>
        <v>45.5</v>
      </c>
      <c r="L30" s="10">
        <f>tblInventory[[#This Row],[Stock_Quantity]] / tblInventory[[#This Row],[Reorder_Quantity]]</f>
        <v>5.9230769230769234</v>
      </c>
      <c r="M30" s="3">
        <v>3.5</v>
      </c>
      <c r="N30" s="10">
        <f t="shared" si="0"/>
        <v>1.3073005093378609</v>
      </c>
      <c r="O30" s="1" t="s">
        <v>151</v>
      </c>
      <c r="P30" s="1" t="s">
        <v>770</v>
      </c>
      <c r="Q30" s="2">
        <v>46664</v>
      </c>
      <c r="R30" s="1" t="s">
        <v>3514</v>
      </c>
      <c r="S30" s="1">
        <v>63</v>
      </c>
      <c r="T30" s="1">
        <v>28</v>
      </c>
      <c r="U30" s="1" t="s">
        <v>24</v>
      </c>
      <c r="V30" s="3">
        <f>tblInventory[[#This Row],[Stock_Quantity]]*tblInventory[[#This Row],[Unit_Price]]</f>
        <v>269.5</v>
      </c>
      <c r="W30" s="1" t="str">
        <f>IF(tblInventory[[#This Row],[Status]]="Discontinued","INACTIVE",
IF(tblInventory[[#This Row],[Stock_Quantity]] &lt; tblInventory[[#This Row],[Reorder_Level]],"REORDER","OK"))</f>
        <v>INACTIVE</v>
      </c>
      <c r="X30" s="1" t="str">
        <f t="shared" ca="1" si="1"/>
        <v>Valid</v>
      </c>
    </row>
    <row r="31" spans="1:24">
      <c r="A31" s="1">
        <v>30</v>
      </c>
      <c r="B31" s="1" t="s">
        <v>3572</v>
      </c>
      <c r="C31" s="1" t="s">
        <v>1439</v>
      </c>
      <c r="D31" s="1" t="s">
        <v>49</v>
      </c>
      <c r="E31" s="1" t="s">
        <v>3573</v>
      </c>
      <c r="F31" s="1" t="s">
        <v>1517</v>
      </c>
      <c r="G31" s="6">
        <v>44</v>
      </c>
      <c r="H31" s="8">
        <f>tblInventory[[#This Row],[Stock_Quantity]] * tblInventory[[#This Row],[Unit_Price]]</f>
        <v>154</v>
      </c>
      <c r="I31" s="1">
        <v>92</v>
      </c>
      <c r="J31" s="1">
        <v>92</v>
      </c>
      <c r="K31" s="8">
        <f>tblInventory[[#This Row],[Reorder_Quantity]]*M31</f>
        <v>322</v>
      </c>
      <c r="L31" s="10">
        <f>tblInventory[[#This Row],[Stock_Quantity]] / tblInventory[[#This Row],[Reorder_Quantity]]</f>
        <v>0.47826086956521741</v>
      </c>
      <c r="M31" s="3">
        <v>3.5</v>
      </c>
      <c r="N31" s="10">
        <f t="shared" si="0"/>
        <v>0.74702886247877764</v>
      </c>
      <c r="O31" s="2">
        <v>45507</v>
      </c>
      <c r="P31" s="2">
        <v>45962</v>
      </c>
      <c r="Q31" s="2">
        <v>46506</v>
      </c>
      <c r="R31" s="1" t="s">
        <v>3574</v>
      </c>
      <c r="S31" s="1">
        <v>41</v>
      </c>
      <c r="T31" s="1">
        <v>61</v>
      </c>
      <c r="U31" s="1" t="s">
        <v>46</v>
      </c>
      <c r="V31" s="3">
        <f>tblInventory[[#This Row],[Stock_Quantity]]*tblInventory[[#This Row],[Unit_Price]]</f>
        <v>154</v>
      </c>
      <c r="W31" s="1" t="str">
        <f>IF(tblInventory[[#This Row],[Status]]="Discontinued","INACTIVE",
IF(tblInventory[[#This Row],[Stock_Quantity]] &lt; tblInventory[[#This Row],[Reorder_Level]],"REORDER","OK"))</f>
        <v>REORDER</v>
      </c>
      <c r="X31" s="1" t="str">
        <f t="shared" ca="1" si="1"/>
        <v>Valid</v>
      </c>
    </row>
    <row r="32" spans="1:24">
      <c r="A32" s="1">
        <v>31</v>
      </c>
      <c r="B32" s="1" t="s">
        <v>3623</v>
      </c>
      <c r="C32" s="1" t="s">
        <v>1439</v>
      </c>
      <c r="D32" s="1" t="s">
        <v>49</v>
      </c>
      <c r="E32" s="1" t="s">
        <v>3624</v>
      </c>
      <c r="F32" s="1" t="s">
        <v>2865</v>
      </c>
      <c r="G32" s="6">
        <v>84</v>
      </c>
      <c r="H32" s="8">
        <f>tblInventory[[#This Row],[Stock_Quantity]] * tblInventory[[#This Row],[Unit_Price]]</f>
        <v>294</v>
      </c>
      <c r="I32" s="1">
        <v>46</v>
      </c>
      <c r="J32" s="1">
        <v>80</v>
      </c>
      <c r="K32" s="8">
        <f>tblInventory[[#This Row],[Reorder_Quantity]]*M32</f>
        <v>280</v>
      </c>
      <c r="L32" s="10">
        <f>tblInventory[[#This Row],[Stock_Quantity]] / tblInventory[[#This Row],[Reorder_Quantity]]</f>
        <v>1.05</v>
      </c>
      <c r="M32" s="3">
        <v>3.5</v>
      </c>
      <c r="N32" s="10">
        <f t="shared" si="0"/>
        <v>1.4261460101867574</v>
      </c>
      <c r="O32" s="1" t="s">
        <v>535</v>
      </c>
      <c r="P32" s="2">
        <v>45332</v>
      </c>
      <c r="Q32" s="2">
        <v>46523</v>
      </c>
      <c r="R32" s="1" t="s">
        <v>3625</v>
      </c>
      <c r="S32" s="1">
        <v>66</v>
      </c>
      <c r="T32" s="1">
        <v>84</v>
      </c>
      <c r="U32" s="1" t="s">
        <v>24</v>
      </c>
      <c r="V32" s="3">
        <f>tblInventory[[#This Row],[Stock_Quantity]]*tblInventory[[#This Row],[Unit_Price]]</f>
        <v>294</v>
      </c>
      <c r="W32" s="1" t="str">
        <f>IF(tblInventory[[#This Row],[Status]]="Discontinued","INACTIVE",
IF(tblInventory[[#This Row],[Stock_Quantity]] &lt; tblInventory[[#This Row],[Reorder_Level]],"REORDER","OK"))</f>
        <v>INACTIVE</v>
      </c>
      <c r="X32" s="1" t="str">
        <f t="shared" ca="1" si="1"/>
        <v>Valid</v>
      </c>
    </row>
    <row r="33" spans="1:24">
      <c r="A33" s="1">
        <v>32</v>
      </c>
      <c r="B33" s="1" t="s">
        <v>1384</v>
      </c>
      <c r="C33" s="1" t="s">
        <v>1385</v>
      </c>
      <c r="D33" s="1" t="s">
        <v>49</v>
      </c>
      <c r="E33" s="1" t="s">
        <v>1386</v>
      </c>
      <c r="F33" s="1" t="s">
        <v>1314</v>
      </c>
      <c r="G33" s="6">
        <v>38</v>
      </c>
      <c r="H33" s="8">
        <f>tblInventory[[#This Row],[Stock_Quantity]] * tblInventory[[#This Row],[Unit_Price]]</f>
        <v>190</v>
      </c>
      <c r="I33" s="1">
        <v>22</v>
      </c>
      <c r="J33" s="1">
        <v>71</v>
      </c>
      <c r="K33" s="8">
        <f>tblInventory[[#This Row],[Reorder_Quantity]]*M33</f>
        <v>355</v>
      </c>
      <c r="L33" s="10">
        <f>tblInventory[[#This Row],[Stock_Quantity]] / tblInventory[[#This Row],[Reorder_Quantity]]</f>
        <v>0.53521126760563376</v>
      </c>
      <c r="M33" s="3">
        <v>5</v>
      </c>
      <c r="N33" s="10">
        <f t="shared" si="0"/>
        <v>0.64516129032258063</v>
      </c>
      <c r="O33" s="2">
        <v>45483</v>
      </c>
      <c r="P33" s="1" t="s">
        <v>323</v>
      </c>
      <c r="Q33" s="2">
        <v>45837</v>
      </c>
      <c r="R33" s="1" t="s">
        <v>1387</v>
      </c>
      <c r="S33" s="1">
        <v>33</v>
      </c>
      <c r="T33" s="1">
        <v>62</v>
      </c>
      <c r="U33" s="1" t="s">
        <v>46</v>
      </c>
      <c r="V33" s="3">
        <f>tblInventory[[#This Row],[Stock_Quantity]]*tblInventory[[#This Row],[Unit_Price]]</f>
        <v>190</v>
      </c>
      <c r="W33" s="1" t="str">
        <f>IF(tblInventory[[#This Row],[Status]]="Discontinued","INACTIVE",
IF(tblInventory[[#This Row],[Stock_Quantity]] &lt; tblInventory[[#This Row],[Reorder_Level]],"REORDER","OK"))</f>
        <v>OK</v>
      </c>
      <c r="X33" s="1" t="str">
        <f t="shared" ca="1" si="1"/>
        <v>Expired</v>
      </c>
    </row>
    <row r="34" spans="1:24">
      <c r="A34" s="1">
        <v>33</v>
      </c>
      <c r="B34" s="1" t="s">
        <v>2418</v>
      </c>
      <c r="C34" s="1" t="s">
        <v>1385</v>
      </c>
      <c r="D34" s="1" t="s">
        <v>49</v>
      </c>
      <c r="E34" s="1" t="s">
        <v>2419</v>
      </c>
      <c r="F34" s="1" t="s">
        <v>2420</v>
      </c>
      <c r="G34" s="6">
        <v>73</v>
      </c>
      <c r="H34" s="8">
        <f>tblInventory[[#This Row],[Stock_Quantity]] * tblInventory[[#This Row],[Unit_Price]]</f>
        <v>365</v>
      </c>
      <c r="I34" s="1">
        <v>83</v>
      </c>
      <c r="J34" s="1">
        <v>74</v>
      </c>
      <c r="K34" s="8">
        <f>tblInventory[[#This Row],[Reorder_Quantity]]*M34</f>
        <v>370</v>
      </c>
      <c r="L34" s="10">
        <f>tblInventory[[#This Row],[Stock_Quantity]] / tblInventory[[#This Row],[Reorder_Quantity]]</f>
        <v>0.98648648648648651</v>
      </c>
      <c r="M34" s="3">
        <v>5</v>
      </c>
      <c r="N34" s="10">
        <f t="shared" si="0"/>
        <v>1.2393887945670627</v>
      </c>
      <c r="O34" s="1" t="s">
        <v>1154</v>
      </c>
      <c r="P34" s="2">
        <v>45779</v>
      </c>
      <c r="Q34" s="2">
        <v>46027</v>
      </c>
      <c r="R34" s="1" t="s">
        <v>2421</v>
      </c>
      <c r="S34" s="1">
        <v>87</v>
      </c>
      <c r="T34" s="1">
        <v>10</v>
      </c>
      <c r="U34" s="1" t="s">
        <v>24</v>
      </c>
      <c r="V34" s="3">
        <f>tblInventory[[#This Row],[Stock_Quantity]]*tblInventory[[#This Row],[Unit_Price]]</f>
        <v>365</v>
      </c>
      <c r="W34" s="1" t="str">
        <f>IF(tblInventory[[#This Row],[Status]]="Discontinued","INACTIVE",
IF(tblInventory[[#This Row],[Stock_Quantity]] &lt; tblInventory[[#This Row],[Reorder_Level]],"REORDER","OK"))</f>
        <v>INACTIVE</v>
      </c>
      <c r="X34" s="1" t="str">
        <f t="shared" ca="1" si="1"/>
        <v>Valid</v>
      </c>
    </row>
    <row r="35" spans="1:24">
      <c r="A35" s="1">
        <v>34</v>
      </c>
      <c r="B35" s="1" t="s">
        <v>2588</v>
      </c>
      <c r="C35" s="1" t="s">
        <v>1385</v>
      </c>
      <c r="D35" s="1" t="s">
        <v>49</v>
      </c>
      <c r="E35" s="1" t="s">
        <v>2589</v>
      </c>
      <c r="F35" s="1" t="s">
        <v>2590</v>
      </c>
      <c r="G35" s="6">
        <v>89</v>
      </c>
      <c r="H35" s="8">
        <f>tblInventory[[#This Row],[Stock_Quantity]] * tblInventory[[#This Row],[Unit_Price]]</f>
        <v>445</v>
      </c>
      <c r="I35" s="1">
        <v>35</v>
      </c>
      <c r="J35" s="1">
        <v>19</v>
      </c>
      <c r="K35" s="8">
        <f>tblInventory[[#This Row],[Reorder_Quantity]]*M35</f>
        <v>95</v>
      </c>
      <c r="L35" s="10">
        <f>tblInventory[[#This Row],[Stock_Quantity]] / tblInventory[[#This Row],[Reorder_Quantity]]</f>
        <v>4.6842105263157894</v>
      </c>
      <c r="M35" s="3">
        <v>5</v>
      </c>
      <c r="N35" s="10">
        <f t="shared" si="0"/>
        <v>1.5110356536502547</v>
      </c>
      <c r="O35" s="1" t="s">
        <v>423</v>
      </c>
      <c r="P35" s="2">
        <v>45514</v>
      </c>
      <c r="Q35" s="2">
        <v>46194</v>
      </c>
      <c r="R35" s="1" t="s">
        <v>2591</v>
      </c>
      <c r="S35" s="1">
        <v>49</v>
      </c>
      <c r="T35" s="1">
        <v>55</v>
      </c>
      <c r="U35" s="1" t="s">
        <v>24</v>
      </c>
      <c r="V35" s="3">
        <f>tblInventory[[#This Row],[Stock_Quantity]]*tblInventory[[#This Row],[Unit_Price]]</f>
        <v>445</v>
      </c>
      <c r="W35" s="1" t="str">
        <f>IF(tblInventory[[#This Row],[Status]]="Discontinued","INACTIVE",
IF(tblInventory[[#This Row],[Stock_Quantity]] &lt; tblInventory[[#This Row],[Reorder_Level]],"REORDER","OK"))</f>
        <v>INACTIVE</v>
      </c>
      <c r="X35" s="1" t="str">
        <f t="shared" ca="1" si="1"/>
        <v>Valid</v>
      </c>
    </row>
    <row r="36" spans="1:24">
      <c r="A36" s="1">
        <v>35</v>
      </c>
      <c r="B36" s="1" t="s">
        <v>2913</v>
      </c>
      <c r="C36" s="1" t="s">
        <v>1385</v>
      </c>
      <c r="D36" s="1" t="s">
        <v>49</v>
      </c>
      <c r="E36" s="1" t="s">
        <v>2914</v>
      </c>
      <c r="F36" s="1" t="s">
        <v>87</v>
      </c>
      <c r="G36" s="6">
        <v>55</v>
      </c>
      <c r="H36" s="8">
        <f>tblInventory[[#This Row],[Stock_Quantity]] * tblInventory[[#This Row],[Unit_Price]]</f>
        <v>275</v>
      </c>
      <c r="I36" s="1">
        <v>96</v>
      </c>
      <c r="J36" s="1">
        <v>40</v>
      </c>
      <c r="K36" s="8">
        <f>tblInventory[[#This Row],[Reorder_Quantity]]*M36</f>
        <v>200</v>
      </c>
      <c r="L36" s="10">
        <f>tblInventory[[#This Row],[Stock_Quantity]] / tblInventory[[#This Row],[Reorder_Quantity]]</f>
        <v>1.375</v>
      </c>
      <c r="M36" s="3">
        <v>5</v>
      </c>
      <c r="N36" s="10">
        <f t="shared" si="0"/>
        <v>0.93378607809847203</v>
      </c>
      <c r="O36" s="1" t="s">
        <v>323</v>
      </c>
      <c r="P36" s="2">
        <v>45601</v>
      </c>
      <c r="Q36" s="2">
        <v>46293</v>
      </c>
      <c r="R36" s="1" t="s">
        <v>2915</v>
      </c>
      <c r="S36" s="1">
        <v>23</v>
      </c>
      <c r="T36" s="1">
        <v>47</v>
      </c>
      <c r="U36" s="1" t="s">
        <v>24</v>
      </c>
      <c r="V36" s="3">
        <f>tblInventory[[#This Row],[Stock_Quantity]]*tblInventory[[#This Row],[Unit_Price]]</f>
        <v>275</v>
      </c>
      <c r="W36" s="1" t="str">
        <f>IF(tblInventory[[#This Row],[Status]]="Discontinued","INACTIVE",
IF(tblInventory[[#This Row],[Stock_Quantity]] &lt; tblInventory[[#This Row],[Reorder_Level]],"REORDER","OK"))</f>
        <v>INACTIVE</v>
      </c>
      <c r="X36" s="1" t="str">
        <f t="shared" ca="1" si="1"/>
        <v>Valid</v>
      </c>
    </row>
    <row r="37" spans="1:24">
      <c r="A37" s="1">
        <v>36</v>
      </c>
      <c r="B37" s="1" t="s">
        <v>2992</v>
      </c>
      <c r="C37" s="1" t="s">
        <v>1385</v>
      </c>
      <c r="D37" s="1" t="s">
        <v>49</v>
      </c>
      <c r="E37" s="1" t="s">
        <v>2993</v>
      </c>
      <c r="F37" s="1" t="s">
        <v>1395</v>
      </c>
      <c r="G37" s="6">
        <v>90</v>
      </c>
      <c r="H37" s="8">
        <f>tblInventory[[#This Row],[Stock_Quantity]] * tblInventory[[#This Row],[Unit_Price]]</f>
        <v>450</v>
      </c>
      <c r="I37" s="1">
        <v>30</v>
      </c>
      <c r="J37" s="1">
        <v>42</v>
      </c>
      <c r="K37" s="8">
        <f>tblInventory[[#This Row],[Reorder_Quantity]]*M37</f>
        <v>210</v>
      </c>
      <c r="L37" s="10">
        <f>tblInventory[[#This Row],[Stock_Quantity]] / tblInventory[[#This Row],[Reorder_Quantity]]</f>
        <v>2.1428571428571428</v>
      </c>
      <c r="M37" s="3">
        <v>5</v>
      </c>
      <c r="N37" s="10">
        <f t="shared" si="0"/>
        <v>1.5280135823429541</v>
      </c>
      <c r="O37" s="1" t="s">
        <v>239</v>
      </c>
      <c r="P37" s="1" t="s">
        <v>495</v>
      </c>
      <c r="Q37" s="2">
        <v>46319</v>
      </c>
      <c r="R37" s="1" t="s">
        <v>2994</v>
      </c>
      <c r="S37" s="1">
        <v>76</v>
      </c>
      <c r="T37" s="1">
        <v>69</v>
      </c>
      <c r="U37" s="1" t="s">
        <v>38</v>
      </c>
      <c r="V37" s="3">
        <f>tblInventory[[#This Row],[Stock_Quantity]]*tblInventory[[#This Row],[Unit_Price]]</f>
        <v>450</v>
      </c>
      <c r="W37" s="1" t="str">
        <f>IF(tblInventory[[#This Row],[Status]]="Discontinued","INACTIVE",
IF(tblInventory[[#This Row],[Stock_Quantity]] &lt; tblInventory[[#This Row],[Reorder_Level]],"REORDER","OK"))</f>
        <v>OK</v>
      </c>
      <c r="X37" s="1" t="str">
        <f t="shared" ca="1" si="1"/>
        <v>Valid</v>
      </c>
    </row>
    <row r="38" spans="1:24">
      <c r="A38" s="1">
        <v>37</v>
      </c>
      <c r="B38" s="1" t="s">
        <v>3086</v>
      </c>
      <c r="C38" s="1" t="s">
        <v>1385</v>
      </c>
      <c r="D38" s="1" t="s">
        <v>49</v>
      </c>
      <c r="E38" s="1" t="s">
        <v>3087</v>
      </c>
      <c r="F38" s="1" t="s">
        <v>1326</v>
      </c>
      <c r="G38" s="6">
        <v>42</v>
      </c>
      <c r="H38" s="8">
        <f>tblInventory[[#This Row],[Stock_Quantity]] * tblInventory[[#This Row],[Unit_Price]]</f>
        <v>210</v>
      </c>
      <c r="I38" s="1">
        <v>61</v>
      </c>
      <c r="J38" s="1">
        <v>52</v>
      </c>
      <c r="K38" s="8">
        <f>tblInventory[[#This Row],[Reorder_Quantity]]*M38</f>
        <v>260</v>
      </c>
      <c r="L38" s="10">
        <f>tblInventory[[#This Row],[Stock_Quantity]] / tblInventory[[#This Row],[Reorder_Quantity]]</f>
        <v>0.80769230769230771</v>
      </c>
      <c r="M38" s="3">
        <v>5</v>
      </c>
      <c r="N38" s="10">
        <f t="shared" si="0"/>
        <v>0.71307300509337868</v>
      </c>
      <c r="O38" s="2">
        <v>45334</v>
      </c>
      <c r="P38" s="1" t="s">
        <v>423</v>
      </c>
      <c r="Q38" s="2">
        <v>46349</v>
      </c>
      <c r="R38" s="1" t="s">
        <v>3088</v>
      </c>
      <c r="S38" s="1">
        <v>86</v>
      </c>
      <c r="T38" s="1">
        <v>99</v>
      </c>
      <c r="U38" s="1" t="s">
        <v>38</v>
      </c>
      <c r="V38" s="3">
        <f>tblInventory[[#This Row],[Stock_Quantity]]*tblInventory[[#This Row],[Unit_Price]]</f>
        <v>210</v>
      </c>
      <c r="W38" s="1" t="str">
        <f>IF(tblInventory[[#This Row],[Status]]="Discontinued","INACTIVE",
IF(tblInventory[[#This Row],[Stock_Quantity]] &lt; tblInventory[[#This Row],[Reorder_Level]],"REORDER","OK"))</f>
        <v>REORDER</v>
      </c>
      <c r="X38" s="1" t="str">
        <f t="shared" ca="1" si="1"/>
        <v>Valid</v>
      </c>
    </row>
    <row r="39" spans="1:24">
      <c r="A39" s="1">
        <v>38</v>
      </c>
      <c r="B39" s="1" t="s">
        <v>3429</v>
      </c>
      <c r="C39" s="1" t="s">
        <v>1385</v>
      </c>
      <c r="D39" s="1" t="s">
        <v>49</v>
      </c>
      <c r="E39" s="1" t="s">
        <v>3430</v>
      </c>
      <c r="F39" s="1" t="s">
        <v>1435</v>
      </c>
      <c r="G39" s="6">
        <v>90</v>
      </c>
      <c r="H39" s="8">
        <f>tblInventory[[#This Row],[Stock_Quantity]] * tblInventory[[#This Row],[Unit_Price]]</f>
        <v>450</v>
      </c>
      <c r="I39" s="1">
        <v>91</v>
      </c>
      <c r="J39" s="1">
        <v>62</v>
      </c>
      <c r="K39" s="8">
        <f>tblInventory[[#This Row],[Reorder_Quantity]]*M39</f>
        <v>310</v>
      </c>
      <c r="L39" s="10">
        <f>tblInventory[[#This Row],[Stock_Quantity]] / tblInventory[[#This Row],[Reorder_Quantity]]</f>
        <v>1.4516129032258065</v>
      </c>
      <c r="M39" s="3">
        <v>5</v>
      </c>
      <c r="N39" s="10">
        <f t="shared" si="0"/>
        <v>1.5280135823429541</v>
      </c>
      <c r="O39" s="1" t="s">
        <v>456</v>
      </c>
      <c r="P39" s="1" t="s">
        <v>597</v>
      </c>
      <c r="Q39" s="2">
        <v>46460</v>
      </c>
      <c r="R39" s="1" t="s">
        <v>3431</v>
      </c>
      <c r="S39" s="1">
        <v>34</v>
      </c>
      <c r="T39" s="1">
        <v>72</v>
      </c>
      <c r="U39" s="1" t="s">
        <v>46</v>
      </c>
      <c r="V39" s="3">
        <f>tblInventory[[#This Row],[Stock_Quantity]]*tblInventory[[#This Row],[Unit_Price]]</f>
        <v>450</v>
      </c>
      <c r="W39" s="1" t="str">
        <f>IF(tblInventory[[#This Row],[Status]]="Discontinued","INACTIVE",
IF(tblInventory[[#This Row],[Stock_Quantity]] &lt; tblInventory[[#This Row],[Reorder_Level]],"REORDER","OK"))</f>
        <v>REORDER</v>
      </c>
      <c r="X39" s="1" t="str">
        <f t="shared" ca="1" si="1"/>
        <v>Valid</v>
      </c>
    </row>
    <row r="40" spans="1:24">
      <c r="A40" s="1">
        <v>39</v>
      </c>
      <c r="B40" s="4" t="s">
        <v>25</v>
      </c>
      <c r="C40" s="1" t="s">
        <v>26</v>
      </c>
      <c r="D40" s="1" t="s">
        <v>27</v>
      </c>
      <c r="E40" s="1" t="s">
        <v>28</v>
      </c>
      <c r="F40" s="1" t="s">
        <v>29</v>
      </c>
      <c r="G40" s="6">
        <v>45</v>
      </c>
      <c r="H40" s="8">
        <f>tblInventory[[#This Row],[Stock_Quantity]] * tblInventory[[#This Row],[Unit_Price]]</f>
        <v>900</v>
      </c>
      <c r="I40" s="1">
        <v>77</v>
      </c>
      <c r="J40" s="1">
        <v>2</v>
      </c>
      <c r="K40" s="8">
        <f>tblInventory[[#This Row],[Reorder_Quantity]]*M40</f>
        <v>40</v>
      </c>
      <c r="L40" s="10">
        <f>tblInventory[[#This Row],[Stock_Quantity]] / tblInventory[[#This Row],[Reorder_Quantity]]</f>
        <v>22.5</v>
      </c>
      <c r="M40" s="3">
        <v>20</v>
      </c>
      <c r="N40" s="10">
        <f t="shared" si="0"/>
        <v>0.76400679117147707</v>
      </c>
      <c r="O40" s="2">
        <v>45302</v>
      </c>
      <c r="P40" s="1" t="s">
        <v>30</v>
      </c>
      <c r="Q40" s="2">
        <v>45555</v>
      </c>
      <c r="R40" s="1" t="s">
        <v>31</v>
      </c>
      <c r="S40" s="1">
        <v>85</v>
      </c>
      <c r="T40" s="1">
        <v>1</v>
      </c>
      <c r="U40" s="1" t="s">
        <v>24</v>
      </c>
      <c r="V40" s="3">
        <f>tblInventory[[#This Row],[Stock_Quantity]]*tblInventory[[#This Row],[Unit_Price]]</f>
        <v>900</v>
      </c>
      <c r="W40" s="1" t="str">
        <f>IF(tblInventory[[#This Row],[Status]]="Discontinued","INACTIVE",
IF(tblInventory[[#This Row],[Stock_Quantity]] &lt; tblInventory[[#This Row],[Reorder_Level]],"REORDER","OK"))</f>
        <v>INACTIVE</v>
      </c>
      <c r="X40" s="1" t="str">
        <f t="shared" ca="1" si="1"/>
        <v>Expired</v>
      </c>
    </row>
    <row r="41" spans="1:24">
      <c r="A41" s="1">
        <v>40</v>
      </c>
      <c r="B41" s="1" t="s">
        <v>136</v>
      </c>
      <c r="C41" s="1" t="s">
        <v>26</v>
      </c>
      <c r="D41" s="1" t="s">
        <v>27</v>
      </c>
      <c r="E41" s="1" t="s">
        <v>137</v>
      </c>
      <c r="F41" s="1" t="s">
        <v>138</v>
      </c>
      <c r="G41" s="6">
        <v>55</v>
      </c>
      <c r="H41" s="8">
        <f>tblInventory[[#This Row],[Stock_Quantity]] * tblInventory[[#This Row],[Unit_Price]]</f>
        <v>1100</v>
      </c>
      <c r="I41" s="1">
        <v>93</v>
      </c>
      <c r="J41" s="1">
        <v>84</v>
      </c>
      <c r="K41" s="8">
        <f>tblInventory[[#This Row],[Reorder_Quantity]]*M41</f>
        <v>1680</v>
      </c>
      <c r="L41" s="10">
        <f>tblInventory[[#This Row],[Stock_Quantity]] / tblInventory[[#This Row],[Reorder_Quantity]]</f>
        <v>0.65476190476190477</v>
      </c>
      <c r="M41" s="3">
        <v>20</v>
      </c>
      <c r="N41" s="10">
        <f t="shared" si="0"/>
        <v>0.93378607809847203</v>
      </c>
      <c r="O41" s="1" t="s">
        <v>30</v>
      </c>
      <c r="P41" s="2">
        <v>45515</v>
      </c>
      <c r="Q41" s="2">
        <v>45483</v>
      </c>
      <c r="R41" s="1" t="s">
        <v>139</v>
      </c>
      <c r="S41" s="1">
        <v>46</v>
      </c>
      <c r="T41" s="1">
        <v>84</v>
      </c>
      <c r="U41" s="1" t="s">
        <v>46</v>
      </c>
      <c r="V41" s="3">
        <f>tblInventory[[#This Row],[Stock_Quantity]]*tblInventory[[#This Row],[Unit_Price]]</f>
        <v>1100</v>
      </c>
      <c r="W41" s="1" t="str">
        <f>IF(tblInventory[[#This Row],[Status]]="Discontinued","INACTIVE",
IF(tblInventory[[#This Row],[Stock_Quantity]] &lt; tblInventory[[#This Row],[Reorder_Level]],"REORDER","OK"))</f>
        <v>REORDER</v>
      </c>
      <c r="X41" s="1" t="str">
        <f t="shared" ca="1" si="1"/>
        <v>Expired</v>
      </c>
    </row>
    <row r="42" spans="1:24">
      <c r="A42" s="1">
        <v>41</v>
      </c>
      <c r="B42" s="1" t="s">
        <v>659</v>
      </c>
      <c r="C42" s="1" t="s">
        <v>26</v>
      </c>
      <c r="D42" s="1" t="s">
        <v>27</v>
      </c>
      <c r="E42" s="1" t="s">
        <v>660</v>
      </c>
      <c r="F42" s="1" t="s">
        <v>108</v>
      </c>
      <c r="G42" s="6">
        <v>62</v>
      </c>
      <c r="H42" s="8">
        <f>tblInventory[[#This Row],[Stock_Quantity]] * tblInventory[[#This Row],[Unit_Price]]</f>
        <v>1240</v>
      </c>
      <c r="I42" s="1">
        <v>89</v>
      </c>
      <c r="J42" s="1">
        <v>6</v>
      </c>
      <c r="K42" s="8">
        <f>tblInventory[[#This Row],[Reorder_Quantity]]*M42</f>
        <v>120</v>
      </c>
      <c r="L42" s="10">
        <f>tblInventory[[#This Row],[Stock_Quantity]] / tblInventory[[#This Row],[Reorder_Quantity]]</f>
        <v>10.333333333333334</v>
      </c>
      <c r="M42" s="3">
        <v>20</v>
      </c>
      <c r="N42" s="10">
        <f t="shared" si="0"/>
        <v>1.0526315789473684</v>
      </c>
      <c r="O42" s="2">
        <v>45513</v>
      </c>
      <c r="P42" s="2">
        <v>45449</v>
      </c>
      <c r="Q42" s="2">
        <v>45839</v>
      </c>
      <c r="R42" s="1" t="s">
        <v>661</v>
      </c>
      <c r="S42" s="1">
        <v>23</v>
      </c>
      <c r="T42" s="1">
        <v>11</v>
      </c>
      <c r="U42" s="1" t="s">
        <v>24</v>
      </c>
      <c r="V42" s="3">
        <f>tblInventory[[#This Row],[Stock_Quantity]]*tblInventory[[#This Row],[Unit_Price]]</f>
        <v>1240</v>
      </c>
      <c r="W42" s="1" t="str">
        <f>IF(tblInventory[[#This Row],[Status]]="Discontinued","INACTIVE",
IF(tblInventory[[#This Row],[Stock_Quantity]] &lt; tblInventory[[#This Row],[Reorder_Level]],"REORDER","OK"))</f>
        <v>INACTIVE</v>
      </c>
      <c r="X42" s="1" t="str">
        <f t="shared" ca="1" si="1"/>
        <v>Expired</v>
      </c>
    </row>
    <row r="43" spans="1:24">
      <c r="A43" s="1">
        <v>42</v>
      </c>
      <c r="B43" s="1" t="s">
        <v>713</v>
      </c>
      <c r="C43" s="1" t="s">
        <v>26</v>
      </c>
      <c r="D43" s="1" t="s">
        <v>27</v>
      </c>
      <c r="E43" s="1" t="s">
        <v>714</v>
      </c>
      <c r="F43" s="1" t="s">
        <v>591</v>
      </c>
      <c r="G43" s="6">
        <v>74</v>
      </c>
      <c r="H43" s="8">
        <f>tblInventory[[#This Row],[Stock_Quantity]] * tblInventory[[#This Row],[Unit_Price]]</f>
        <v>1554</v>
      </c>
      <c r="I43" s="1">
        <v>72</v>
      </c>
      <c r="J43" s="1">
        <v>18</v>
      </c>
      <c r="K43" s="8">
        <f>tblInventory[[#This Row],[Reorder_Quantity]]*M43</f>
        <v>378</v>
      </c>
      <c r="L43" s="10">
        <f>tblInventory[[#This Row],[Stock_Quantity]] / tblInventory[[#This Row],[Reorder_Quantity]]</f>
        <v>4.1111111111111107</v>
      </c>
      <c r="M43" s="3">
        <v>21</v>
      </c>
      <c r="N43" s="10">
        <f t="shared" si="0"/>
        <v>1.2563667232597624</v>
      </c>
      <c r="O43" s="1" t="s">
        <v>715</v>
      </c>
      <c r="P43" s="1" t="s">
        <v>122</v>
      </c>
      <c r="Q43" s="2">
        <v>45675</v>
      </c>
      <c r="R43" s="1" t="s">
        <v>716</v>
      </c>
      <c r="S43" s="1">
        <v>83</v>
      </c>
      <c r="T43" s="1">
        <v>54</v>
      </c>
      <c r="U43" s="1" t="s">
        <v>46</v>
      </c>
      <c r="V43" s="3">
        <f>tblInventory[[#This Row],[Stock_Quantity]]*tblInventory[[#This Row],[Unit_Price]]</f>
        <v>1554</v>
      </c>
      <c r="W43" s="1" t="str">
        <f>IF(tblInventory[[#This Row],[Status]]="Discontinued","INACTIVE",
IF(tblInventory[[#This Row],[Stock_Quantity]] &lt; tblInventory[[#This Row],[Reorder_Level]],"REORDER","OK"))</f>
        <v>OK</v>
      </c>
      <c r="X43" s="1" t="str">
        <f t="shared" ca="1" si="1"/>
        <v>Expired</v>
      </c>
    </row>
    <row r="44" spans="1:24">
      <c r="A44" s="1">
        <v>43</v>
      </c>
      <c r="B44" s="1" t="s">
        <v>980</v>
      </c>
      <c r="C44" s="1" t="s">
        <v>26</v>
      </c>
      <c r="D44" s="1" t="s">
        <v>27</v>
      </c>
      <c r="E44" s="1" t="s">
        <v>981</v>
      </c>
      <c r="F44" s="1" t="s">
        <v>29</v>
      </c>
      <c r="G44" s="6">
        <v>21</v>
      </c>
      <c r="H44" s="8">
        <f>tblInventory[[#This Row],[Stock_Quantity]] * tblInventory[[#This Row],[Unit_Price]]</f>
        <v>441</v>
      </c>
      <c r="I44" s="1">
        <v>87</v>
      </c>
      <c r="J44" s="1">
        <v>12</v>
      </c>
      <c r="K44" s="8">
        <f>tblInventory[[#This Row],[Reorder_Quantity]]*M44</f>
        <v>252</v>
      </c>
      <c r="L44" s="10">
        <f>tblInventory[[#This Row],[Stock_Quantity]] / tblInventory[[#This Row],[Reorder_Quantity]]</f>
        <v>1.75</v>
      </c>
      <c r="M44" s="3">
        <v>21</v>
      </c>
      <c r="N44" s="10">
        <f t="shared" si="0"/>
        <v>0.35653650254668934</v>
      </c>
      <c r="O44" s="1" t="s">
        <v>317</v>
      </c>
      <c r="P44" s="2">
        <v>45331</v>
      </c>
      <c r="Q44" s="2">
        <v>45735</v>
      </c>
      <c r="R44" s="1" t="s">
        <v>982</v>
      </c>
      <c r="S44" s="1">
        <v>20</v>
      </c>
      <c r="T44" s="1">
        <v>38</v>
      </c>
      <c r="U44" s="1" t="s">
        <v>24</v>
      </c>
      <c r="V44" s="3">
        <f>tblInventory[[#This Row],[Stock_Quantity]]*tblInventory[[#This Row],[Unit_Price]]</f>
        <v>441</v>
      </c>
      <c r="W44" s="1" t="str">
        <f>IF(tblInventory[[#This Row],[Status]]="Discontinued","INACTIVE",
IF(tblInventory[[#This Row],[Stock_Quantity]] &lt; tblInventory[[#This Row],[Reorder_Level]],"REORDER","OK"))</f>
        <v>INACTIVE</v>
      </c>
      <c r="X44" s="1" t="str">
        <f t="shared" ca="1" si="1"/>
        <v>Expired</v>
      </c>
    </row>
    <row r="45" spans="1:24">
      <c r="A45" s="1">
        <v>44</v>
      </c>
      <c r="B45" s="1" t="s">
        <v>1177</v>
      </c>
      <c r="C45" s="1" t="s">
        <v>26</v>
      </c>
      <c r="D45" s="1" t="s">
        <v>27</v>
      </c>
      <c r="E45" s="1" t="s">
        <v>1178</v>
      </c>
      <c r="F45" s="1" t="s">
        <v>127</v>
      </c>
      <c r="G45" s="6">
        <v>97</v>
      </c>
      <c r="H45" s="8">
        <f>tblInventory[[#This Row],[Stock_Quantity]] * tblInventory[[#This Row],[Unit_Price]]</f>
        <v>1940</v>
      </c>
      <c r="I45" s="1">
        <v>77</v>
      </c>
      <c r="J45" s="1">
        <v>99</v>
      </c>
      <c r="K45" s="8">
        <f>tblInventory[[#This Row],[Reorder_Quantity]]*M45</f>
        <v>1980</v>
      </c>
      <c r="L45" s="10">
        <f>tblInventory[[#This Row],[Stock_Quantity]] / tblInventory[[#This Row],[Reorder_Quantity]]</f>
        <v>0.97979797979797978</v>
      </c>
      <c r="M45" s="3">
        <v>20</v>
      </c>
      <c r="N45" s="10">
        <f t="shared" si="0"/>
        <v>1.6468590831918506</v>
      </c>
      <c r="O45" s="1" t="s">
        <v>322</v>
      </c>
      <c r="P45" s="1" t="s">
        <v>1179</v>
      </c>
      <c r="Q45" s="2">
        <v>45813</v>
      </c>
      <c r="R45" s="1" t="s">
        <v>1180</v>
      </c>
      <c r="S45" s="1">
        <v>74</v>
      </c>
      <c r="T45" s="1">
        <v>98</v>
      </c>
      <c r="U45" s="1" t="s">
        <v>38</v>
      </c>
      <c r="V45" s="3">
        <f>tblInventory[[#This Row],[Stock_Quantity]]*tblInventory[[#This Row],[Unit_Price]]</f>
        <v>1940</v>
      </c>
      <c r="W45" s="1" t="str">
        <f>IF(tblInventory[[#This Row],[Status]]="Discontinued","INACTIVE",
IF(tblInventory[[#This Row],[Stock_Quantity]] &lt; tblInventory[[#This Row],[Reorder_Level]],"REORDER","OK"))</f>
        <v>OK</v>
      </c>
      <c r="X45" s="1" t="str">
        <f t="shared" ca="1" si="1"/>
        <v>Expired</v>
      </c>
    </row>
    <row r="46" spans="1:24">
      <c r="A46" s="1">
        <v>45</v>
      </c>
      <c r="B46" s="1" t="s">
        <v>1185</v>
      </c>
      <c r="C46" s="1" t="s">
        <v>26</v>
      </c>
      <c r="D46" s="1" t="s">
        <v>27</v>
      </c>
      <c r="E46" s="1" t="s">
        <v>1186</v>
      </c>
      <c r="F46" s="1" t="s">
        <v>1187</v>
      </c>
      <c r="G46" s="6">
        <v>46</v>
      </c>
      <c r="H46" s="8">
        <f>tblInventory[[#This Row],[Stock_Quantity]] * tblInventory[[#This Row],[Unit_Price]]</f>
        <v>920</v>
      </c>
      <c r="I46" s="1">
        <v>31</v>
      </c>
      <c r="J46" s="1">
        <v>89</v>
      </c>
      <c r="K46" s="8">
        <f>tblInventory[[#This Row],[Reorder_Quantity]]*M46</f>
        <v>1780</v>
      </c>
      <c r="L46" s="10">
        <f>tblInventory[[#This Row],[Stock_Quantity]] / tblInventory[[#This Row],[Reorder_Quantity]]</f>
        <v>0.5168539325842697</v>
      </c>
      <c r="M46" s="3">
        <v>20</v>
      </c>
      <c r="N46" s="10">
        <f t="shared" si="0"/>
        <v>0.78098471986417661</v>
      </c>
      <c r="O46" s="2">
        <v>45748</v>
      </c>
      <c r="P46" s="1" t="s">
        <v>519</v>
      </c>
      <c r="Q46" s="2">
        <v>45874</v>
      </c>
      <c r="R46" s="1" t="s">
        <v>1188</v>
      </c>
      <c r="S46" s="1">
        <v>59</v>
      </c>
      <c r="T46" s="1">
        <v>65</v>
      </c>
      <c r="U46" s="1" t="s">
        <v>38</v>
      </c>
      <c r="V46" s="3">
        <f>tblInventory[[#This Row],[Stock_Quantity]]*tblInventory[[#This Row],[Unit_Price]]</f>
        <v>920</v>
      </c>
      <c r="W46" s="1" t="str">
        <f>IF(tblInventory[[#This Row],[Status]]="Discontinued","INACTIVE",
IF(tblInventory[[#This Row],[Stock_Quantity]] &lt; tblInventory[[#This Row],[Reorder_Level]],"REORDER","OK"))</f>
        <v>OK</v>
      </c>
      <c r="X46" s="1" t="str">
        <f t="shared" ca="1" si="1"/>
        <v>Expired</v>
      </c>
    </row>
    <row r="47" spans="1:24">
      <c r="A47" s="1">
        <v>46</v>
      </c>
      <c r="B47" s="1" t="s">
        <v>1319</v>
      </c>
      <c r="C47" s="1" t="s">
        <v>26</v>
      </c>
      <c r="D47" s="1" t="s">
        <v>27</v>
      </c>
      <c r="E47" s="1" t="s">
        <v>1320</v>
      </c>
      <c r="F47" s="1" t="s">
        <v>1321</v>
      </c>
      <c r="G47" s="6">
        <v>22</v>
      </c>
      <c r="H47" s="8">
        <f>tblInventory[[#This Row],[Stock_Quantity]] * tblInventory[[#This Row],[Unit_Price]]</f>
        <v>462</v>
      </c>
      <c r="I47" s="1">
        <v>89</v>
      </c>
      <c r="J47" s="1">
        <v>25</v>
      </c>
      <c r="K47" s="8">
        <f>tblInventory[[#This Row],[Reorder_Quantity]]*M47</f>
        <v>525</v>
      </c>
      <c r="L47" s="10">
        <f>tblInventory[[#This Row],[Stock_Quantity]] / tblInventory[[#This Row],[Reorder_Quantity]]</f>
        <v>0.88</v>
      </c>
      <c r="M47" s="3">
        <v>21</v>
      </c>
      <c r="N47" s="10">
        <f t="shared" si="0"/>
        <v>0.37351443123938882</v>
      </c>
      <c r="O47" s="1" t="s">
        <v>622</v>
      </c>
      <c r="P47" s="1" t="s">
        <v>597</v>
      </c>
      <c r="Q47" s="2">
        <v>45997</v>
      </c>
      <c r="R47" s="1" t="s">
        <v>1322</v>
      </c>
      <c r="S47" s="1">
        <v>30</v>
      </c>
      <c r="T47" s="1">
        <v>62</v>
      </c>
      <c r="U47" s="1" t="s">
        <v>24</v>
      </c>
      <c r="V47" s="3">
        <f>tblInventory[[#This Row],[Stock_Quantity]]*tblInventory[[#This Row],[Unit_Price]]</f>
        <v>462</v>
      </c>
      <c r="W47" s="1" t="str">
        <f>IF(tblInventory[[#This Row],[Status]]="Discontinued","INACTIVE",
IF(tblInventory[[#This Row],[Stock_Quantity]] &lt; tblInventory[[#This Row],[Reorder_Level]],"REORDER","OK"))</f>
        <v>INACTIVE</v>
      </c>
      <c r="X47" s="1" t="str">
        <f t="shared" ca="1" si="1"/>
        <v>Valid</v>
      </c>
    </row>
    <row r="48" spans="1:24">
      <c r="A48" s="1">
        <v>47</v>
      </c>
      <c r="B48" s="1" t="s">
        <v>1537</v>
      </c>
      <c r="C48" s="1" t="s">
        <v>26</v>
      </c>
      <c r="D48" s="1" t="s">
        <v>27</v>
      </c>
      <c r="E48" s="1" t="s">
        <v>1538</v>
      </c>
      <c r="F48" s="1" t="s">
        <v>974</v>
      </c>
      <c r="G48" s="6">
        <v>36</v>
      </c>
      <c r="H48" s="8">
        <f>tblInventory[[#This Row],[Stock_Quantity]] * tblInventory[[#This Row],[Unit_Price]]</f>
        <v>720</v>
      </c>
      <c r="I48" s="1">
        <v>64</v>
      </c>
      <c r="J48" s="1">
        <v>63</v>
      </c>
      <c r="K48" s="8">
        <f>tblInventory[[#This Row],[Reorder_Quantity]]*M48</f>
        <v>1260</v>
      </c>
      <c r="L48" s="10">
        <f>tblInventory[[#This Row],[Stock_Quantity]] / tblInventory[[#This Row],[Reorder_Quantity]]</f>
        <v>0.5714285714285714</v>
      </c>
      <c r="M48" s="3">
        <v>20</v>
      </c>
      <c r="N48" s="10">
        <f t="shared" si="0"/>
        <v>0.61120543293718166</v>
      </c>
      <c r="O48" s="1" t="s">
        <v>965</v>
      </c>
      <c r="P48" s="1" t="s">
        <v>1532</v>
      </c>
      <c r="Q48" s="2">
        <v>45877</v>
      </c>
      <c r="R48" s="1" t="s">
        <v>1539</v>
      </c>
      <c r="S48" s="1">
        <v>91</v>
      </c>
      <c r="T48" s="1">
        <v>35</v>
      </c>
      <c r="U48" s="1" t="s">
        <v>38</v>
      </c>
      <c r="V48" s="3">
        <f>tblInventory[[#This Row],[Stock_Quantity]]*tblInventory[[#This Row],[Unit_Price]]</f>
        <v>720</v>
      </c>
      <c r="W48" s="1" t="str">
        <f>IF(tblInventory[[#This Row],[Status]]="Discontinued","INACTIVE",
IF(tblInventory[[#This Row],[Stock_Quantity]] &lt; tblInventory[[#This Row],[Reorder_Level]],"REORDER","OK"))</f>
        <v>REORDER</v>
      </c>
      <c r="X48" s="1" t="str">
        <f t="shared" ca="1" si="1"/>
        <v>Expired</v>
      </c>
    </row>
    <row r="49" spans="1:24">
      <c r="A49" s="1">
        <v>48</v>
      </c>
      <c r="B49" s="1" t="s">
        <v>1937</v>
      </c>
      <c r="C49" s="1" t="s">
        <v>26</v>
      </c>
      <c r="D49" s="1" t="s">
        <v>27</v>
      </c>
      <c r="E49" s="1" t="s">
        <v>1938</v>
      </c>
      <c r="F49" s="1" t="s">
        <v>1020</v>
      </c>
      <c r="G49" s="6">
        <v>98</v>
      </c>
      <c r="H49" s="8">
        <f>tblInventory[[#This Row],[Stock_Quantity]] * tblInventory[[#This Row],[Unit_Price]]</f>
        <v>1960</v>
      </c>
      <c r="I49" s="1">
        <v>83</v>
      </c>
      <c r="J49" s="1">
        <v>5</v>
      </c>
      <c r="K49" s="8">
        <f>tblInventory[[#This Row],[Reorder_Quantity]]*M49</f>
        <v>100</v>
      </c>
      <c r="L49" s="10">
        <f>tblInventory[[#This Row],[Stock_Quantity]] / tblInventory[[#This Row],[Reorder_Quantity]]</f>
        <v>19.600000000000001</v>
      </c>
      <c r="M49" s="3">
        <v>20</v>
      </c>
      <c r="N49" s="10">
        <f t="shared" si="0"/>
        <v>1.66383701188455</v>
      </c>
      <c r="O49" s="2">
        <v>45450</v>
      </c>
      <c r="P49" s="1" t="s">
        <v>423</v>
      </c>
      <c r="Q49" s="2">
        <v>45728</v>
      </c>
      <c r="R49" s="1" t="s">
        <v>1939</v>
      </c>
      <c r="S49" s="1">
        <v>39</v>
      </c>
      <c r="T49" s="1">
        <v>79</v>
      </c>
      <c r="U49" s="1" t="s">
        <v>46</v>
      </c>
      <c r="V49" s="3">
        <f>tblInventory[[#This Row],[Stock_Quantity]]*tblInventory[[#This Row],[Unit_Price]]</f>
        <v>1960</v>
      </c>
      <c r="W49" s="1" t="str">
        <f>IF(tblInventory[[#This Row],[Status]]="Discontinued","INACTIVE",
IF(tblInventory[[#This Row],[Stock_Quantity]] &lt; tblInventory[[#This Row],[Reorder_Level]],"REORDER","OK"))</f>
        <v>OK</v>
      </c>
      <c r="X49" s="1" t="str">
        <f t="shared" ca="1" si="1"/>
        <v>Expired</v>
      </c>
    </row>
    <row r="50" spans="1:24">
      <c r="A50" s="1">
        <v>49</v>
      </c>
      <c r="B50" s="1" t="s">
        <v>2097</v>
      </c>
      <c r="C50" s="1" t="s">
        <v>26</v>
      </c>
      <c r="D50" s="1" t="s">
        <v>27</v>
      </c>
      <c r="E50" s="1" t="s">
        <v>2098</v>
      </c>
      <c r="F50" s="1" t="s">
        <v>316</v>
      </c>
      <c r="G50" s="6">
        <v>23</v>
      </c>
      <c r="H50" s="8">
        <f>tblInventory[[#This Row],[Stock_Quantity]] * tblInventory[[#This Row],[Unit_Price]]</f>
        <v>460</v>
      </c>
      <c r="I50" s="1">
        <v>13</v>
      </c>
      <c r="J50" s="1">
        <v>15</v>
      </c>
      <c r="K50" s="8">
        <f>tblInventory[[#This Row],[Reorder_Quantity]]*M50</f>
        <v>300</v>
      </c>
      <c r="L50" s="10">
        <f>tblInventory[[#This Row],[Stock_Quantity]] / tblInventory[[#This Row],[Reorder_Quantity]]</f>
        <v>1.5333333333333334</v>
      </c>
      <c r="M50" s="3">
        <v>20</v>
      </c>
      <c r="N50" s="10">
        <f t="shared" si="0"/>
        <v>0.39049235993208831</v>
      </c>
      <c r="O50" s="1" t="s">
        <v>866</v>
      </c>
      <c r="P50" s="1" t="s">
        <v>699</v>
      </c>
      <c r="Q50" s="2">
        <v>46044</v>
      </c>
      <c r="R50" s="1" t="s">
        <v>2099</v>
      </c>
      <c r="S50" s="1">
        <v>31</v>
      </c>
      <c r="T50" s="1">
        <v>28</v>
      </c>
      <c r="U50" s="1" t="s">
        <v>38</v>
      </c>
      <c r="V50" s="3">
        <f>tblInventory[[#This Row],[Stock_Quantity]]*tblInventory[[#This Row],[Unit_Price]]</f>
        <v>460</v>
      </c>
      <c r="W50" s="1" t="str">
        <f>IF(tblInventory[[#This Row],[Status]]="Discontinued","INACTIVE",
IF(tblInventory[[#This Row],[Stock_Quantity]] &lt; tblInventory[[#This Row],[Reorder_Level]],"REORDER","OK"))</f>
        <v>OK</v>
      </c>
      <c r="X50" s="1" t="str">
        <f t="shared" ca="1" si="1"/>
        <v>Valid</v>
      </c>
    </row>
    <row r="51" spans="1:24">
      <c r="A51" s="1">
        <v>50</v>
      </c>
      <c r="B51" s="1" t="s">
        <v>2254</v>
      </c>
      <c r="C51" s="1" t="s">
        <v>26</v>
      </c>
      <c r="D51" s="1" t="s">
        <v>27</v>
      </c>
      <c r="E51" s="1" t="s">
        <v>2255</v>
      </c>
      <c r="F51" s="1" t="s">
        <v>2256</v>
      </c>
      <c r="G51" s="6">
        <v>74</v>
      </c>
      <c r="H51" s="8">
        <f>tblInventory[[#This Row],[Stock_Quantity]] * tblInventory[[#This Row],[Unit_Price]]</f>
        <v>1480</v>
      </c>
      <c r="I51" s="1">
        <v>10</v>
      </c>
      <c r="J51" s="1">
        <v>74</v>
      </c>
      <c r="K51" s="8">
        <f>tblInventory[[#This Row],[Reorder_Quantity]]*M51</f>
        <v>1480</v>
      </c>
      <c r="L51" s="10">
        <f>tblInventory[[#This Row],[Stock_Quantity]] / tblInventory[[#This Row],[Reorder_Quantity]]</f>
        <v>1</v>
      </c>
      <c r="M51" s="3">
        <v>20</v>
      </c>
      <c r="N51" s="10">
        <f t="shared" si="0"/>
        <v>1.2563667232597624</v>
      </c>
      <c r="O51" s="1" t="s">
        <v>812</v>
      </c>
      <c r="P51" s="2">
        <v>45332</v>
      </c>
      <c r="Q51" s="2">
        <v>46329</v>
      </c>
      <c r="R51" s="1" t="s">
        <v>2257</v>
      </c>
      <c r="S51" s="1">
        <v>100</v>
      </c>
      <c r="T51" s="1">
        <v>66</v>
      </c>
      <c r="U51" s="1" t="s">
        <v>38</v>
      </c>
      <c r="V51" s="3">
        <f>tblInventory[[#This Row],[Stock_Quantity]]*tblInventory[[#This Row],[Unit_Price]]</f>
        <v>1480</v>
      </c>
      <c r="W51" s="1" t="str">
        <f>IF(tblInventory[[#This Row],[Status]]="Discontinued","INACTIVE",
IF(tblInventory[[#This Row],[Stock_Quantity]] &lt; tblInventory[[#This Row],[Reorder_Level]],"REORDER","OK"))</f>
        <v>OK</v>
      </c>
      <c r="X51" s="1" t="str">
        <f t="shared" ca="1" si="1"/>
        <v>Valid</v>
      </c>
    </row>
    <row r="52" spans="1:24">
      <c r="A52" s="1">
        <v>51</v>
      </c>
      <c r="B52" s="1" t="s">
        <v>2320</v>
      </c>
      <c r="C52" s="1" t="s">
        <v>26</v>
      </c>
      <c r="D52" s="1" t="s">
        <v>27</v>
      </c>
      <c r="E52" s="1" t="s">
        <v>2321</v>
      </c>
      <c r="F52" s="1" t="s">
        <v>1800</v>
      </c>
      <c r="G52" s="6">
        <v>45</v>
      </c>
      <c r="H52" s="8">
        <f>tblInventory[[#This Row],[Stock_Quantity]] * tblInventory[[#This Row],[Unit_Price]]</f>
        <v>900</v>
      </c>
      <c r="I52" s="1">
        <v>36</v>
      </c>
      <c r="J52" s="1">
        <v>97</v>
      </c>
      <c r="K52" s="8">
        <f>tblInventory[[#This Row],[Reorder_Quantity]]*M52</f>
        <v>1940</v>
      </c>
      <c r="L52" s="10">
        <f>tblInventory[[#This Row],[Stock_Quantity]] / tblInventory[[#This Row],[Reorder_Quantity]]</f>
        <v>0.46391752577319589</v>
      </c>
      <c r="M52" s="3">
        <v>20</v>
      </c>
      <c r="N52" s="10">
        <f t="shared" si="0"/>
        <v>0.76400679117147707</v>
      </c>
      <c r="O52" s="1" t="s">
        <v>1444</v>
      </c>
      <c r="P52" s="1" t="s">
        <v>57</v>
      </c>
      <c r="Q52" s="2">
        <v>46026</v>
      </c>
      <c r="R52" s="1" t="s">
        <v>2322</v>
      </c>
      <c r="S52" s="1">
        <v>36</v>
      </c>
      <c r="T52" s="1">
        <v>6</v>
      </c>
      <c r="U52" s="1" t="s">
        <v>46</v>
      </c>
      <c r="V52" s="3">
        <f>tblInventory[[#This Row],[Stock_Quantity]]*tblInventory[[#This Row],[Unit_Price]]</f>
        <v>900</v>
      </c>
      <c r="W52" s="1" t="str">
        <f>IF(tblInventory[[#This Row],[Status]]="Discontinued","INACTIVE",
IF(tblInventory[[#This Row],[Stock_Quantity]] &lt; tblInventory[[#This Row],[Reorder_Level]],"REORDER","OK"))</f>
        <v>OK</v>
      </c>
      <c r="X52" s="1" t="str">
        <f t="shared" ca="1" si="1"/>
        <v>Valid</v>
      </c>
    </row>
    <row r="53" spans="1:24">
      <c r="A53" s="1">
        <v>52</v>
      </c>
      <c r="B53" s="1" t="s">
        <v>2638</v>
      </c>
      <c r="C53" s="1" t="s">
        <v>26</v>
      </c>
      <c r="D53" s="1" t="s">
        <v>27</v>
      </c>
      <c r="E53" s="1" t="s">
        <v>2639</v>
      </c>
      <c r="F53" s="1" t="s">
        <v>877</v>
      </c>
      <c r="G53" s="6">
        <v>65</v>
      </c>
      <c r="H53" s="8">
        <f>tblInventory[[#This Row],[Stock_Quantity]] * tblInventory[[#This Row],[Unit_Price]]</f>
        <v>1300</v>
      </c>
      <c r="I53" s="1">
        <v>63</v>
      </c>
      <c r="J53" s="1">
        <v>41</v>
      </c>
      <c r="K53" s="8">
        <f>tblInventory[[#This Row],[Reorder_Quantity]]*M53</f>
        <v>820</v>
      </c>
      <c r="L53" s="10">
        <f>tblInventory[[#This Row],[Stock_Quantity]] / tblInventory[[#This Row],[Reorder_Quantity]]</f>
        <v>1.5853658536585367</v>
      </c>
      <c r="M53" s="3">
        <v>20</v>
      </c>
      <c r="N53" s="10">
        <f t="shared" si="0"/>
        <v>1.1035653650254669</v>
      </c>
      <c r="O53" s="2">
        <v>45326</v>
      </c>
      <c r="P53" s="2">
        <v>45839</v>
      </c>
      <c r="Q53" s="2">
        <v>46210</v>
      </c>
      <c r="R53" s="1" t="s">
        <v>2640</v>
      </c>
      <c r="S53" s="1">
        <v>28</v>
      </c>
      <c r="T53" s="1">
        <v>26</v>
      </c>
      <c r="U53" s="1" t="s">
        <v>38</v>
      </c>
      <c r="V53" s="3">
        <f>tblInventory[[#This Row],[Stock_Quantity]]*tblInventory[[#This Row],[Unit_Price]]</f>
        <v>1300</v>
      </c>
      <c r="W53" s="1" t="str">
        <f>IF(tblInventory[[#This Row],[Status]]="Discontinued","INACTIVE",
IF(tblInventory[[#This Row],[Stock_Quantity]] &lt; tblInventory[[#This Row],[Reorder_Level]],"REORDER","OK"))</f>
        <v>OK</v>
      </c>
      <c r="X53" s="1" t="str">
        <f t="shared" ca="1" si="1"/>
        <v>Valid</v>
      </c>
    </row>
    <row r="54" spans="1:24">
      <c r="A54" s="1">
        <v>53</v>
      </c>
      <c r="B54" s="1" t="s">
        <v>2967</v>
      </c>
      <c r="C54" s="1" t="s">
        <v>26</v>
      </c>
      <c r="D54" s="1" t="s">
        <v>27</v>
      </c>
      <c r="E54" s="1" t="s">
        <v>2968</v>
      </c>
      <c r="F54" s="1" t="s">
        <v>1191</v>
      </c>
      <c r="G54" s="6">
        <v>13</v>
      </c>
      <c r="H54" s="8">
        <f>tblInventory[[#This Row],[Stock_Quantity]] * tblInventory[[#This Row],[Unit_Price]]</f>
        <v>260</v>
      </c>
      <c r="I54" s="1">
        <v>55</v>
      </c>
      <c r="J54" s="1">
        <v>77</v>
      </c>
      <c r="K54" s="8">
        <f>tblInventory[[#This Row],[Reorder_Quantity]]*M54</f>
        <v>1540</v>
      </c>
      <c r="L54" s="10">
        <f>tblInventory[[#This Row],[Stock_Quantity]] / tblInventory[[#This Row],[Reorder_Quantity]]</f>
        <v>0.16883116883116883</v>
      </c>
      <c r="M54" s="3">
        <v>20</v>
      </c>
      <c r="N54" s="10">
        <f t="shared" si="0"/>
        <v>0.22071307300509338</v>
      </c>
      <c r="O54" s="1" t="s">
        <v>358</v>
      </c>
      <c r="P54" s="1" t="s">
        <v>1254</v>
      </c>
      <c r="Q54" s="2">
        <v>46311</v>
      </c>
      <c r="R54" s="1" t="s">
        <v>2969</v>
      </c>
      <c r="S54" s="1">
        <v>67</v>
      </c>
      <c r="T54" s="1">
        <v>68</v>
      </c>
      <c r="U54" s="1" t="s">
        <v>38</v>
      </c>
      <c r="V54" s="3">
        <f>tblInventory[[#This Row],[Stock_Quantity]]*tblInventory[[#This Row],[Unit_Price]]</f>
        <v>260</v>
      </c>
      <c r="W54" s="1" t="str">
        <f>IF(tblInventory[[#This Row],[Status]]="Discontinued","INACTIVE",
IF(tblInventory[[#This Row],[Stock_Quantity]] &lt; tblInventory[[#This Row],[Reorder_Level]],"REORDER","OK"))</f>
        <v>REORDER</v>
      </c>
      <c r="X54" s="1" t="str">
        <f t="shared" ca="1" si="1"/>
        <v>Valid</v>
      </c>
    </row>
    <row r="55" spans="1:24">
      <c r="A55" s="1">
        <v>54</v>
      </c>
      <c r="B55" s="1" t="s">
        <v>3317</v>
      </c>
      <c r="C55" s="1" t="s">
        <v>26</v>
      </c>
      <c r="D55" s="1" t="s">
        <v>27</v>
      </c>
      <c r="E55" s="1" t="s">
        <v>3318</v>
      </c>
      <c r="F55" s="1" t="s">
        <v>3319</v>
      </c>
      <c r="G55" s="6">
        <v>78</v>
      </c>
      <c r="H55" s="8">
        <f>tblInventory[[#This Row],[Stock_Quantity]] * tblInventory[[#This Row],[Unit_Price]]</f>
        <v>1599</v>
      </c>
      <c r="I55" s="1">
        <v>34</v>
      </c>
      <c r="J55" s="1">
        <v>39</v>
      </c>
      <c r="K55" s="8">
        <f>tblInventory[[#This Row],[Reorder_Quantity]]*M55</f>
        <v>799.5</v>
      </c>
      <c r="L55" s="10">
        <f>tblInventory[[#This Row],[Stock_Quantity]] / tblInventory[[#This Row],[Reorder_Quantity]]</f>
        <v>2</v>
      </c>
      <c r="M55" s="3">
        <v>20.5</v>
      </c>
      <c r="N55" s="10">
        <f t="shared" si="0"/>
        <v>1.3242784380305603</v>
      </c>
      <c r="O55" s="1" t="s">
        <v>382</v>
      </c>
      <c r="P55" s="1" t="s">
        <v>850</v>
      </c>
      <c r="Q55" s="2">
        <v>46540</v>
      </c>
      <c r="R55" s="1" t="s">
        <v>3320</v>
      </c>
      <c r="S55" s="1">
        <v>62</v>
      </c>
      <c r="T55" s="1">
        <v>2</v>
      </c>
      <c r="U55" s="1" t="s">
        <v>46</v>
      </c>
      <c r="V55" s="3">
        <f>tblInventory[[#This Row],[Stock_Quantity]]*tblInventory[[#This Row],[Unit_Price]]</f>
        <v>1599</v>
      </c>
      <c r="W55" s="1" t="str">
        <f>IF(tblInventory[[#This Row],[Status]]="Discontinued","INACTIVE",
IF(tblInventory[[#This Row],[Stock_Quantity]] &lt; tblInventory[[#This Row],[Reorder_Level]],"REORDER","OK"))</f>
        <v>OK</v>
      </c>
      <c r="X55" s="1" t="str">
        <f t="shared" ca="1" si="1"/>
        <v>Valid</v>
      </c>
    </row>
    <row r="56" spans="1:24">
      <c r="A56" s="1">
        <v>55</v>
      </c>
      <c r="B56" s="1" t="s">
        <v>487</v>
      </c>
      <c r="C56" s="1" t="s">
        <v>488</v>
      </c>
      <c r="D56" s="1" t="s">
        <v>17</v>
      </c>
      <c r="E56" s="1" t="s">
        <v>489</v>
      </c>
      <c r="F56" s="1" t="s">
        <v>29</v>
      </c>
      <c r="G56" s="6">
        <v>20</v>
      </c>
      <c r="H56" s="8">
        <f>tblInventory[[#This Row],[Stock_Quantity]] * tblInventory[[#This Row],[Unit_Price]]</f>
        <v>90</v>
      </c>
      <c r="I56" s="1">
        <v>34</v>
      </c>
      <c r="J56" s="1">
        <v>74</v>
      </c>
      <c r="K56" s="8">
        <f>tblInventory[[#This Row],[Reorder_Quantity]]*M56</f>
        <v>333</v>
      </c>
      <c r="L56" s="10">
        <f>tblInventory[[#This Row],[Stock_Quantity]] / tblInventory[[#This Row],[Reorder_Quantity]]</f>
        <v>0.27027027027027029</v>
      </c>
      <c r="M56" s="3">
        <v>4.5</v>
      </c>
      <c r="N56" s="10">
        <f t="shared" si="0"/>
        <v>0.3395585738539898</v>
      </c>
      <c r="O56" s="1" t="s">
        <v>109</v>
      </c>
      <c r="P56" s="1" t="s">
        <v>394</v>
      </c>
      <c r="Q56" s="2">
        <v>45424</v>
      </c>
      <c r="R56" s="1" t="s">
        <v>490</v>
      </c>
      <c r="S56" s="1">
        <v>50</v>
      </c>
      <c r="T56" s="1">
        <v>83</v>
      </c>
      <c r="U56" s="1" t="s">
        <v>24</v>
      </c>
      <c r="V56" s="3">
        <f>tblInventory[[#This Row],[Stock_Quantity]]*tblInventory[[#This Row],[Unit_Price]]</f>
        <v>90</v>
      </c>
      <c r="W56" s="1" t="str">
        <f>IF(tblInventory[[#This Row],[Status]]="Discontinued","INACTIVE",
IF(tblInventory[[#This Row],[Stock_Quantity]] &lt; tblInventory[[#This Row],[Reorder_Level]],"REORDER","OK"))</f>
        <v>INACTIVE</v>
      </c>
      <c r="X56" s="1" t="str">
        <f t="shared" ca="1" si="1"/>
        <v>Expired</v>
      </c>
    </row>
    <row r="57" spans="1:24">
      <c r="A57" s="1">
        <v>56</v>
      </c>
      <c r="B57" s="1" t="s">
        <v>701</v>
      </c>
      <c r="C57" s="1" t="s">
        <v>488</v>
      </c>
      <c r="D57" s="1" t="s">
        <v>17</v>
      </c>
      <c r="E57" s="1" t="s">
        <v>702</v>
      </c>
      <c r="F57" s="1" t="s">
        <v>703</v>
      </c>
      <c r="G57" s="6">
        <v>95</v>
      </c>
      <c r="H57" s="8">
        <f>tblInventory[[#This Row],[Stock_Quantity]] * tblInventory[[#This Row],[Unit_Price]]</f>
        <v>427.5</v>
      </c>
      <c r="I57" s="1">
        <v>93</v>
      </c>
      <c r="J57" s="1">
        <v>16</v>
      </c>
      <c r="K57" s="8">
        <f>tblInventory[[#This Row],[Reorder_Quantity]]*M57</f>
        <v>72</v>
      </c>
      <c r="L57" s="10">
        <f>tblInventory[[#This Row],[Stock_Quantity]] / tblInventory[[#This Row],[Reorder_Quantity]]</f>
        <v>5.9375</v>
      </c>
      <c r="M57" s="3">
        <v>4.5</v>
      </c>
      <c r="N57" s="10">
        <f t="shared" si="0"/>
        <v>1.6129032258064517</v>
      </c>
      <c r="O57" s="1" t="s">
        <v>377</v>
      </c>
      <c r="P57" s="2">
        <v>45452</v>
      </c>
      <c r="Q57" s="2">
        <v>45672</v>
      </c>
      <c r="R57" s="1" t="s">
        <v>704</v>
      </c>
      <c r="S57" s="1">
        <v>60</v>
      </c>
      <c r="T57" s="1">
        <v>19</v>
      </c>
      <c r="U57" s="1" t="s">
        <v>46</v>
      </c>
      <c r="V57" s="3">
        <f>tblInventory[[#This Row],[Stock_Quantity]]*tblInventory[[#This Row],[Unit_Price]]</f>
        <v>427.5</v>
      </c>
      <c r="W57" s="1" t="str">
        <f>IF(tblInventory[[#This Row],[Status]]="Discontinued","INACTIVE",
IF(tblInventory[[#This Row],[Stock_Quantity]] &lt; tblInventory[[#This Row],[Reorder_Level]],"REORDER","OK"))</f>
        <v>OK</v>
      </c>
      <c r="X57" s="1" t="str">
        <f t="shared" ca="1" si="1"/>
        <v>Expired</v>
      </c>
    </row>
    <row r="58" spans="1:24">
      <c r="A58" s="1">
        <v>57</v>
      </c>
      <c r="B58" s="1" t="s">
        <v>1911</v>
      </c>
      <c r="C58" s="1" t="s">
        <v>488</v>
      </c>
      <c r="D58" s="1" t="s">
        <v>17</v>
      </c>
      <c r="E58" s="1" t="s">
        <v>1912</v>
      </c>
      <c r="F58" s="1" t="s">
        <v>1913</v>
      </c>
      <c r="G58" s="6">
        <v>56</v>
      </c>
      <c r="H58" s="8">
        <f>tblInventory[[#This Row],[Stock_Quantity]] * tblInventory[[#This Row],[Unit_Price]]</f>
        <v>252</v>
      </c>
      <c r="I58" s="1">
        <v>4</v>
      </c>
      <c r="J58" s="1">
        <v>74</v>
      </c>
      <c r="K58" s="8">
        <f>tblInventory[[#This Row],[Reorder_Quantity]]*M58</f>
        <v>333</v>
      </c>
      <c r="L58" s="10">
        <f>tblInventory[[#This Row],[Stock_Quantity]] / tblInventory[[#This Row],[Reorder_Quantity]]</f>
        <v>0.7567567567567568</v>
      </c>
      <c r="M58" s="3">
        <v>4.5</v>
      </c>
      <c r="N58" s="10">
        <f t="shared" si="0"/>
        <v>0.95076400679117146</v>
      </c>
      <c r="O58" s="1" t="s">
        <v>965</v>
      </c>
      <c r="P58" s="2">
        <v>45389</v>
      </c>
      <c r="Q58" s="2">
        <v>45986</v>
      </c>
      <c r="R58" s="1" t="s">
        <v>1914</v>
      </c>
      <c r="S58" s="1">
        <v>61</v>
      </c>
      <c r="T58" s="1">
        <v>73</v>
      </c>
      <c r="U58" s="1" t="s">
        <v>46</v>
      </c>
      <c r="V58" s="3">
        <f>tblInventory[[#This Row],[Stock_Quantity]]*tblInventory[[#This Row],[Unit_Price]]</f>
        <v>252</v>
      </c>
      <c r="W58" s="1" t="str">
        <f>IF(tblInventory[[#This Row],[Status]]="Discontinued","INACTIVE",
IF(tblInventory[[#This Row],[Stock_Quantity]] &lt; tblInventory[[#This Row],[Reorder_Level]],"REORDER","OK"))</f>
        <v>OK</v>
      </c>
      <c r="X58" s="1" t="str">
        <f t="shared" ca="1" si="1"/>
        <v>Valid</v>
      </c>
    </row>
    <row r="59" spans="1:24">
      <c r="A59" s="1">
        <v>58</v>
      </c>
      <c r="B59" s="1" t="s">
        <v>2053</v>
      </c>
      <c r="C59" s="1" t="s">
        <v>488</v>
      </c>
      <c r="D59" s="1" t="s">
        <v>17</v>
      </c>
      <c r="E59" s="1" t="s">
        <v>2054</v>
      </c>
      <c r="F59" s="1" t="s">
        <v>1467</v>
      </c>
      <c r="G59" s="6">
        <v>86</v>
      </c>
      <c r="H59" s="8">
        <f>tblInventory[[#This Row],[Stock_Quantity]] * tblInventory[[#This Row],[Unit_Price]]</f>
        <v>387</v>
      </c>
      <c r="I59" s="1">
        <v>80</v>
      </c>
      <c r="J59" s="1">
        <v>80</v>
      </c>
      <c r="K59" s="8">
        <f>tblInventory[[#This Row],[Reorder_Quantity]]*M59</f>
        <v>360</v>
      </c>
      <c r="L59" s="10">
        <f>tblInventory[[#This Row],[Stock_Quantity]] / tblInventory[[#This Row],[Reorder_Quantity]]</f>
        <v>1.075</v>
      </c>
      <c r="M59" s="3">
        <v>4.5</v>
      </c>
      <c r="N59" s="10">
        <f t="shared" si="0"/>
        <v>1.4601018675721562</v>
      </c>
      <c r="O59" s="1" t="s">
        <v>64</v>
      </c>
      <c r="P59" s="1" t="s">
        <v>688</v>
      </c>
      <c r="Q59" s="2">
        <v>46235</v>
      </c>
      <c r="R59" s="1" t="s">
        <v>2055</v>
      </c>
      <c r="S59" s="1">
        <v>22</v>
      </c>
      <c r="T59" s="1">
        <v>67</v>
      </c>
      <c r="U59" s="1" t="s">
        <v>24</v>
      </c>
      <c r="V59" s="3">
        <f>tblInventory[[#This Row],[Stock_Quantity]]*tblInventory[[#This Row],[Unit_Price]]</f>
        <v>387</v>
      </c>
      <c r="W59" s="1" t="str">
        <f>IF(tblInventory[[#This Row],[Status]]="Discontinued","INACTIVE",
IF(tblInventory[[#This Row],[Stock_Quantity]] &lt; tblInventory[[#This Row],[Reorder_Level]],"REORDER","OK"))</f>
        <v>INACTIVE</v>
      </c>
      <c r="X59" s="1" t="str">
        <f t="shared" ca="1" si="1"/>
        <v>Valid</v>
      </c>
    </row>
    <row r="60" spans="1:24">
      <c r="A60" s="1">
        <v>59</v>
      </c>
      <c r="B60" s="1" t="s">
        <v>2506</v>
      </c>
      <c r="C60" s="1" t="s">
        <v>488</v>
      </c>
      <c r="D60" s="1" t="s">
        <v>17</v>
      </c>
      <c r="E60" s="1" t="s">
        <v>2507</v>
      </c>
      <c r="F60" s="1" t="s">
        <v>808</v>
      </c>
      <c r="G60" s="6">
        <v>34</v>
      </c>
      <c r="H60" s="8">
        <f>tblInventory[[#This Row],[Stock_Quantity]] * tblInventory[[#This Row],[Unit_Price]]</f>
        <v>153</v>
      </c>
      <c r="I60" s="1">
        <v>32</v>
      </c>
      <c r="J60" s="1">
        <v>22</v>
      </c>
      <c r="K60" s="8">
        <f>tblInventory[[#This Row],[Reorder_Quantity]]*M60</f>
        <v>99</v>
      </c>
      <c r="L60" s="10">
        <f>tblInventory[[#This Row],[Stock_Quantity]] / tblInventory[[#This Row],[Reorder_Quantity]]</f>
        <v>1.5454545454545454</v>
      </c>
      <c r="M60" s="3">
        <v>4.5</v>
      </c>
      <c r="N60" s="10">
        <f t="shared" si="0"/>
        <v>0.57724957555178269</v>
      </c>
      <c r="O60" s="2">
        <v>45327</v>
      </c>
      <c r="P60" s="2">
        <v>45333</v>
      </c>
      <c r="Q60" s="2">
        <v>46169</v>
      </c>
      <c r="R60" s="1" t="s">
        <v>2508</v>
      </c>
      <c r="S60" s="1">
        <v>42</v>
      </c>
      <c r="T60" s="1">
        <v>27</v>
      </c>
      <c r="U60" s="1" t="s">
        <v>46</v>
      </c>
      <c r="V60" s="3">
        <f>tblInventory[[#This Row],[Stock_Quantity]]*tblInventory[[#This Row],[Unit_Price]]</f>
        <v>153</v>
      </c>
      <c r="W60" s="1" t="str">
        <f>IF(tblInventory[[#This Row],[Status]]="Discontinued","INACTIVE",
IF(tblInventory[[#This Row],[Stock_Quantity]] &lt; tblInventory[[#This Row],[Reorder_Level]],"REORDER","OK"))</f>
        <v>OK</v>
      </c>
      <c r="X60" s="1" t="str">
        <f t="shared" ca="1" si="1"/>
        <v>Valid</v>
      </c>
    </row>
    <row r="61" spans="1:24">
      <c r="A61" s="1">
        <v>60</v>
      </c>
      <c r="B61" s="1" t="s">
        <v>2759</v>
      </c>
      <c r="C61" s="1" t="s">
        <v>488</v>
      </c>
      <c r="D61" s="1" t="s">
        <v>17</v>
      </c>
      <c r="E61" s="1" t="s">
        <v>2760</v>
      </c>
      <c r="F61" s="1" t="s">
        <v>2761</v>
      </c>
      <c r="G61" s="6">
        <v>51</v>
      </c>
      <c r="H61" s="8">
        <f>tblInventory[[#This Row],[Stock_Quantity]] * tblInventory[[#This Row],[Unit_Price]]</f>
        <v>229.5</v>
      </c>
      <c r="I61" s="1">
        <v>19</v>
      </c>
      <c r="J61" s="1">
        <v>96</v>
      </c>
      <c r="K61" s="8">
        <f>tblInventory[[#This Row],[Reorder_Quantity]]*M61</f>
        <v>432</v>
      </c>
      <c r="L61" s="10">
        <f>tblInventory[[#This Row],[Stock_Quantity]] / tblInventory[[#This Row],[Reorder_Quantity]]</f>
        <v>0.53125</v>
      </c>
      <c r="M61" s="3">
        <v>4.5</v>
      </c>
      <c r="N61" s="10">
        <f t="shared" si="0"/>
        <v>0.86587436332767409</v>
      </c>
      <c r="O61" s="1" t="s">
        <v>1357</v>
      </c>
      <c r="P61" s="2">
        <v>45902</v>
      </c>
      <c r="Q61" s="2">
        <v>46248</v>
      </c>
      <c r="R61" s="1" t="s">
        <v>2762</v>
      </c>
      <c r="S61" s="1">
        <v>73</v>
      </c>
      <c r="T61" s="1">
        <v>42</v>
      </c>
      <c r="U61" s="1" t="s">
        <v>46</v>
      </c>
      <c r="V61" s="3">
        <f>tblInventory[[#This Row],[Stock_Quantity]]*tblInventory[[#This Row],[Unit_Price]]</f>
        <v>229.5</v>
      </c>
      <c r="W61" s="1" t="str">
        <f>IF(tblInventory[[#This Row],[Status]]="Discontinued","INACTIVE",
IF(tblInventory[[#This Row],[Stock_Quantity]] &lt; tblInventory[[#This Row],[Reorder_Level]],"REORDER","OK"))</f>
        <v>OK</v>
      </c>
      <c r="X61" s="1" t="str">
        <f t="shared" ca="1" si="1"/>
        <v>Valid</v>
      </c>
    </row>
    <row r="62" spans="1:24">
      <c r="A62" s="1">
        <v>61</v>
      </c>
      <c r="B62" s="1" t="s">
        <v>915</v>
      </c>
      <c r="C62" s="1" t="s">
        <v>916</v>
      </c>
      <c r="D62" s="1" t="s">
        <v>49</v>
      </c>
      <c r="E62" s="1" t="s">
        <v>917</v>
      </c>
      <c r="F62" s="1" t="s">
        <v>918</v>
      </c>
      <c r="G62" s="6">
        <v>22</v>
      </c>
      <c r="H62" s="8">
        <f>tblInventory[[#This Row],[Stock_Quantity]] * tblInventory[[#This Row],[Unit_Price]]</f>
        <v>110</v>
      </c>
      <c r="I62" s="1">
        <v>40</v>
      </c>
      <c r="J62" s="1">
        <v>7</v>
      </c>
      <c r="K62" s="8">
        <f>tblInventory[[#This Row],[Reorder_Quantity]]*M62</f>
        <v>35</v>
      </c>
      <c r="L62" s="10">
        <f>tblInventory[[#This Row],[Stock_Quantity]] / tblInventory[[#This Row],[Reorder_Quantity]]</f>
        <v>3.1428571428571428</v>
      </c>
      <c r="M62" s="3">
        <v>5</v>
      </c>
      <c r="N62" s="10">
        <f t="shared" si="0"/>
        <v>0.37351443123938882</v>
      </c>
      <c r="O62" s="2">
        <v>45635</v>
      </c>
      <c r="P62" s="1" t="s">
        <v>480</v>
      </c>
      <c r="Q62" s="2">
        <v>45750</v>
      </c>
      <c r="R62" s="1" t="s">
        <v>919</v>
      </c>
      <c r="S62" s="1">
        <v>98</v>
      </c>
      <c r="T62" s="1">
        <v>60</v>
      </c>
      <c r="U62" s="1" t="s">
        <v>46</v>
      </c>
      <c r="V62" s="3">
        <f>tblInventory[[#This Row],[Stock_Quantity]]*tblInventory[[#This Row],[Unit_Price]]</f>
        <v>110</v>
      </c>
      <c r="W62" s="1" t="str">
        <f>IF(tblInventory[[#This Row],[Status]]="Discontinued","INACTIVE",
IF(tblInventory[[#This Row],[Stock_Quantity]] &lt; tblInventory[[#This Row],[Reorder_Level]],"REORDER","OK"))</f>
        <v>REORDER</v>
      </c>
      <c r="X62" s="1" t="str">
        <f t="shared" ca="1" si="1"/>
        <v>Expired</v>
      </c>
    </row>
    <row r="63" spans="1:24">
      <c r="A63" s="1">
        <v>62</v>
      </c>
      <c r="B63" s="1" t="s">
        <v>1675</v>
      </c>
      <c r="C63" s="1" t="s">
        <v>916</v>
      </c>
      <c r="D63" s="1" t="s">
        <v>49</v>
      </c>
      <c r="E63" s="1" t="s">
        <v>1676</v>
      </c>
      <c r="F63" s="1" t="s">
        <v>1677</v>
      </c>
      <c r="G63" s="6">
        <v>68</v>
      </c>
      <c r="H63" s="8">
        <f>tblInventory[[#This Row],[Stock_Quantity]] * tblInventory[[#This Row],[Unit_Price]]</f>
        <v>340</v>
      </c>
      <c r="I63" s="1">
        <v>12</v>
      </c>
      <c r="J63" s="1">
        <v>73</v>
      </c>
      <c r="K63" s="8">
        <f>tblInventory[[#This Row],[Reorder_Quantity]]*M63</f>
        <v>365</v>
      </c>
      <c r="L63" s="10">
        <f>tblInventory[[#This Row],[Stock_Quantity]] / tblInventory[[#This Row],[Reorder_Quantity]]</f>
        <v>0.93150684931506844</v>
      </c>
      <c r="M63" s="3">
        <v>5</v>
      </c>
      <c r="N63" s="10">
        <f t="shared" si="0"/>
        <v>1.1544991511035654</v>
      </c>
      <c r="O63" s="2">
        <v>45420</v>
      </c>
      <c r="P63" s="2">
        <v>45962</v>
      </c>
      <c r="Q63" s="2">
        <v>45916</v>
      </c>
      <c r="R63" s="1" t="s">
        <v>1678</v>
      </c>
      <c r="S63" s="1">
        <v>84</v>
      </c>
      <c r="T63" s="1">
        <v>95</v>
      </c>
      <c r="U63" s="1" t="s">
        <v>38</v>
      </c>
      <c r="V63" s="3">
        <f>tblInventory[[#This Row],[Stock_Quantity]]*tblInventory[[#This Row],[Unit_Price]]</f>
        <v>340</v>
      </c>
      <c r="W63" s="1" t="str">
        <f>IF(tblInventory[[#This Row],[Status]]="Discontinued","INACTIVE",
IF(tblInventory[[#This Row],[Stock_Quantity]] &lt; tblInventory[[#This Row],[Reorder_Level]],"REORDER","OK"))</f>
        <v>OK</v>
      </c>
      <c r="X63" s="1" t="str">
        <f t="shared" ca="1" si="1"/>
        <v>Expired</v>
      </c>
    </row>
    <row r="64" spans="1:24">
      <c r="A64" s="1">
        <v>63</v>
      </c>
      <c r="B64" s="1" t="s">
        <v>2392</v>
      </c>
      <c r="C64" s="1" t="s">
        <v>916</v>
      </c>
      <c r="D64" s="1" t="s">
        <v>49</v>
      </c>
      <c r="E64" s="1" t="s">
        <v>2393</v>
      </c>
      <c r="F64" s="1" t="s">
        <v>2394</v>
      </c>
      <c r="G64" s="6">
        <v>92</v>
      </c>
      <c r="H64" s="8">
        <f>tblInventory[[#This Row],[Stock_Quantity]] * tblInventory[[#This Row],[Unit_Price]]</f>
        <v>460</v>
      </c>
      <c r="I64" s="1">
        <v>3</v>
      </c>
      <c r="J64" s="1">
        <v>81</v>
      </c>
      <c r="K64" s="8">
        <f>tblInventory[[#This Row],[Reorder_Quantity]]*M64</f>
        <v>405</v>
      </c>
      <c r="L64" s="10">
        <f>tblInventory[[#This Row],[Stock_Quantity]] / tblInventory[[#This Row],[Reorder_Quantity]]</f>
        <v>1.1358024691358024</v>
      </c>
      <c r="M64" s="3">
        <v>5</v>
      </c>
      <c r="N64" s="10">
        <f t="shared" si="0"/>
        <v>1.5619694397283532</v>
      </c>
      <c r="O64" s="2">
        <v>45416</v>
      </c>
      <c r="P64" s="1" t="s">
        <v>622</v>
      </c>
      <c r="Q64" s="2">
        <v>46135</v>
      </c>
      <c r="R64" s="1" t="s">
        <v>2395</v>
      </c>
      <c r="S64" s="1">
        <v>62</v>
      </c>
      <c r="T64" s="1">
        <v>20</v>
      </c>
      <c r="U64" s="1" t="s">
        <v>38</v>
      </c>
      <c r="V64" s="3">
        <f>tblInventory[[#This Row],[Stock_Quantity]]*tblInventory[[#This Row],[Unit_Price]]</f>
        <v>460</v>
      </c>
      <c r="W64" s="1" t="str">
        <f>IF(tblInventory[[#This Row],[Status]]="Discontinued","INACTIVE",
IF(tblInventory[[#This Row],[Stock_Quantity]] &lt; tblInventory[[#This Row],[Reorder_Level]],"REORDER","OK"))</f>
        <v>OK</v>
      </c>
      <c r="X64" s="1" t="str">
        <f t="shared" ca="1" si="1"/>
        <v>Valid</v>
      </c>
    </row>
    <row r="65" spans="1:24">
      <c r="A65" s="1">
        <v>64</v>
      </c>
      <c r="B65" s="1" t="s">
        <v>2431</v>
      </c>
      <c r="C65" s="1" t="s">
        <v>916</v>
      </c>
      <c r="D65" s="1" t="s">
        <v>49</v>
      </c>
      <c r="E65" s="1" t="s">
        <v>2432</v>
      </c>
      <c r="F65" s="1" t="s">
        <v>2433</v>
      </c>
      <c r="G65" s="6">
        <v>80</v>
      </c>
      <c r="H65" s="8">
        <f>tblInventory[[#This Row],[Stock_Quantity]] * tblInventory[[#This Row],[Unit_Price]]</f>
        <v>400</v>
      </c>
      <c r="I65" s="1">
        <v>6</v>
      </c>
      <c r="J65" s="1">
        <v>92</v>
      </c>
      <c r="K65" s="8">
        <f>tblInventory[[#This Row],[Reorder_Quantity]]*M65</f>
        <v>460</v>
      </c>
      <c r="L65" s="10">
        <f>tblInventory[[#This Row],[Stock_Quantity]] / tblInventory[[#This Row],[Reorder_Quantity]]</f>
        <v>0.86956521739130432</v>
      </c>
      <c r="M65" s="3">
        <v>5</v>
      </c>
      <c r="N65" s="10">
        <f t="shared" si="0"/>
        <v>1.3582342954159592</v>
      </c>
      <c r="O65" s="1" t="s">
        <v>1162</v>
      </c>
      <c r="P65" s="1" t="s">
        <v>1120</v>
      </c>
      <c r="Q65" s="2">
        <v>46147</v>
      </c>
      <c r="R65" s="1" t="s">
        <v>2434</v>
      </c>
      <c r="S65" s="1">
        <v>26</v>
      </c>
      <c r="T65" s="1">
        <v>71</v>
      </c>
      <c r="U65" s="1" t="s">
        <v>24</v>
      </c>
      <c r="V65" s="3">
        <f>tblInventory[[#This Row],[Stock_Quantity]]*tblInventory[[#This Row],[Unit_Price]]</f>
        <v>400</v>
      </c>
      <c r="W65" s="1" t="str">
        <f>IF(tblInventory[[#This Row],[Status]]="Discontinued","INACTIVE",
IF(tblInventory[[#This Row],[Stock_Quantity]] &lt; tblInventory[[#This Row],[Reorder_Level]],"REORDER","OK"))</f>
        <v>INACTIVE</v>
      </c>
      <c r="X65" s="1" t="str">
        <f t="shared" ca="1" si="1"/>
        <v>Valid</v>
      </c>
    </row>
    <row r="66" spans="1:24">
      <c r="A66" s="1">
        <v>65</v>
      </c>
      <c r="B66" s="1" t="s">
        <v>2659</v>
      </c>
      <c r="C66" s="1" t="s">
        <v>916</v>
      </c>
      <c r="D66" s="1" t="s">
        <v>49</v>
      </c>
      <c r="E66" s="1" t="s">
        <v>2660</v>
      </c>
      <c r="F66" s="1" t="s">
        <v>2661</v>
      </c>
      <c r="G66" s="6">
        <v>46</v>
      </c>
      <c r="H66" s="8">
        <f>tblInventory[[#This Row],[Stock_Quantity]] * tblInventory[[#This Row],[Unit_Price]]</f>
        <v>220.79999999999998</v>
      </c>
      <c r="I66" s="1">
        <v>88</v>
      </c>
      <c r="J66" s="1">
        <v>20</v>
      </c>
      <c r="K66" s="8">
        <f>tblInventory[[#This Row],[Reorder_Quantity]]*M66</f>
        <v>96</v>
      </c>
      <c r="L66" s="10">
        <f>tblInventory[[#This Row],[Stock_Quantity]] / tblInventory[[#This Row],[Reorder_Quantity]]</f>
        <v>2.2999999999999998</v>
      </c>
      <c r="M66" s="3">
        <v>4.8</v>
      </c>
      <c r="N66" s="10">
        <f t="shared" ref="N66:N129" si="2">G66 / 58.9</f>
        <v>0.78098471986417661</v>
      </c>
      <c r="O66" s="2">
        <v>45514</v>
      </c>
      <c r="P66" s="2">
        <v>45516</v>
      </c>
      <c r="Q66" s="2">
        <v>46217</v>
      </c>
      <c r="R66" s="1" t="s">
        <v>2662</v>
      </c>
      <c r="S66" s="1">
        <v>59</v>
      </c>
      <c r="T66" s="1">
        <v>79</v>
      </c>
      <c r="U66" s="1" t="s">
        <v>38</v>
      </c>
      <c r="V66" s="3">
        <f>tblInventory[[#This Row],[Stock_Quantity]]*tblInventory[[#This Row],[Unit_Price]]</f>
        <v>220.79999999999998</v>
      </c>
      <c r="W66" s="1" t="str">
        <f>IF(tblInventory[[#This Row],[Status]]="Discontinued","INACTIVE",
IF(tblInventory[[#This Row],[Stock_Quantity]] &lt; tblInventory[[#This Row],[Reorder_Level]],"REORDER","OK"))</f>
        <v>REORDER</v>
      </c>
      <c r="X66" s="1" t="str">
        <f t="shared" ref="X66:X129" ca="1" si="3">IF(Q66&lt;TODAY(),"Expired","Valid")</f>
        <v>Valid</v>
      </c>
    </row>
    <row r="67" spans="1:24">
      <c r="A67" s="1">
        <v>66</v>
      </c>
      <c r="B67" s="1" t="s">
        <v>2676</v>
      </c>
      <c r="C67" s="1" t="s">
        <v>916</v>
      </c>
      <c r="D67" s="1" t="s">
        <v>49</v>
      </c>
      <c r="E67" s="1" t="s">
        <v>2677</v>
      </c>
      <c r="F67" s="1" t="s">
        <v>2678</v>
      </c>
      <c r="G67" s="6">
        <v>78</v>
      </c>
      <c r="H67" s="8">
        <f>tblInventory[[#This Row],[Stock_Quantity]] * tblInventory[[#This Row],[Unit_Price]]</f>
        <v>366.6</v>
      </c>
      <c r="I67" s="1">
        <v>16</v>
      </c>
      <c r="J67" s="1">
        <v>37</v>
      </c>
      <c r="K67" s="8">
        <f>tblInventory[[#This Row],[Reorder_Quantity]]*M67</f>
        <v>173.9</v>
      </c>
      <c r="L67" s="10">
        <f>tblInventory[[#This Row],[Stock_Quantity]] / tblInventory[[#This Row],[Reorder_Quantity]]</f>
        <v>2.1081081081081079</v>
      </c>
      <c r="M67" s="3">
        <v>4.7</v>
      </c>
      <c r="N67" s="10">
        <f t="shared" si="2"/>
        <v>1.3242784380305603</v>
      </c>
      <c r="O67" s="2">
        <v>45636</v>
      </c>
      <c r="P67" s="2">
        <v>45394</v>
      </c>
      <c r="Q67" s="2">
        <v>46222</v>
      </c>
      <c r="R67" s="1" t="s">
        <v>2679</v>
      </c>
      <c r="S67" s="1">
        <v>25</v>
      </c>
      <c r="T67" s="1">
        <v>96</v>
      </c>
      <c r="U67" s="1" t="s">
        <v>38</v>
      </c>
      <c r="V67" s="3">
        <f>tblInventory[[#This Row],[Stock_Quantity]]*tblInventory[[#This Row],[Unit_Price]]</f>
        <v>366.6</v>
      </c>
      <c r="W67" s="1" t="str">
        <f>IF(tblInventory[[#This Row],[Status]]="Discontinued","INACTIVE",
IF(tblInventory[[#This Row],[Stock_Quantity]] &lt; tblInventory[[#This Row],[Reorder_Level]],"REORDER","OK"))</f>
        <v>OK</v>
      </c>
      <c r="X67" s="1" t="str">
        <f t="shared" ca="1" si="3"/>
        <v>Valid</v>
      </c>
    </row>
    <row r="68" spans="1:24">
      <c r="A68" s="1">
        <v>67</v>
      </c>
      <c r="B68" s="1" t="s">
        <v>3148</v>
      </c>
      <c r="C68" s="1" t="s">
        <v>916</v>
      </c>
      <c r="D68" s="1" t="s">
        <v>49</v>
      </c>
      <c r="E68" s="1" t="s">
        <v>3149</v>
      </c>
      <c r="F68" s="1" t="s">
        <v>102</v>
      </c>
      <c r="G68" s="6">
        <v>34</v>
      </c>
      <c r="H68" s="8">
        <f>tblInventory[[#This Row],[Stock_Quantity]] * tblInventory[[#This Row],[Unit_Price]]</f>
        <v>170</v>
      </c>
      <c r="I68" s="1">
        <v>95</v>
      </c>
      <c r="J68" s="1">
        <v>18</v>
      </c>
      <c r="K68" s="8">
        <f>tblInventory[[#This Row],[Reorder_Quantity]]*M68</f>
        <v>90</v>
      </c>
      <c r="L68" s="10">
        <f>tblInventory[[#This Row],[Stock_Quantity]] / tblInventory[[#This Row],[Reorder_Quantity]]</f>
        <v>1.8888888888888888</v>
      </c>
      <c r="M68" s="3">
        <v>5</v>
      </c>
      <c r="N68" s="10">
        <f t="shared" si="2"/>
        <v>0.57724957555178269</v>
      </c>
      <c r="O68" s="1" t="s">
        <v>96</v>
      </c>
      <c r="P68" s="1" t="s">
        <v>358</v>
      </c>
      <c r="Q68" s="2">
        <v>46369</v>
      </c>
      <c r="R68" s="1" t="s">
        <v>3150</v>
      </c>
      <c r="S68" s="1">
        <v>41</v>
      </c>
      <c r="T68" s="1">
        <v>26</v>
      </c>
      <c r="U68" s="1" t="s">
        <v>24</v>
      </c>
      <c r="V68" s="3">
        <f>tblInventory[[#This Row],[Stock_Quantity]]*tblInventory[[#This Row],[Unit_Price]]</f>
        <v>170</v>
      </c>
      <c r="W68" s="1" t="str">
        <f>IF(tblInventory[[#This Row],[Status]]="Discontinued","INACTIVE",
IF(tblInventory[[#This Row],[Stock_Quantity]] &lt; tblInventory[[#This Row],[Reorder_Level]],"REORDER","OK"))</f>
        <v>INACTIVE</v>
      </c>
      <c r="X68" s="1" t="str">
        <f t="shared" ca="1" si="3"/>
        <v>Valid</v>
      </c>
    </row>
    <row r="69" spans="1:24">
      <c r="A69" s="1">
        <v>68</v>
      </c>
      <c r="B69" s="1" t="s">
        <v>3311</v>
      </c>
      <c r="C69" s="1" t="s">
        <v>916</v>
      </c>
      <c r="D69" s="1" t="s">
        <v>49</v>
      </c>
      <c r="E69" s="1" t="s">
        <v>3312</v>
      </c>
      <c r="F69" s="1" t="s">
        <v>970</v>
      </c>
      <c r="G69" s="6">
        <v>18</v>
      </c>
      <c r="H69" s="8">
        <f>tblInventory[[#This Row],[Stock_Quantity]] * tblInventory[[#This Row],[Unit_Price]]</f>
        <v>90</v>
      </c>
      <c r="I69" s="1">
        <v>3</v>
      </c>
      <c r="J69" s="1">
        <v>39</v>
      </c>
      <c r="K69" s="8">
        <f>tblInventory[[#This Row],[Reorder_Quantity]]*M69</f>
        <v>195</v>
      </c>
      <c r="L69" s="10">
        <f>tblInventory[[#This Row],[Stock_Quantity]] / tblInventory[[#This Row],[Reorder_Quantity]]</f>
        <v>0.46153846153846156</v>
      </c>
      <c r="M69" s="3">
        <v>5</v>
      </c>
      <c r="N69" s="10">
        <f t="shared" si="2"/>
        <v>0.30560271646859083</v>
      </c>
      <c r="O69" s="1" t="s">
        <v>335</v>
      </c>
      <c r="P69" s="1" t="s">
        <v>259</v>
      </c>
      <c r="Q69" s="2">
        <v>46479</v>
      </c>
      <c r="R69" s="1" t="s">
        <v>3313</v>
      </c>
      <c r="S69" s="1">
        <v>58</v>
      </c>
      <c r="T69" s="1">
        <v>61</v>
      </c>
      <c r="U69" s="1" t="s">
        <v>38</v>
      </c>
      <c r="V69" s="3">
        <f>tblInventory[[#This Row],[Stock_Quantity]]*tblInventory[[#This Row],[Unit_Price]]</f>
        <v>90</v>
      </c>
      <c r="W69" s="1" t="str">
        <f>IF(tblInventory[[#This Row],[Status]]="Discontinued","INACTIVE",
IF(tblInventory[[#This Row],[Stock_Quantity]] &lt; tblInventory[[#This Row],[Reorder_Level]],"REORDER","OK"))</f>
        <v>OK</v>
      </c>
      <c r="X69" s="1" t="str">
        <f t="shared" ca="1" si="3"/>
        <v>Valid</v>
      </c>
    </row>
    <row r="70" spans="1:24">
      <c r="A70" s="1">
        <v>69</v>
      </c>
      <c r="B70" s="1" t="s">
        <v>747</v>
      </c>
      <c r="C70" s="1" t="s">
        <v>748</v>
      </c>
      <c r="D70" s="1" t="s">
        <v>61</v>
      </c>
      <c r="E70" s="1" t="s">
        <v>749</v>
      </c>
      <c r="F70" s="1" t="s">
        <v>750</v>
      </c>
      <c r="G70" s="6">
        <v>99</v>
      </c>
      <c r="H70" s="8">
        <f>tblInventory[[#This Row],[Stock_Quantity]] * tblInventory[[#This Row],[Unit_Price]]</f>
        <v>990</v>
      </c>
      <c r="I70" s="1">
        <v>96</v>
      </c>
      <c r="J70" s="1">
        <v>39</v>
      </c>
      <c r="K70" s="8">
        <f>tblInventory[[#This Row],[Reorder_Quantity]]*M70</f>
        <v>390</v>
      </c>
      <c r="L70" s="10">
        <f>tblInventory[[#This Row],[Stock_Quantity]] / tblInventory[[#This Row],[Reorder_Quantity]]</f>
        <v>2.5384615384615383</v>
      </c>
      <c r="M70" s="3">
        <v>10</v>
      </c>
      <c r="N70" s="10">
        <f t="shared" si="2"/>
        <v>1.6808149405772497</v>
      </c>
      <c r="O70" s="1" t="s">
        <v>151</v>
      </c>
      <c r="P70" s="1" t="s">
        <v>751</v>
      </c>
      <c r="Q70" s="2">
        <v>45683</v>
      </c>
      <c r="R70" s="1" t="s">
        <v>752</v>
      </c>
      <c r="S70" s="1">
        <v>94</v>
      </c>
      <c r="T70" s="1">
        <v>89</v>
      </c>
      <c r="U70" s="1" t="s">
        <v>38</v>
      </c>
      <c r="V70" s="3">
        <f>tblInventory[[#This Row],[Stock_Quantity]]*tblInventory[[#This Row],[Unit_Price]]</f>
        <v>990</v>
      </c>
      <c r="W70" s="1" t="str">
        <f>IF(tblInventory[[#This Row],[Status]]="Discontinued","INACTIVE",
IF(tblInventory[[#This Row],[Stock_Quantity]] &lt; tblInventory[[#This Row],[Reorder_Level]],"REORDER","OK"))</f>
        <v>OK</v>
      </c>
      <c r="X70" s="1" t="str">
        <f t="shared" ca="1" si="3"/>
        <v>Expired</v>
      </c>
    </row>
    <row r="71" spans="1:24">
      <c r="A71" s="1">
        <v>70</v>
      </c>
      <c r="B71" s="1" t="s">
        <v>976</v>
      </c>
      <c r="C71" s="1" t="s">
        <v>748</v>
      </c>
      <c r="D71" s="1" t="s">
        <v>61</v>
      </c>
      <c r="E71" s="1" t="s">
        <v>977</v>
      </c>
      <c r="F71" s="1" t="s">
        <v>978</v>
      </c>
      <c r="G71" s="6">
        <v>10</v>
      </c>
      <c r="H71" s="8">
        <f>tblInventory[[#This Row],[Stock_Quantity]] * tblInventory[[#This Row],[Unit_Price]]</f>
        <v>100</v>
      </c>
      <c r="I71" s="1">
        <v>86</v>
      </c>
      <c r="J71" s="1">
        <v>23</v>
      </c>
      <c r="K71" s="8">
        <f>tblInventory[[#This Row],[Reorder_Quantity]]*M71</f>
        <v>230</v>
      </c>
      <c r="L71" s="10">
        <f>tblInventory[[#This Row],[Stock_Quantity]] / tblInventory[[#This Row],[Reorder_Quantity]]</f>
        <v>0.43478260869565216</v>
      </c>
      <c r="M71" s="3">
        <v>10</v>
      </c>
      <c r="N71" s="10">
        <f t="shared" si="2"/>
        <v>0.1697792869269949</v>
      </c>
      <c r="O71" s="1" t="s">
        <v>21</v>
      </c>
      <c r="P71" s="1" t="s">
        <v>377</v>
      </c>
      <c r="Q71" s="2">
        <v>45734</v>
      </c>
      <c r="R71" s="1" t="s">
        <v>979</v>
      </c>
      <c r="S71" s="1">
        <v>24</v>
      </c>
      <c r="T71" s="1">
        <v>52</v>
      </c>
      <c r="U71" s="1" t="s">
        <v>38</v>
      </c>
      <c r="V71" s="3">
        <f>tblInventory[[#This Row],[Stock_Quantity]]*tblInventory[[#This Row],[Unit_Price]]</f>
        <v>100</v>
      </c>
      <c r="W71" s="1" t="str">
        <f>IF(tblInventory[[#This Row],[Status]]="Discontinued","INACTIVE",
IF(tblInventory[[#This Row],[Stock_Quantity]] &lt; tblInventory[[#This Row],[Reorder_Level]],"REORDER","OK"))</f>
        <v>REORDER</v>
      </c>
      <c r="X71" s="1" t="str">
        <f t="shared" ca="1" si="3"/>
        <v>Expired</v>
      </c>
    </row>
    <row r="72" spans="1:24">
      <c r="A72" s="1">
        <v>71</v>
      </c>
      <c r="B72" s="1" t="s">
        <v>2047</v>
      </c>
      <c r="C72" s="1" t="s">
        <v>748</v>
      </c>
      <c r="D72" s="1" t="s">
        <v>61</v>
      </c>
      <c r="E72" s="1" t="s">
        <v>2048</v>
      </c>
      <c r="F72" s="1" t="s">
        <v>381</v>
      </c>
      <c r="G72" s="6">
        <v>50</v>
      </c>
      <c r="H72" s="8">
        <f>tblInventory[[#This Row],[Stock_Quantity]] * tblInventory[[#This Row],[Unit_Price]]</f>
        <v>500</v>
      </c>
      <c r="I72" s="1">
        <v>36</v>
      </c>
      <c r="J72" s="1">
        <v>81</v>
      </c>
      <c r="K72" s="8">
        <f>tblInventory[[#This Row],[Reorder_Quantity]]*M72</f>
        <v>810</v>
      </c>
      <c r="L72" s="10">
        <f>tblInventory[[#This Row],[Stock_Quantity]] / tblInventory[[#This Row],[Reorder_Quantity]]</f>
        <v>0.61728395061728392</v>
      </c>
      <c r="M72" s="3">
        <v>10</v>
      </c>
      <c r="N72" s="10">
        <f t="shared" si="2"/>
        <v>0.84889643463497455</v>
      </c>
      <c r="O72" s="1" t="s">
        <v>402</v>
      </c>
      <c r="P72" s="2">
        <v>45631</v>
      </c>
      <c r="Q72" s="2">
        <v>46174</v>
      </c>
      <c r="R72" s="1" t="s">
        <v>2049</v>
      </c>
      <c r="S72" s="1">
        <v>27</v>
      </c>
      <c r="T72" s="1">
        <v>6</v>
      </c>
      <c r="U72" s="1" t="s">
        <v>24</v>
      </c>
      <c r="V72" s="3">
        <f>tblInventory[[#This Row],[Stock_Quantity]]*tblInventory[[#This Row],[Unit_Price]]</f>
        <v>500</v>
      </c>
      <c r="W72" s="1" t="str">
        <f>IF(tblInventory[[#This Row],[Status]]="Discontinued","INACTIVE",
IF(tblInventory[[#This Row],[Stock_Quantity]] &lt; tblInventory[[#This Row],[Reorder_Level]],"REORDER","OK"))</f>
        <v>INACTIVE</v>
      </c>
      <c r="X72" s="1" t="str">
        <f t="shared" ca="1" si="3"/>
        <v>Valid</v>
      </c>
    </row>
    <row r="73" spans="1:24">
      <c r="A73" s="1">
        <v>72</v>
      </c>
      <c r="B73" s="1" t="s">
        <v>2370</v>
      </c>
      <c r="C73" s="1" t="s">
        <v>748</v>
      </c>
      <c r="D73" s="1" t="s">
        <v>61</v>
      </c>
      <c r="E73" s="1" t="s">
        <v>2371</v>
      </c>
      <c r="F73" s="1" t="s">
        <v>1913</v>
      </c>
      <c r="G73" s="6">
        <v>53</v>
      </c>
      <c r="H73" s="8">
        <f>tblInventory[[#This Row],[Stock_Quantity]] * tblInventory[[#This Row],[Unit_Price]]</f>
        <v>530</v>
      </c>
      <c r="I73" s="1">
        <v>89</v>
      </c>
      <c r="J73" s="1">
        <v>100</v>
      </c>
      <c r="K73" s="8">
        <f>tblInventory[[#This Row],[Reorder_Quantity]]*M73</f>
        <v>1000</v>
      </c>
      <c r="L73" s="10">
        <f>tblInventory[[#This Row],[Stock_Quantity]] / tblInventory[[#This Row],[Reorder_Quantity]]</f>
        <v>0.53</v>
      </c>
      <c r="M73" s="3">
        <v>10</v>
      </c>
      <c r="N73" s="10">
        <f t="shared" si="2"/>
        <v>0.89983022071307306</v>
      </c>
      <c r="O73" s="2">
        <v>45298</v>
      </c>
      <c r="P73" s="2">
        <v>45447</v>
      </c>
      <c r="Q73" s="2">
        <v>46128</v>
      </c>
      <c r="R73" s="1" t="s">
        <v>2372</v>
      </c>
      <c r="S73" s="1">
        <v>22</v>
      </c>
      <c r="T73" s="1">
        <v>83</v>
      </c>
      <c r="U73" s="1" t="s">
        <v>38</v>
      </c>
      <c r="V73" s="3">
        <f>tblInventory[[#This Row],[Stock_Quantity]]*tblInventory[[#This Row],[Unit_Price]]</f>
        <v>530</v>
      </c>
      <c r="W73" s="1" t="str">
        <f>IF(tblInventory[[#This Row],[Status]]="Discontinued","INACTIVE",
IF(tblInventory[[#This Row],[Stock_Quantity]] &lt; tblInventory[[#This Row],[Reorder_Level]],"REORDER","OK"))</f>
        <v>REORDER</v>
      </c>
      <c r="X73" s="1" t="str">
        <f t="shared" ca="1" si="3"/>
        <v>Valid</v>
      </c>
    </row>
    <row r="74" spans="1:24">
      <c r="A74" s="1">
        <v>73</v>
      </c>
      <c r="B74" s="1" t="s">
        <v>2425</v>
      </c>
      <c r="C74" s="1" t="s">
        <v>748</v>
      </c>
      <c r="D74" s="1" t="s">
        <v>61</v>
      </c>
      <c r="E74" s="1" t="s">
        <v>2426</v>
      </c>
      <c r="F74" s="1" t="s">
        <v>56</v>
      </c>
      <c r="G74" s="6">
        <v>14</v>
      </c>
      <c r="H74" s="8">
        <f>tblInventory[[#This Row],[Stock_Quantity]] * tblInventory[[#This Row],[Unit_Price]]</f>
        <v>140</v>
      </c>
      <c r="I74" s="1">
        <v>75</v>
      </c>
      <c r="J74" s="1">
        <v>10</v>
      </c>
      <c r="K74" s="8">
        <f>tblInventory[[#This Row],[Reorder_Quantity]]*M74</f>
        <v>100</v>
      </c>
      <c r="L74" s="10">
        <f>tblInventory[[#This Row],[Stock_Quantity]] / tblInventory[[#This Row],[Reorder_Quantity]]</f>
        <v>1.4</v>
      </c>
      <c r="M74" s="3">
        <v>10</v>
      </c>
      <c r="N74" s="10">
        <f t="shared" si="2"/>
        <v>0.23769100169779286</v>
      </c>
      <c r="O74" s="2">
        <v>45392</v>
      </c>
      <c r="P74" s="1" t="s">
        <v>264</v>
      </c>
      <c r="Q74" s="2">
        <v>46086</v>
      </c>
      <c r="R74" s="1" t="s">
        <v>2427</v>
      </c>
      <c r="S74" s="1">
        <v>65</v>
      </c>
      <c r="T74" s="1">
        <v>62</v>
      </c>
      <c r="U74" s="1" t="s">
        <v>46</v>
      </c>
      <c r="V74" s="3">
        <f>tblInventory[[#This Row],[Stock_Quantity]]*tblInventory[[#This Row],[Unit_Price]]</f>
        <v>140</v>
      </c>
      <c r="W74" s="1" t="str">
        <f>IF(tblInventory[[#This Row],[Status]]="Discontinued","INACTIVE",
IF(tblInventory[[#This Row],[Stock_Quantity]] &lt; tblInventory[[#This Row],[Reorder_Level]],"REORDER","OK"))</f>
        <v>REORDER</v>
      </c>
      <c r="X74" s="1" t="str">
        <f t="shared" ca="1" si="3"/>
        <v>Valid</v>
      </c>
    </row>
    <row r="75" spans="1:24">
      <c r="A75" s="1">
        <v>74</v>
      </c>
      <c r="B75" s="1" t="s">
        <v>3650</v>
      </c>
      <c r="C75" s="1" t="s">
        <v>748</v>
      </c>
      <c r="D75" s="1" t="s">
        <v>61</v>
      </c>
      <c r="E75" s="1" t="s">
        <v>3651</v>
      </c>
      <c r="F75" s="1" t="s">
        <v>1012</v>
      </c>
      <c r="G75" s="6">
        <v>24</v>
      </c>
      <c r="H75" s="8">
        <f>tblInventory[[#This Row],[Stock_Quantity]] * tblInventory[[#This Row],[Unit_Price]]</f>
        <v>240</v>
      </c>
      <c r="I75" s="1">
        <v>89</v>
      </c>
      <c r="J75" s="1">
        <v>27</v>
      </c>
      <c r="K75" s="8">
        <f>tblInventory[[#This Row],[Reorder_Quantity]]*M75</f>
        <v>270</v>
      </c>
      <c r="L75" s="10">
        <f>tblInventory[[#This Row],[Stock_Quantity]] / tblInventory[[#This Row],[Reorder_Quantity]]</f>
        <v>0.88888888888888884</v>
      </c>
      <c r="M75" s="3">
        <v>10</v>
      </c>
      <c r="N75" s="10">
        <f t="shared" si="2"/>
        <v>0.40747028862478779</v>
      </c>
      <c r="O75" s="2">
        <v>45569</v>
      </c>
      <c r="P75" s="1" t="s">
        <v>1150</v>
      </c>
      <c r="Q75" s="2">
        <v>46532</v>
      </c>
      <c r="R75" s="1" t="s">
        <v>3652</v>
      </c>
      <c r="S75" s="1">
        <v>99</v>
      </c>
      <c r="T75" s="1">
        <v>1</v>
      </c>
      <c r="U75" s="1" t="s">
        <v>24</v>
      </c>
      <c r="V75" s="3">
        <f>tblInventory[[#This Row],[Stock_Quantity]]*tblInventory[[#This Row],[Unit_Price]]</f>
        <v>240</v>
      </c>
      <c r="W75" s="1" t="str">
        <f>IF(tblInventory[[#This Row],[Status]]="Discontinued","INACTIVE",
IF(tblInventory[[#This Row],[Stock_Quantity]] &lt; tblInventory[[#This Row],[Reorder_Level]],"REORDER","OK"))</f>
        <v>INACTIVE</v>
      </c>
      <c r="X75" s="1" t="str">
        <f t="shared" ca="1" si="3"/>
        <v>Valid</v>
      </c>
    </row>
    <row r="76" spans="1:24">
      <c r="A76" s="1">
        <v>75</v>
      </c>
      <c r="B76" s="1" t="s">
        <v>3681</v>
      </c>
      <c r="C76" s="1" t="s">
        <v>748</v>
      </c>
      <c r="D76" s="1" t="s">
        <v>61</v>
      </c>
      <c r="E76" s="1" t="s">
        <v>3682</v>
      </c>
      <c r="F76" s="1" t="s">
        <v>443</v>
      </c>
      <c r="G76" s="6">
        <v>30</v>
      </c>
      <c r="H76" s="8">
        <f>tblInventory[[#This Row],[Stock_Quantity]] * tblInventory[[#This Row],[Unit_Price]]</f>
        <v>300</v>
      </c>
      <c r="I76" s="1">
        <v>48</v>
      </c>
      <c r="J76" s="1">
        <v>52</v>
      </c>
      <c r="K76" s="8">
        <f>tblInventory[[#This Row],[Reorder_Quantity]]*M76</f>
        <v>520</v>
      </c>
      <c r="L76" s="10">
        <f>tblInventory[[#This Row],[Stock_Quantity]] / tblInventory[[#This Row],[Reorder_Quantity]]</f>
        <v>0.57692307692307687</v>
      </c>
      <c r="M76" s="3">
        <v>10</v>
      </c>
      <c r="N76" s="10">
        <f t="shared" si="2"/>
        <v>0.50933786078098475</v>
      </c>
      <c r="O76" s="2">
        <v>45602</v>
      </c>
      <c r="P76" s="2">
        <v>45485</v>
      </c>
      <c r="Q76" s="2">
        <v>46483</v>
      </c>
      <c r="R76" s="1" t="s">
        <v>3683</v>
      </c>
      <c r="S76" s="1">
        <v>22</v>
      </c>
      <c r="T76" s="1">
        <v>78</v>
      </c>
      <c r="U76" s="1" t="s">
        <v>46</v>
      </c>
      <c r="V76" s="3">
        <f>tblInventory[[#This Row],[Stock_Quantity]]*tblInventory[[#This Row],[Unit_Price]]</f>
        <v>300</v>
      </c>
      <c r="W76" s="1" t="str">
        <f>IF(tblInventory[[#This Row],[Status]]="Discontinued","INACTIVE",
IF(tblInventory[[#This Row],[Stock_Quantity]] &lt; tblInventory[[#This Row],[Reorder_Level]],"REORDER","OK"))</f>
        <v>REORDER</v>
      </c>
      <c r="X76" s="1" t="str">
        <f t="shared" ca="1" si="3"/>
        <v>Valid</v>
      </c>
    </row>
    <row r="77" spans="1:24">
      <c r="A77" s="1">
        <v>76</v>
      </c>
      <c r="B77" s="1" t="s">
        <v>673</v>
      </c>
      <c r="C77" s="1" t="s">
        <v>674</v>
      </c>
      <c r="D77" s="1" t="s">
        <v>49</v>
      </c>
      <c r="E77" s="1" t="s">
        <v>675</v>
      </c>
      <c r="F77" s="1" t="s">
        <v>35</v>
      </c>
      <c r="G77" s="6">
        <v>56</v>
      </c>
      <c r="H77" s="8">
        <f>tblInventory[[#This Row],[Stock_Quantity]] * tblInventory[[#This Row],[Unit_Price]]</f>
        <v>5512.08</v>
      </c>
      <c r="I77" s="1">
        <v>12</v>
      </c>
      <c r="J77" s="1">
        <v>59</v>
      </c>
      <c r="K77" s="8">
        <f>tblInventory[[#This Row],[Reorder_Quantity]]*M77</f>
        <v>5807.3700000000008</v>
      </c>
      <c r="L77" s="10">
        <f>tblInventory[[#This Row],[Stock_Quantity]] / tblInventory[[#This Row],[Reorder_Quantity]]</f>
        <v>0.94915254237288138</v>
      </c>
      <c r="M77" s="3">
        <v>98.43</v>
      </c>
      <c r="N77" s="10">
        <f t="shared" si="2"/>
        <v>0.95076400679117146</v>
      </c>
      <c r="O77" s="1" t="s">
        <v>676</v>
      </c>
      <c r="P77" s="1" t="s">
        <v>396</v>
      </c>
      <c r="Q77" s="2">
        <v>45931</v>
      </c>
      <c r="R77" s="1" t="s">
        <v>677</v>
      </c>
      <c r="S77" s="1">
        <v>35</v>
      </c>
      <c r="T77" s="1">
        <v>16</v>
      </c>
      <c r="U77" s="1" t="s">
        <v>46</v>
      </c>
      <c r="V77" s="3">
        <f>tblInventory[[#This Row],[Stock_Quantity]]*tblInventory[[#This Row],[Unit_Price]]</f>
        <v>5512.08</v>
      </c>
      <c r="W77" s="1" t="str">
        <f>IF(tblInventory[[#This Row],[Status]]="Discontinued","INACTIVE",
IF(tblInventory[[#This Row],[Stock_Quantity]] &lt; tblInventory[[#This Row],[Reorder_Level]],"REORDER","OK"))</f>
        <v>OK</v>
      </c>
      <c r="X77" s="1" t="str">
        <f t="shared" ca="1" si="3"/>
        <v>Expired</v>
      </c>
    </row>
    <row r="78" spans="1:24">
      <c r="A78" s="1">
        <v>77</v>
      </c>
      <c r="B78" s="1" t="s">
        <v>1544</v>
      </c>
      <c r="C78" s="1" t="s">
        <v>674</v>
      </c>
      <c r="D78" s="1" t="s">
        <v>49</v>
      </c>
      <c r="E78" s="1" t="s">
        <v>1545</v>
      </c>
      <c r="F78" s="1" t="s">
        <v>121</v>
      </c>
      <c r="G78" s="6">
        <v>95</v>
      </c>
      <c r="H78" s="8">
        <f>tblInventory[[#This Row],[Stock_Quantity]] * tblInventory[[#This Row],[Unit_Price]]</f>
        <v>5112.8999999999996</v>
      </c>
      <c r="I78" s="1">
        <v>25</v>
      </c>
      <c r="J78" s="1">
        <v>91</v>
      </c>
      <c r="K78" s="8">
        <f>tblInventory[[#This Row],[Reorder_Quantity]]*M78</f>
        <v>4897.62</v>
      </c>
      <c r="L78" s="10">
        <f>tblInventory[[#This Row],[Stock_Quantity]] / tblInventory[[#This Row],[Reorder_Quantity]]</f>
        <v>1.043956043956044</v>
      </c>
      <c r="M78" s="3">
        <v>53.82</v>
      </c>
      <c r="N78" s="10">
        <f t="shared" si="2"/>
        <v>1.6129032258064517</v>
      </c>
      <c r="O78" s="2">
        <v>45391</v>
      </c>
      <c r="P78" s="1" t="s">
        <v>1179</v>
      </c>
      <c r="Q78" s="2">
        <v>45938</v>
      </c>
      <c r="R78" s="1" t="s">
        <v>1546</v>
      </c>
      <c r="S78" s="1">
        <v>87</v>
      </c>
      <c r="T78" s="1">
        <v>5</v>
      </c>
      <c r="U78" s="1" t="s">
        <v>24</v>
      </c>
      <c r="V78" s="3">
        <f>tblInventory[[#This Row],[Stock_Quantity]]*tblInventory[[#This Row],[Unit_Price]]</f>
        <v>5112.8999999999996</v>
      </c>
      <c r="W78" s="1" t="str">
        <f>IF(tblInventory[[#This Row],[Status]]="Discontinued","INACTIVE",
IF(tblInventory[[#This Row],[Stock_Quantity]] &lt; tblInventory[[#This Row],[Reorder_Level]],"REORDER","OK"))</f>
        <v>INACTIVE</v>
      </c>
      <c r="X78" s="1" t="str">
        <f t="shared" ca="1" si="3"/>
        <v>Expired</v>
      </c>
    </row>
    <row r="79" spans="1:24">
      <c r="A79" s="1">
        <v>78</v>
      </c>
      <c r="B79" s="1" t="s">
        <v>1861</v>
      </c>
      <c r="C79" s="1" t="s">
        <v>674</v>
      </c>
      <c r="D79" s="1" t="s">
        <v>49</v>
      </c>
      <c r="E79" s="1" t="s">
        <v>1862</v>
      </c>
      <c r="F79" s="1" t="s">
        <v>1326</v>
      </c>
      <c r="G79" s="6">
        <v>82</v>
      </c>
      <c r="H79" s="8">
        <f>tblInventory[[#This Row],[Stock_Quantity]] * tblInventory[[#This Row],[Unit_Price]]</f>
        <v>1255.42</v>
      </c>
      <c r="I79" s="1">
        <v>29</v>
      </c>
      <c r="J79" s="1">
        <v>62</v>
      </c>
      <c r="K79" s="8">
        <f>tblInventory[[#This Row],[Reorder_Quantity]]*M79</f>
        <v>949.22</v>
      </c>
      <c r="L79" s="10">
        <f>tblInventory[[#This Row],[Stock_Quantity]] / tblInventory[[#This Row],[Reorder_Quantity]]</f>
        <v>1.3225806451612903</v>
      </c>
      <c r="M79" s="3">
        <v>15.31</v>
      </c>
      <c r="N79" s="10">
        <f t="shared" si="2"/>
        <v>1.3921901528013583</v>
      </c>
      <c r="O79" s="2">
        <v>45512</v>
      </c>
      <c r="P79" s="1" t="s">
        <v>64</v>
      </c>
      <c r="Q79" s="2">
        <v>45941</v>
      </c>
      <c r="R79" s="1" t="s">
        <v>1863</v>
      </c>
      <c r="S79" s="1">
        <v>77</v>
      </c>
      <c r="T79" s="1">
        <v>27</v>
      </c>
      <c r="U79" s="1" t="s">
        <v>38</v>
      </c>
      <c r="V79" s="3">
        <f>tblInventory[[#This Row],[Stock_Quantity]]*tblInventory[[#This Row],[Unit_Price]]</f>
        <v>1255.42</v>
      </c>
      <c r="W79" s="1" t="str">
        <f>IF(tblInventory[[#This Row],[Status]]="Discontinued","INACTIVE",
IF(tblInventory[[#This Row],[Stock_Quantity]] &lt; tblInventory[[#This Row],[Reorder_Level]],"REORDER","OK"))</f>
        <v>OK</v>
      </c>
      <c r="X79" s="1" t="str">
        <f t="shared" ca="1" si="3"/>
        <v>Expired</v>
      </c>
    </row>
    <row r="80" spans="1:24">
      <c r="A80" s="1">
        <v>79</v>
      </c>
      <c r="B80" s="1" t="s">
        <v>2544</v>
      </c>
      <c r="C80" s="1" t="s">
        <v>674</v>
      </c>
      <c r="D80" s="1" t="s">
        <v>49</v>
      </c>
      <c r="E80" s="1" t="s">
        <v>2545</v>
      </c>
      <c r="F80" s="1" t="s">
        <v>2546</v>
      </c>
      <c r="G80" s="6">
        <v>39</v>
      </c>
      <c r="H80" s="8">
        <f>tblInventory[[#This Row],[Stock_Quantity]] * tblInventory[[#This Row],[Unit_Price]]</f>
        <v>545.61</v>
      </c>
      <c r="I80" s="1">
        <v>19</v>
      </c>
      <c r="J80" s="1">
        <v>18</v>
      </c>
      <c r="K80" s="8">
        <f>tblInventory[[#This Row],[Reorder_Quantity]]*M80</f>
        <v>251.82</v>
      </c>
      <c r="L80" s="10">
        <f>tblInventory[[#This Row],[Stock_Quantity]] / tblInventory[[#This Row],[Reorder_Quantity]]</f>
        <v>2.1666666666666665</v>
      </c>
      <c r="M80" s="3">
        <v>13.99</v>
      </c>
      <c r="N80" s="10">
        <f t="shared" si="2"/>
        <v>0.66213921901528017</v>
      </c>
      <c r="O80" s="1" t="s">
        <v>632</v>
      </c>
      <c r="P80" s="1" t="s">
        <v>104</v>
      </c>
      <c r="Q80" s="2">
        <v>46240</v>
      </c>
      <c r="R80" s="1" t="s">
        <v>2547</v>
      </c>
      <c r="S80" s="1">
        <v>58</v>
      </c>
      <c r="T80" s="1">
        <v>90</v>
      </c>
      <c r="U80" s="1" t="s">
        <v>46</v>
      </c>
      <c r="V80" s="3">
        <f>tblInventory[[#This Row],[Stock_Quantity]]*tblInventory[[#This Row],[Unit_Price]]</f>
        <v>545.61</v>
      </c>
      <c r="W80" s="1" t="str">
        <f>IF(tblInventory[[#This Row],[Status]]="Discontinued","INACTIVE",
IF(tblInventory[[#This Row],[Stock_Quantity]] &lt; tblInventory[[#This Row],[Reorder_Level]],"REORDER","OK"))</f>
        <v>OK</v>
      </c>
      <c r="X80" s="1" t="str">
        <f t="shared" ca="1" si="3"/>
        <v>Valid</v>
      </c>
    </row>
    <row r="81" spans="1:24">
      <c r="A81" s="1">
        <v>80</v>
      </c>
      <c r="B81" s="1" t="s">
        <v>996</v>
      </c>
      <c r="C81" s="1" t="s">
        <v>997</v>
      </c>
      <c r="D81" s="1" t="s">
        <v>17</v>
      </c>
      <c r="E81" s="1" t="s">
        <v>998</v>
      </c>
      <c r="F81" s="1" t="s">
        <v>999</v>
      </c>
      <c r="G81" s="6">
        <v>56</v>
      </c>
      <c r="H81" s="8">
        <f>tblInventory[[#This Row],[Stock_Quantity]] * tblInventory[[#This Row],[Unit_Price]]</f>
        <v>252</v>
      </c>
      <c r="I81" s="1">
        <v>53</v>
      </c>
      <c r="J81" s="1">
        <v>77</v>
      </c>
      <c r="K81" s="8">
        <f>tblInventory[[#This Row],[Reorder_Quantity]]*M81</f>
        <v>346.5</v>
      </c>
      <c r="L81" s="10">
        <f>tblInventory[[#This Row],[Stock_Quantity]] / tblInventory[[#This Row],[Reorder_Quantity]]</f>
        <v>0.72727272727272729</v>
      </c>
      <c r="M81" s="3">
        <v>4.5</v>
      </c>
      <c r="N81" s="10">
        <f t="shared" si="2"/>
        <v>0.95076400679117146</v>
      </c>
      <c r="O81" s="2">
        <v>45633</v>
      </c>
      <c r="P81" s="1" t="s">
        <v>1000</v>
      </c>
      <c r="Q81" s="2">
        <v>45739</v>
      </c>
      <c r="R81" s="1" t="s">
        <v>1001</v>
      </c>
      <c r="S81" s="1">
        <v>69</v>
      </c>
      <c r="T81" s="1">
        <v>69</v>
      </c>
      <c r="U81" s="1" t="s">
        <v>46</v>
      </c>
      <c r="V81" s="3">
        <f>tblInventory[[#This Row],[Stock_Quantity]]*tblInventory[[#This Row],[Unit_Price]]</f>
        <v>252</v>
      </c>
      <c r="W81" s="1" t="str">
        <f>IF(tblInventory[[#This Row],[Status]]="Discontinued","INACTIVE",
IF(tblInventory[[#This Row],[Stock_Quantity]] &lt; tblInventory[[#This Row],[Reorder_Level]],"REORDER","OK"))</f>
        <v>OK</v>
      </c>
      <c r="X81" s="1" t="str">
        <f t="shared" ca="1" si="3"/>
        <v>Expired</v>
      </c>
    </row>
    <row r="82" spans="1:24">
      <c r="A82" s="1">
        <v>81</v>
      </c>
      <c r="B82" s="1" t="s">
        <v>1636</v>
      </c>
      <c r="C82" s="1" t="s">
        <v>997</v>
      </c>
      <c r="D82" s="1" t="s">
        <v>17</v>
      </c>
      <c r="E82" s="1" t="s">
        <v>1637</v>
      </c>
      <c r="F82" s="1" t="s">
        <v>783</v>
      </c>
      <c r="G82" s="6">
        <v>15</v>
      </c>
      <c r="H82" s="8">
        <f>tblInventory[[#This Row],[Stock_Quantity]] * tblInventory[[#This Row],[Unit_Price]]</f>
        <v>67.5</v>
      </c>
      <c r="I82" s="1">
        <v>49</v>
      </c>
      <c r="J82" s="1">
        <v>40</v>
      </c>
      <c r="K82" s="8">
        <f>tblInventory[[#This Row],[Reorder_Quantity]]*M82</f>
        <v>180</v>
      </c>
      <c r="L82" s="10">
        <f>tblInventory[[#This Row],[Stock_Quantity]] / tblInventory[[#This Row],[Reorder_Quantity]]</f>
        <v>0.375</v>
      </c>
      <c r="M82" s="3">
        <v>4.5</v>
      </c>
      <c r="N82" s="10">
        <f t="shared" si="2"/>
        <v>0.25466893039049238</v>
      </c>
      <c r="O82" s="2">
        <v>45455</v>
      </c>
      <c r="P82" s="1" t="s">
        <v>116</v>
      </c>
      <c r="Q82" s="2">
        <v>45817</v>
      </c>
      <c r="R82" s="1" t="s">
        <v>1638</v>
      </c>
      <c r="S82" s="1">
        <v>68</v>
      </c>
      <c r="T82" s="1">
        <v>74</v>
      </c>
      <c r="U82" s="1" t="s">
        <v>24</v>
      </c>
      <c r="V82" s="3">
        <f>tblInventory[[#This Row],[Stock_Quantity]]*tblInventory[[#This Row],[Unit_Price]]</f>
        <v>67.5</v>
      </c>
      <c r="W82" s="1" t="str">
        <f>IF(tblInventory[[#This Row],[Status]]="Discontinued","INACTIVE",
IF(tblInventory[[#This Row],[Stock_Quantity]] &lt; tblInventory[[#This Row],[Reorder_Level]],"REORDER","OK"))</f>
        <v>INACTIVE</v>
      </c>
      <c r="X82" s="1" t="str">
        <f t="shared" ca="1" si="3"/>
        <v>Expired</v>
      </c>
    </row>
    <row r="83" spans="1:24">
      <c r="A83" s="1">
        <v>82</v>
      </c>
      <c r="B83" s="1" t="s">
        <v>2233</v>
      </c>
      <c r="C83" s="1" t="s">
        <v>997</v>
      </c>
      <c r="D83" s="1" t="s">
        <v>17</v>
      </c>
      <c r="E83" s="1" t="s">
        <v>2234</v>
      </c>
      <c r="F83" s="1" t="s">
        <v>849</v>
      </c>
      <c r="G83" s="6">
        <v>26</v>
      </c>
      <c r="H83" s="8">
        <f>tblInventory[[#This Row],[Stock_Quantity]] * tblInventory[[#This Row],[Unit_Price]]</f>
        <v>114.4</v>
      </c>
      <c r="I83" s="1">
        <v>67</v>
      </c>
      <c r="J83" s="1">
        <v>46</v>
      </c>
      <c r="K83" s="8">
        <f>tblInventory[[#This Row],[Reorder_Quantity]]*M83</f>
        <v>202.4</v>
      </c>
      <c r="L83" s="10">
        <f>tblInventory[[#This Row],[Stock_Quantity]] / tblInventory[[#This Row],[Reorder_Quantity]]</f>
        <v>0.56521739130434778</v>
      </c>
      <c r="M83" s="3">
        <v>4.4000000000000004</v>
      </c>
      <c r="N83" s="10">
        <f t="shared" si="2"/>
        <v>0.44142614601018676</v>
      </c>
      <c r="O83" s="2">
        <v>45516</v>
      </c>
      <c r="P83" s="2">
        <v>45635</v>
      </c>
      <c r="Q83" s="2">
        <v>46115</v>
      </c>
      <c r="R83" s="1" t="s">
        <v>2235</v>
      </c>
      <c r="S83" s="1">
        <v>54</v>
      </c>
      <c r="T83" s="1">
        <v>46</v>
      </c>
      <c r="U83" s="1" t="s">
        <v>38</v>
      </c>
      <c r="V83" s="3">
        <f>tblInventory[[#This Row],[Stock_Quantity]]*tblInventory[[#This Row],[Unit_Price]]</f>
        <v>114.4</v>
      </c>
      <c r="W83" s="1" t="str">
        <f>IF(tblInventory[[#This Row],[Status]]="Discontinued","INACTIVE",
IF(tblInventory[[#This Row],[Stock_Quantity]] &lt; tblInventory[[#This Row],[Reorder_Level]],"REORDER","OK"))</f>
        <v>REORDER</v>
      </c>
      <c r="X83" s="1" t="str">
        <f t="shared" ca="1" si="3"/>
        <v>Valid</v>
      </c>
    </row>
    <row r="84" spans="1:24">
      <c r="A84" s="1">
        <v>83</v>
      </c>
      <c r="B84" s="1" t="s">
        <v>2515</v>
      </c>
      <c r="C84" s="1" t="s">
        <v>997</v>
      </c>
      <c r="D84" s="1" t="s">
        <v>17</v>
      </c>
      <c r="E84" s="1" t="s">
        <v>2516</v>
      </c>
      <c r="F84" s="1" t="s">
        <v>1129</v>
      </c>
      <c r="G84" s="6">
        <v>11</v>
      </c>
      <c r="H84" s="8">
        <f>tblInventory[[#This Row],[Stock_Quantity]] * tblInventory[[#This Row],[Unit_Price]]</f>
        <v>49.5</v>
      </c>
      <c r="I84" s="1">
        <v>87</v>
      </c>
      <c r="J84" s="1">
        <v>64</v>
      </c>
      <c r="K84" s="8">
        <f>tblInventory[[#This Row],[Reorder_Quantity]]*M84</f>
        <v>288</v>
      </c>
      <c r="L84" s="10">
        <f>tblInventory[[#This Row],[Stock_Quantity]] / tblInventory[[#This Row],[Reorder_Quantity]]</f>
        <v>0.171875</v>
      </c>
      <c r="M84" s="3">
        <v>4.5</v>
      </c>
      <c r="N84" s="10">
        <f t="shared" si="2"/>
        <v>0.18675721561969441</v>
      </c>
      <c r="O84" s="1" t="s">
        <v>357</v>
      </c>
      <c r="P84" s="2">
        <v>45510</v>
      </c>
      <c r="Q84" s="2">
        <v>46172</v>
      </c>
      <c r="R84" s="1" t="s">
        <v>2517</v>
      </c>
      <c r="S84" s="1">
        <v>29</v>
      </c>
      <c r="T84" s="1">
        <v>6</v>
      </c>
      <c r="U84" s="1" t="s">
        <v>46</v>
      </c>
      <c r="V84" s="3">
        <f>tblInventory[[#This Row],[Stock_Quantity]]*tblInventory[[#This Row],[Unit_Price]]</f>
        <v>49.5</v>
      </c>
      <c r="W84" s="1" t="str">
        <f>IF(tblInventory[[#This Row],[Status]]="Discontinued","INACTIVE",
IF(tblInventory[[#This Row],[Stock_Quantity]] &lt; tblInventory[[#This Row],[Reorder_Level]],"REORDER","OK"))</f>
        <v>REORDER</v>
      </c>
      <c r="X84" s="1" t="str">
        <f t="shared" ca="1" si="3"/>
        <v>Valid</v>
      </c>
    </row>
    <row r="85" spans="1:24">
      <c r="A85" s="1">
        <v>84</v>
      </c>
      <c r="B85" s="1" t="s">
        <v>3599</v>
      </c>
      <c r="C85" s="1" t="s">
        <v>997</v>
      </c>
      <c r="D85" s="1" t="s">
        <v>17</v>
      </c>
      <c r="E85" s="1" t="s">
        <v>3600</v>
      </c>
      <c r="F85" s="1" t="s">
        <v>816</v>
      </c>
      <c r="G85" s="6">
        <v>55</v>
      </c>
      <c r="H85" s="8">
        <f>tblInventory[[#This Row],[Stock_Quantity]] * tblInventory[[#This Row],[Unit_Price]]</f>
        <v>244.75</v>
      </c>
      <c r="I85" s="1">
        <v>13</v>
      </c>
      <c r="J85" s="1">
        <v>71</v>
      </c>
      <c r="K85" s="8">
        <f>tblInventory[[#This Row],[Reorder_Quantity]]*M85</f>
        <v>315.95</v>
      </c>
      <c r="L85" s="10">
        <f>tblInventory[[#This Row],[Stock_Quantity]] / tblInventory[[#This Row],[Reorder_Quantity]]</f>
        <v>0.77464788732394363</v>
      </c>
      <c r="M85" s="3">
        <v>4.45</v>
      </c>
      <c r="N85" s="10">
        <f t="shared" si="2"/>
        <v>0.93378607809847203</v>
      </c>
      <c r="O85" s="1" t="s">
        <v>285</v>
      </c>
      <c r="P85" s="1" t="s">
        <v>518</v>
      </c>
      <c r="Q85" s="2">
        <v>46604</v>
      </c>
      <c r="R85" s="1" t="s">
        <v>3601</v>
      </c>
      <c r="S85" s="1">
        <v>37</v>
      </c>
      <c r="T85" s="1">
        <v>4</v>
      </c>
      <c r="U85" s="1" t="s">
        <v>38</v>
      </c>
      <c r="V85" s="3">
        <f>tblInventory[[#This Row],[Stock_Quantity]]*tblInventory[[#This Row],[Unit_Price]]</f>
        <v>244.75</v>
      </c>
      <c r="W85" s="1" t="str">
        <f>IF(tblInventory[[#This Row],[Status]]="Discontinued","INACTIVE",
IF(tblInventory[[#This Row],[Stock_Quantity]] &lt; tblInventory[[#This Row],[Reorder_Level]],"REORDER","OK"))</f>
        <v>OK</v>
      </c>
      <c r="X85" s="1" t="str">
        <f t="shared" ca="1" si="3"/>
        <v>Valid</v>
      </c>
    </row>
    <row r="86" spans="1:24">
      <c r="A86" s="1">
        <v>85</v>
      </c>
      <c r="B86" s="1" t="s">
        <v>3659</v>
      </c>
      <c r="C86" s="1" t="s">
        <v>997</v>
      </c>
      <c r="D86" s="1" t="s">
        <v>17</v>
      </c>
      <c r="E86" s="1" t="s">
        <v>3660</v>
      </c>
      <c r="F86" s="1" t="s">
        <v>356</v>
      </c>
      <c r="G86" s="6">
        <v>71</v>
      </c>
      <c r="H86" s="8">
        <f>tblInventory[[#This Row],[Stock_Quantity]] * tblInventory[[#This Row],[Unit_Price]]</f>
        <v>319.5</v>
      </c>
      <c r="I86" s="1">
        <v>60</v>
      </c>
      <c r="J86" s="1">
        <v>62</v>
      </c>
      <c r="K86" s="8">
        <f>tblInventory[[#This Row],[Reorder_Quantity]]*M86</f>
        <v>279</v>
      </c>
      <c r="L86" s="10">
        <f>tblInventory[[#This Row],[Stock_Quantity]] / tblInventory[[#This Row],[Reorder_Quantity]]</f>
        <v>1.1451612903225807</v>
      </c>
      <c r="M86" s="3">
        <v>4.5</v>
      </c>
      <c r="N86" s="10">
        <f t="shared" si="2"/>
        <v>1.2054329371816639</v>
      </c>
      <c r="O86" s="1" t="s">
        <v>396</v>
      </c>
      <c r="P86" s="1" t="s">
        <v>681</v>
      </c>
      <c r="Q86" s="2">
        <v>46535</v>
      </c>
      <c r="R86" s="1" t="s">
        <v>3661</v>
      </c>
      <c r="S86" s="1">
        <v>60</v>
      </c>
      <c r="T86" s="1">
        <v>63</v>
      </c>
      <c r="U86" s="1" t="s">
        <v>24</v>
      </c>
      <c r="V86" s="3">
        <f>tblInventory[[#This Row],[Stock_Quantity]]*tblInventory[[#This Row],[Unit_Price]]</f>
        <v>319.5</v>
      </c>
      <c r="W86" s="1" t="str">
        <f>IF(tblInventory[[#This Row],[Status]]="Discontinued","INACTIVE",
IF(tblInventory[[#This Row],[Stock_Quantity]] &lt; tblInventory[[#This Row],[Reorder_Level]],"REORDER","OK"))</f>
        <v>INACTIVE</v>
      </c>
      <c r="X86" s="1" t="str">
        <f t="shared" ca="1" si="3"/>
        <v>Valid</v>
      </c>
    </row>
    <row r="87" spans="1:24">
      <c r="A87" s="1">
        <v>86</v>
      </c>
      <c r="B87" s="1" t="s">
        <v>468</v>
      </c>
      <c r="C87" s="1" t="s">
        <v>469</v>
      </c>
      <c r="D87" s="1" t="s">
        <v>49</v>
      </c>
      <c r="E87" s="1" t="s">
        <v>470</v>
      </c>
      <c r="F87" s="1" t="s">
        <v>471</v>
      </c>
      <c r="G87" s="6">
        <v>96</v>
      </c>
      <c r="H87" s="8">
        <f>tblInventory[[#This Row],[Stock_Quantity]] * tblInventory[[#This Row],[Unit_Price]]</f>
        <v>427.20000000000005</v>
      </c>
      <c r="I87" s="1">
        <v>33</v>
      </c>
      <c r="J87" s="1">
        <v>72</v>
      </c>
      <c r="K87" s="8">
        <f>tblInventory[[#This Row],[Reorder_Quantity]]*M87</f>
        <v>320.40000000000003</v>
      </c>
      <c r="L87" s="10">
        <f>tblInventory[[#This Row],[Stock_Quantity]] / tblInventory[[#This Row],[Reorder_Quantity]]</f>
        <v>1.3333333333333333</v>
      </c>
      <c r="M87" s="3">
        <v>4.45</v>
      </c>
      <c r="N87" s="10">
        <f t="shared" si="2"/>
        <v>1.6298811544991512</v>
      </c>
      <c r="O87" s="2">
        <v>45568</v>
      </c>
      <c r="P87" s="1" t="s">
        <v>323</v>
      </c>
      <c r="Q87" s="2">
        <v>45303</v>
      </c>
      <c r="R87" s="1" t="s">
        <v>472</v>
      </c>
      <c r="S87" s="1">
        <v>74</v>
      </c>
      <c r="T87" s="1">
        <v>100</v>
      </c>
      <c r="U87" s="1" t="s">
        <v>46</v>
      </c>
      <c r="V87" s="3">
        <f>tblInventory[[#This Row],[Stock_Quantity]]*tblInventory[[#This Row],[Unit_Price]]</f>
        <v>427.20000000000005</v>
      </c>
      <c r="W87" s="1" t="str">
        <f>IF(tblInventory[[#This Row],[Status]]="Discontinued","INACTIVE",
IF(tblInventory[[#This Row],[Stock_Quantity]] &lt; tblInventory[[#This Row],[Reorder_Level]],"REORDER","OK"))</f>
        <v>OK</v>
      </c>
      <c r="X87" s="1" t="str">
        <f t="shared" ca="1" si="3"/>
        <v>Expired</v>
      </c>
    </row>
    <row r="88" spans="1:24">
      <c r="A88" s="1">
        <v>87</v>
      </c>
      <c r="B88" s="1" t="s">
        <v>810</v>
      </c>
      <c r="C88" s="1" t="s">
        <v>469</v>
      </c>
      <c r="D88" s="1" t="s">
        <v>49</v>
      </c>
      <c r="E88" s="1" t="s">
        <v>811</v>
      </c>
      <c r="F88" s="1" t="s">
        <v>257</v>
      </c>
      <c r="G88" s="6">
        <v>70</v>
      </c>
      <c r="H88" s="8">
        <f>tblInventory[[#This Row],[Stock_Quantity]] * tblInventory[[#This Row],[Unit_Price]]</f>
        <v>315</v>
      </c>
      <c r="I88" s="1">
        <v>31</v>
      </c>
      <c r="J88" s="1">
        <v>55</v>
      </c>
      <c r="K88" s="8">
        <f>tblInventory[[#This Row],[Reorder_Quantity]]*M88</f>
        <v>247.5</v>
      </c>
      <c r="L88" s="10">
        <f>tblInventory[[#This Row],[Stock_Quantity]] / tblInventory[[#This Row],[Reorder_Quantity]]</f>
        <v>1.2727272727272727</v>
      </c>
      <c r="M88" s="3">
        <v>4.5</v>
      </c>
      <c r="N88" s="10">
        <f t="shared" si="2"/>
        <v>1.1884550084889645</v>
      </c>
      <c r="O88" s="1" t="s">
        <v>577</v>
      </c>
      <c r="P88" s="1" t="s">
        <v>812</v>
      </c>
      <c r="Q88" s="2">
        <v>45871</v>
      </c>
      <c r="R88" s="1" t="s">
        <v>813</v>
      </c>
      <c r="S88" s="1">
        <v>23</v>
      </c>
      <c r="T88" s="1">
        <v>80</v>
      </c>
      <c r="U88" s="1" t="s">
        <v>24</v>
      </c>
      <c r="V88" s="3">
        <f>tblInventory[[#This Row],[Stock_Quantity]]*tblInventory[[#This Row],[Unit_Price]]</f>
        <v>315</v>
      </c>
      <c r="W88" s="1" t="str">
        <f>IF(tblInventory[[#This Row],[Status]]="Discontinued","INACTIVE",
IF(tblInventory[[#This Row],[Stock_Quantity]] &lt; tblInventory[[#This Row],[Reorder_Level]],"REORDER","OK"))</f>
        <v>INACTIVE</v>
      </c>
      <c r="X88" s="1" t="str">
        <f t="shared" ca="1" si="3"/>
        <v>Expired</v>
      </c>
    </row>
    <row r="89" spans="1:24">
      <c r="A89" s="1">
        <v>88</v>
      </c>
      <c r="B89" s="1" t="s">
        <v>814</v>
      </c>
      <c r="C89" s="1" t="s">
        <v>469</v>
      </c>
      <c r="D89" s="1" t="s">
        <v>49</v>
      </c>
      <c r="E89" s="1" t="s">
        <v>815</v>
      </c>
      <c r="F89" s="1" t="s">
        <v>816</v>
      </c>
      <c r="G89" s="6">
        <v>50</v>
      </c>
      <c r="H89" s="8">
        <f>tblInventory[[#This Row],[Stock_Quantity]] * tblInventory[[#This Row],[Unit_Price]]</f>
        <v>225</v>
      </c>
      <c r="I89" s="1">
        <v>3</v>
      </c>
      <c r="J89" s="1">
        <v>88</v>
      </c>
      <c r="K89" s="8">
        <f>tblInventory[[#This Row],[Reorder_Quantity]]*M89</f>
        <v>396</v>
      </c>
      <c r="L89" s="10">
        <f>tblInventory[[#This Row],[Stock_Quantity]] / tblInventory[[#This Row],[Reorder_Quantity]]</f>
        <v>0.56818181818181823</v>
      </c>
      <c r="M89" s="3">
        <v>4.5</v>
      </c>
      <c r="N89" s="10">
        <f t="shared" si="2"/>
        <v>0.84889643463497455</v>
      </c>
      <c r="O89" s="1" t="s">
        <v>372</v>
      </c>
      <c r="P89" s="1" t="s">
        <v>115</v>
      </c>
      <c r="Q89" s="2">
        <v>45902</v>
      </c>
      <c r="R89" s="1" t="s">
        <v>817</v>
      </c>
      <c r="S89" s="1">
        <v>69</v>
      </c>
      <c r="T89" s="1">
        <v>73</v>
      </c>
      <c r="U89" s="1" t="s">
        <v>24</v>
      </c>
      <c r="V89" s="3">
        <f>tblInventory[[#This Row],[Stock_Quantity]]*tblInventory[[#This Row],[Unit_Price]]</f>
        <v>225</v>
      </c>
      <c r="W89" s="1" t="str">
        <f>IF(tblInventory[[#This Row],[Status]]="Discontinued","INACTIVE",
IF(tblInventory[[#This Row],[Stock_Quantity]] &lt; tblInventory[[#This Row],[Reorder_Level]],"REORDER","OK"))</f>
        <v>INACTIVE</v>
      </c>
      <c r="X89" s="1" t="str">
        <f t="shared" ca="1" si="3"/>
        <v>Expired</v>
      </c>
    </row>
    <row r="90" spans="1:24">
      <c r="A90" s="1">
        <v>89</v>
      </c>
      <c r="B90" s="1" t="s">
        <v>1246</v>
      </c>
      <c r="C90" s="1" t="s">
        <v>469</v>
      </c>
      <c r="D90" s="1" t="s">
        <v>49</v>
      </c>
      <c r="E90" s="1" t="s">
        <v>1247</v>
      </c>
      <c r="F90" s="1" t="s">
        <v>1216</v>
      </c>
      <c r="G90" s="6">
        <v>46</v>
      </c>
      <c r="H90" s="8">
        <f>tblInventory[[#This Row],[Stock_Quantity]] * tblInventory[[#This Row],[Unit_Price]]</f>
        <v>211.6</v>
      </c>
      <c r="I90" s="1">
        <v>64</v>
      </c>
      <c r="J90" s="1">
        <v>17</v>
      </c>
      <c r="K90" s="8">
        <f>tblInventory[[#This Row],[Reorder_Quantity]]*M90</f>
        <v>78.199999999999989</v>
      </c>
      <c r="L90" s="10">
        <f>tblInventory[[#This Row],[Stock_Quantity]] / tblInventory[[#This Row],[Reorder_Quantity]]</f>
        <v>2.7058823529411766</v>
      </c>
      <c r="M90" s="3">
        <v>4.5999999999999996</v>
      </c>
      <c r="N90" s="10">
        <f t="shared" si="2"/>
        <v>0.78098471986417661</v>
      </c>
      <c r="O90" s="2">
        <v>45294</v>
      </c>
      <c r="P90" s="2">
        <v>45809</v>
      </c>
      <c r="Q90" s="2">
        <v>45801</v>
      </c>
      <c r="R90" s="1" t="s">
        <v>1248</v>
      </c>
      <c r="S90" s="1">
        <v>96</v>
      </c>
      <c r="T90" s="1">
        <v>55</v>
      </c>
      <c r="U90" s="1" t="s">
        <v>24</v>
      </c>
      <c r="V90" s="3">
        <f>tblInventory[[#This Row],[Stock_Quantity]]*tblInventory[[#This Row],[Unit_Price]]</f>
        <v>211.6</v>
      </c>
      <c r="W90" s="1" t="str">
        <f>IF(tblInventory[[#This Row],[Status]]="Discontinued","INACTIVE",
IF(tblInventory[[#This Row],[Stock_Quantity]] &lt; tblInventory[[#This Row],[Reorder_Level]],"REORDER","OK"))</f>
        <v>INACTIVE</v>
      </c>
      <c r="X90" s="1" t="str">
        <f t="shared" ca="1" si="3"/>
        <v>Expired</v>
      </c>
    </row>
    <row r="91" spans="1:24">
      <c r="A91" s="1">
        <v>90</v>
      </c>
      <c r="B91" s="1" t="s">
        <v>1639</v>
      </c>
      <c r="C91" s="1" t="s">
        <v>469</v>
      </c>
      <c r="D91" s="1" t="s">
        <v>49</v>
      </c>
      <c r="E91" s="1" t="s">
        <v>1640</v>
      </c>
      <c r="F91" s="1" t="s">
        <v>1641</v>
      </c>
      <c r="G91" s="6">
        <v>75</v>
      </c>
      <c r="H91" s="8">
        <f>tblInventory[[#This Row],[Stock_Quantity]] * tblInventory[[#This Row],[Unit_Price]]</f>
        <v>337.5</v>
      </c>
      <c r="I91" s="1">
        <v>85</v>
      </c>
      <c r="J91" s="1">
        <v>27</v>
      </c>
      <c r="K91" s="8">
        <f>tblInventory[[#This Row],[Reorder_Quantity]]*M91</f>
        <v>121.5</v>
      </c>
      <c r="L91" s="10">
        <f>tblInventory[[#This Row],[Stock_Quantity]] / tblInventory[[#This Row],[Reorder_Quantity]]</f>
        <v>2.7777777777777777</v>
      </c>
      <c r="M91" s="3">
        <v>4.5</v>
      </c>
      <c r="N91" s="10">
        <f t="shared" si="2"/>
        <v>1.2733446519524618</v>
      </c>
      <c r="O91" s="1" t="s">
        <v>185</v>
      </c>
      <c r="P91" s="2">
        <v>45541</v>
      </c>
      <c r="Q91" s="2">
        <v>45847</v>
      </c>
      <c r="R91" s="1" t="s">
        <v>1642</v>
      </c>
      <c r="S91" s="1">
        <v>26</v>
      </c>
      <c r="T91" s="1">
        <v>68</v>
      </c>
      <c r="U91" s="1" t="s">
        <v>24</v>
      </c>
      <c r="V91" s="3">
        <f>tblInventory[[#This Row],[Stock_Quantity]]*tblInventory[[#This Row],[Unit_Price]]</f>
        <v>337.5</v>
      </c>
      <c r="W91" s="1" t="str">
        <f>IF(tblInventory[[#This Row],[Status]]="Discontinued","INACTIVE",
IF(tblInventory[[#This Row],[Stock_Quantity]] &lt; tblInventory[[#This Row],[Reorder_Level]],"REORDER","OK"))</f>
        <v>INACTIVE</v>
      </c>
      <c r="X91" s="1" t="str">
        <f t="shared" ca="1" si="3"/>
        <v>Expired</v>
      </c>
    </row>
    <row r="92" spans="1:24">
      <c r="A92" s="1">
        <v>91</v>
      </c>
      <c r="B92" s="1" t="s">
        <v>2077</v>
      </c>
      <c r="C92" s="1" t="s">
        <v>469</v>
      </c>
      <c r="D92" s="1" t="s">
        <v>49</v>
      </c>
      <c r="E92" s="1" t="s">
        <v>2078</v>
      </c>
      <c r="F92" s="1" t="s">
        <v>2079</v>
      </c>
      <c r="G92" s="6">
        <v>26</v>
      </c>
      <c r="H92" s="8">
        <f>tblInventory[[#This Row],[Stock_Quantity]] * tblInventory[[#This Row],[Unit_Price]]</f>
        <v>114.4</v>
      </c>
      <c r="I92" s="1">
        <v>12</v>
      </c>
      <c r="J92" s="1">
        <v>43</v>
      </c>
      <c r="K92" s="8">
        <f>tblInventory[[#This Row],[Reorder_Quantity]]*M92</f>
        <v>189.20000000000002</v>
      </c>
      <c r="L92" s="10">
        <f>tblInventory[[#This Row],[Stock_Quantity]] / tblInventory[[#This Row],[Reorder_Quantity]]</f>
        <v>0.60465116279069764</v>
      </c>
      <c r="M92" s="3">
        <v>4.4000000000000004</v>
      </c>
      <c r="N92" s="10">
        <f t="shared" si="2"/>
        <v>0.44142614601018676</v>
      </c>
      <c r="O92" s="1" t="s">
        <v>682</v>
      </c>
      <c r="P92" s="1" t="s">
        <v>1031</v>
      </c>
      <c r="Q92" s="2">
        <v>46038</v>
      </c>
      <c r="R92" s="1" t="s">
        <v>2080</v>
      </c>
      <c r="S92" s="1">
        <v>73</v>
      </c>
      <c r="T92" s="1">
        <v>20</v>
      </c>
      <c r="U92" s="1" t="s">
        <v>38</v>
      </c>
      <c r="V92" s="3">
        <f>tblInventory[[#This Row],[Stock_Quantity]]*tblInventory[[#This Row],[Unit_Price]]</f>
        <v>114.4</v>
      </c>
      <c r="W92" s="1" t="str">
        <f>IF(tblInventory[[#This Row],[Status]]="Discontinued","INACTIVE",
IF(tblInventory[[#This Row],[Stock_Quantity]] &lt; tblInventory[[#This Row],[Reorder_Level]],"REORDER","OK"))</f>
        <v>OK</v>
      </c>
      <c r="X92" s="1" t="str">
        <f t="shared" ca="1" si="3"/>
        <v>Valid</v>
      </c>
    </row>
    <row r="93" spans="1:24">
      <c r="A93" s="1">
        <v>92</v>
      </c>
      <c r="B93" s="1" t="s">
        <v>2617</v>
      </c>
      <c r="C93" s="1" t="s">
        <v>469</v>
      </c>
      <c r="D93" s="1" t="s">
        <v>49</v>
      </c>
      <c r="E93" s="1" t="s">
        <v>2618</v>
      </c>
      <c r="F93" s="1" t="s">
        <v>1306</v>
      </c>
      <c r="G93" s="6">
        <v>49</v>
      </c>
      <c r="H93" s="8">
        <f>tblInventory[[#This Row],[Stock_Quantity]] * tblInventory[[#This Row],[Unit_Price]]</f>
        <v>220.5</v>
      </c>
      <c r="I93" s="1">
        <v>93</v>
      </c>
      <c r="J93" s="1">
        <v>15</v>
      </c>
      <c r="K93" s="8">
        <f>tblInventory[[#This Row],[Reorder_Quantity]]*M93</f>
        <v>67.5</v>
      </c>
      <c r="L93" s="10">
        <f>tblInventory[[#This Row],[Stock_Quantity]] / tblInventory[[#This Row],[Reorder_Quantity]]</f>
        <v>3.2666666666666666</v>
      </c>
      <c r="M93" s="3">
        <v>4.5</v>
      </c>
      <c r="N93" s="10">
        <f t="shared" si="2"/>
        <v>0.83191850594227501</v>
      </c>
      <c r="O93" s="1" t="s">
        <v>745</v>
      </c>
      <c r="P93" s="2">
        <v>45296</v>
      </c>
      <c r="Q93" s="2">
        <v>46203</v>
      </c>
      <c r="R93" s="1" t="s">
        <v>2619</v>
      </c>
      <c r="S93" s="1">
        <v>52</v>
      </c>
      <c r="T93" s="1">
        <v>31</v>
      </c>
      <c r="U93" s="1" t="s">
        <v>38</v>
      </c>
      <c r="V93" s="3">
        <f>tblInventory[[#This Row],[Stock_Quantity]]*tblInventory[[#This Row],[Unit_Price]]</f>
        <v>220.5</v>
      </c>
      <c r="W93" s="1" t="str">
        <f>IF(tblInventory[[#This Row],[Status]]="Discontinued","INACTIVE",
IF(tblInventory[[#This Row],[Stock_Quantity]] &lt; tblInventory[[#This Row],[Reorder_Level]],"REORDER","OK"))</f>
        <v>REORDER</v>
      </c>
      <c r="X93" s="1" t="str">
        <f t="shared" ca="1" si="3"/>
        <v>Valid</v>
      </c>
    </row>
    <row r="94" spans="1:24">
      <c r="A94" s="1">
        <v>93</v>
      </c>
      <c r="B94" s="1" t="s">
        <v>2773</v>
      </c>
      <c r="C94" s="1" t="s">
        <v>469</v>
      </c>
      <c r="D94" s="1" t="s">
        <v>49</v>
      </c>
      <c r="E94" s="1" t="s">
        <v>2774</v>
      </c>
      <c r="F94" s="1" t="s">
        <v>1986</v>
      </c>
      <c r="G94" s="6">
        <v>84</v>
      </c>
      <c r="H94" s="8">
        <f>tblInventory[[#This Row],[Stock_Quantity]] * tblInventory[[#This Row],[Unit_Price]]</f>
        <v>378</v>
      </c>
      <c r="I94" s="1">
        <v>26</v>
      </c>
      <c r="J94" s="1">
        <v>37</v>
      </c>
      <c r="K94" s="8">
        <f>tblInventory[[#This Row],[Reorder_Quantity]]*M94</f>
        <v>166.5</v>
      </c>
      <c r="L94" s="10">
        <f>tblInventory[[#This Row],[Stock_Quantity]] / tblInventory[[#This Row],[Reorder_Quantity]]</f>
        <v>2.2702702702702702</v>
      </c>
      <c r="M94" s="3">
        <v>4.5</v>
      </c>
      <c r="N94" s="10">
        <f t="shared" si="2"/>
        <v>1.4261460101867574</v>
      </c>
      <c r="O94" s="1" t="s">
        <v>609</v>
      </c>
      <c r="P94" s="1" t="s">
        <v>122</v>
      </c>
      <c r="Q94" s="2">
        <v>46252</v>
      </c>
      <c r="R94" s="1" t="s">
        <v>2775</v>
      </c>
      <c r="S94" s="1">
        <v>46</v>
      </c>
      <c r="T94" s="1">
        <v>67</v>
      </c>
      <c r="U94" s="1" t="s">
        <v>38</v>
      </c>
      <c r="V94" s="3">
        <f>tblInventory[[#This Row],[Stock_Quantity]]*tblInventory[[#This Row],[Unit_Price]]</f>
        <v>378</v>
      </c>
      <c r="W94" s="1" t="str">
        <f>IF(tblInventory[[#This Row],[Status]]="Discontinued","INACTIVE",
IF(tblInventory[[#This Row],[Stock_Quantity]] &lt; tblInventory[[#This Row],[Reorder_Level]],"REORDER","OK"))</f>
        <v>OK</v>
      </c>
      <c r="X94" s="1" t="str">
        <f t="shared" ca="1" si="3"/>
        <v>Valid</v>
      </c>
    </row>
    <row r="95" spans="1:24">
      <c r="A95" s="1">
        <v>94</v>
      </c>
      <c r="B95" s="1" t="s">
        <v>2839</v>
      </c>
      <c r="C95" s="1" t="s">
        <v>469</v>
      </c>
      <c r="D95" s="1" t="s">
        <v>49</v>
      </c>
      <c r="E95" s="1" t="s">
        <v>2840</v>
      </c>
      <c r="F95" s="1" t="s">
        <v>2841</v>
      </c>
      <c r="G95" s="6">
        <v>90</v>
      </c>
      <c r="H95" s="8">
        <f>tblInventory[[#This Row],[Stock_Quantity]] * tblInventory[[#This Row],[Unit_Price]]</f>
        <v>405</v>
      </c>
      <c r="I95" s="1">
        <v>22</v>
      </c>
      <c r="J95" s="1">
        <v>20</v>
      </c>
      <c r="K95" s="8">
        <f>tblInventory[[#This Row],[Reorder_Quantity]]*M95</f>
        <v>90</v>
      </c>
      <c r="L95" s="10">
        <f>tblInventory[[#This Row],[Stock_Quantity]] / tblInventory[[#This Row],[Reorder_Quantity]]</f>
        <v>4.5</v>
      </c>
      <c r="M95" s="3">
        <v>4.5</v>
      </c>
      <c r="N95" s="10">
        <f t="shared" si="2"/>
        <v>1.5280135823429541</v>
      </c>
      <c r="O95" s="1" t="s">
        <v>115</v>
      </c>
      <c r="P95" s="1" t="s">
        <v>184</v>
      </c>
      <c r="Q95" s="2">
        <v>46182</v>
      </c>
      <c r="R95" s="1" t="s">
        <v>2842</v>
      </c>
      <c r="S95" s="1">
        <v>81</v>
      </c>
      <c r="T95" s="1">
        <v>88</v>
      </c>
      <c r="U95" s="1" t="s">
        <v>38</v>
      </c>
      <c r="V95" s="3">
        <f>tblInventory[[#This Row],[Stock_Quantity]]*tblInventory[[#This Row],[Unit_Price]]</f>
        <v>405</v>
      </c>
      <c r="W95" s="1" t="str">
        <f>IF(tblInventory[[#This Row],[Status]]="Discontinued","INACTIVE",
IF(tblInventory[[#This Row],[Stock_Quantity]] &lt; tblInventory[[#This Row],[Reorder_Level]],"REORDER","OK"))</f>
        <v>OK</v>
      </c>
      <c r="X95" s="1" t="str">
        <f t="shared" ca="1" si="3"/>
        <v>Valid</v>
      </c>
    </row>
    <row r="96" spans="1:24">
      <c r="A96" s="1">
        <v>95</v>
      </c>
      <c r="B96" s="1" t="s">
        <v>2906</v>
      </c>
      <c r="C96" s="1" t="s">
        <v>469</v>
      </c>
      <c r="D96" s="1" t="s">
        <v>49</v>
      </c>
      <c r="E96" s="1" t="s">
        <v>2907</v>
      </c>
      <c r="F96" s="1" t="s">
        <v>2908</v>
      </c>
      <c r="G96" s="6">
        <v>98</v>
      </c>
      <c r="H96" s="8">
        <f>tblInventory[[#This Row],[Stock_Quantity]] * tblInventory[[#This Row],[Unit_Price]]</f>
        <v>441</v>
      </c>
      <c r="I96" s="1">
        <v>43</v>
      </c>
      <c r="J96" s="1">
        <v>9</v>
      </c>
      <c r="K96" s="8">
        <f>tblInventory[[#This Row],[Reorder_Quantity]]*M96</f>
        <v>40.5</v>
      </c>
      <c r="L96" s="10">
        <f>tblInventory[[#This Row],[Stock_Quantity]] / tblInventory[[#This Row],[Reorder_Quantity]]</f>
        <v>10.888888888888889</v>
      </c>
      <c r="M96" s="3">
        <v>4.5</v>
      </c>
      <c r="N96" s="10">
        <f t="shared" si="2"/>
        <v>1.66383701188455</v>
      </c>
      <c r="O96" s="1" t="s">
        <v>1060</v>
      </c>
      <c r="P96" s="2">
        <v>45446</v>
      </c>
      <c r="Q96" s="2">
        <v>46291</v>
      </c>
      <c r="R96" s="1" t="s">
        <v>2909</v>
      </c>
      <c r="S96" s="1">
        <v>86</v>
      </c>
      <c r="T96" s="1">
        <v>62</v>
      </c>
      <c r="U96" s="1" t="s">
        <v>38</v>
      </c>
      <c r="V96" s="3">
        <f>tblInventory[[#This Row],[Stock_Quantity]]*tblInventory[[#This Row],[Unit_Price]]</f>
        <v>441</v>
      </c>
      <c r="W96" s="1" t="str">
        <f>IF(tblInventory[[#This Row],[Status]]="Discontinued","INACTIVE",
IF(tblInventory[[#This Row],[Stock_Quantity]] &lt; tblInventory[[#This Row],[Reorder_Level]],"REORDER","OK"))</f>
        <v>OK</v>
      </c>
      <c r="X96" s="1" t="str">
        <f t="shared" ca="1" si="3"/>
        <v>Valid</v>
      </c>
    </row>
    <row r="97" spans="1:24">
      <c r="A97" s="1">
        <v>96</v>
      </c>
      <c r="B97" s="1" t="s">
        <v>3552</v>
      </c>
      <c r="C97" s="1" t="s">
        <v>469</v>
      </c>
      <c r="D97" s="1" t="s">
        <v>49</v>
      </c>
      <c r="E97" s="1" t="s">
        <v>3553</v>
      </c>
      <c r="F97" s="1" t="s">
        <v>3554</v>
      </c>
      <c r="G97" s="6">
        <v>89</v>
      </c>
      <c r="H97" s="8">
        <f>tblInventory[[#This Row],[Stock_Quantity]] * tblInventory[[#This Row],[Unit_Price]]</f>
        <v>400.5</v>
      </c>
      <c r="I97" s="1">
        <v>96</v>
      </c>
      <c r="J97" s="1">
        <v>94</v>
      </c>
      <c r="K97" s="8">
        <f>tblInventory[[#This Row],[Reorder_Quantity]]*M97</f>
        <v>423</v>
      </c>
      <c r="L97" s="10">
        <f>tblInventory[[#This Row],[Stock_Quantity]] / tblInventory[[#This Row],[Reorder_Quantity]]</f>
        <v>0.94680851063829785</v>
      </c>
      <c r="M97" s="3">
        <v>4.5</v>
      </c>
      <c r="N97" s="10">
        <f t="shared" si="2"/>
        <v>1.5110356536502547</v>
      </c>
      <c r="O97" s="2">
        <v>45571</v>
      </c>
      <c r="P97" s="2">
        <v>45809</v>
      </c>
      <c r="Q97" s="2">
        <v>46500</v>
      </c>
      <c r="R97" s="1" t="s">
        <v>3555</v>
      </c>
      <c r="S97" s="1">
        <v>38</v>
      </c>
      <c r="T97" s="1">
        <v>96</v>
      </c>
      <c r="U97" s="1" t="s">
        <v>24</v>
      </c>
      <c r="V97" s="3">
        <f>tblInventory[[#This Row],[Stock_Quantity]]*tblInventory[[#This Row],[Unit_Price]]</f>
        <v>400.5</v>
      </c>
      <c r="W97" s="1" t="str">
        <f>IF(tblInventory[[#This Row],[Status]]="Discontinued","INACTIVE",
IF(tblInventory[[#This Row],[Stock_Quantity]] &lt; tblInventory[[#This Row],[Reorder_Level]],"REORDER","OK"))</f>
        <v>INACTIVE</v>
      </c>
      <c r="X97" s="1" t="str">
        <f t="shared" ca="1" si="3"/>
        <v>Valid</v>
      </c>
    </row>
    <row r="98" spans="1:24">
      <c r="A98" s="1">
        <v>97</v>
      </c>
      <c r="B98" s="1" t="s">
        <v>3559</v>
      </c>
      <c r="C98" s="1" t="s">
        <v>469</v>
      </c>
      <c r="D98" s="1" t="s">
        <v>49</v>
      </c>
      <c r="E98" s="1" t="s">
        <v>3560</v>
      </c>
      <c r="F98" s="1" t="s">
        <v>601</v>
      </c>
      <c r="G98" s="6">
        <v>94</v>
      </c>
      <c r="H98" s="8">
        <f>tblInventory[[#This Row],[Stock_Quantity]] * tblInventory[[#This Row],[Unit_Price]]</f>
        <v>423</v>
      </c>
      <c r="I98" s="1">
        <v>18</v>
      </c>
      <c r="J98" s="1">
        <v>84</v>
      </c>
      <c r="K98" s="8">
        <f>tblInventory[[#This Row],[Reorder_Quantity]]*M98</f>
        <v>378</v>
      </c>
      <c r="L98" s="10">
        <f>tblInventory[[#This Row],[Stock_Quantity]] / tblInventory[[#This Row],[Reorder_Quantity]]</f>
        <v>1.1190476190476191</v>
      </c>
      <c r="M98" s="3">
        <v>4.5</v>
      </c>
      <c r="N98" s="10">
        <f t="shared" si="2"/>
        <v>1.5959252971137521</v>
      </c>
      <c r="O98" s="2">
        <v>45748</v>
      </c>
      <c r="P98" s="1" t="s">
        <v>1150</v>
      </c>
      <c r="Q98" s="2">
        <v>46502</v>
      </c>
      <c r="R98" s="1" t="s">
        <v>3561</v>
      </c>
      <c r="S98" s="1">
        <v>44</v>
      </c>
      <c r="T98" s="1">
        <v>49</v>
      </c>
      <c r="U98" s="1" t="s">
        <v>24</v>
      </c>
      <c r="V98" s="3">
        <f>tblInventory[[#This Row],[Stock_Quantity]]*tblInventory[[#This Row],[Unit_Price]]</f>
        <v>423</v>
      </c>
      <c r="W98" s="1" t="str">
        <f>IF(tblInventory[[#This Row],[Status]]="Discontinued","INACTIVE",
IF(tblInventory[[#This Row],[Stock_Quantity]] &lt; tblInventory[[#This Row],[Reorder_Level]],"REORDER","OK"))</f>
        <v>INACTIVE</v>
      </c>
      <c r="X98" s="1" t="str">
        <f t="shared" ca="1" si="3"/>
        <v>Valid</v>
      </c>
    </row>
    <row r="99" spans="1:24">
      <c r="A99" s="1">
        <v>98</v>
      </c>
      <c r="B99" s="1" t="s">
        <v>294</v>
      </c>
      <c r="C99" s="1" t="s">
        <v>295</v>
      </c>
      <c r="D99" s="1" t="s">
        <v>27</v>
      </c>
      <c r="E99" s="1" t="s">
        <v>296</v>
      </c>
      <c r="F99" s="1" t="s">
        <v>190</v>
      </c>
      <c r="G99" s="6">
        <v>84</v>
      </c>
      <c r="H99" s="8">
        <f>tblInventory[[#This Row],[Stock_Quantity]] * tblInventory[[#This Row],[Unit_Price]]</f>
        <v>1260</v>
      </c>
      <c r="I99" s="1">
        <v>13</v>
      </c>
      <c r="J99" s="1">
        <v>88</v>
      </c>
      <c r="K99" s="8">
        <f>tblInventory[[#This Row],[Reorder_Quantity]]*M99</f>
        <v>1320</v>
      </c>
      <c r="L99" s="10">
        <f>tblInventory[[#This Row],[Stock_Quantity]] / tblInventory[[#This Row],[Reorder_Quantity]]</f>
        <v>0.95454545454545459</v>
      </c>
      <c r="M99" s="3">
        <v>15</v>
      </c>
      <c r="N99" s="10">
        <f t="shared" si="2"/>
        <v>1.4261460101867574</v>
      </c>
      <c r="O99" s="1" t="s">
        <v>297</v>
      </c>
      <c r="P99" s="2">
        <v>45394</v>
      </c>
      <c r="Q99" s="2">
        <v>45596</v>
      </c>
      <c r="R99" s="1" t="s">
        <v>299</v>
      </c>
      <c r="S99" s="1">
        <v>25</v>
      </c>
      <c r="T99" s="1">
        <v>34</v>
      </c>
      <c r="U99" s="1" t="s">
        <v>38</v>
      </c>
      <c r="V99" s="3">
        <f>tblInventory[[#This Row],[Stock_Quantity]]*tblInventory[[#This Row],[Unit_Price]]</f>
        <v>1260</v>
      </c>
      <c r="W99" s="1" t="str">
        <f>IF(tblInventory[[#This Row],[Status]]="Discontinued","INACTIVE",
IF(tblInventory[[#This Row],[Stock_Quantity]] &lt; tblInventory[[#This Row],[Reorder_Level]],"REORDER","OK"))</f>
        <v>OK</v>
      </c>
      <c r="X99" s="1" t="str">
        <f t="shared" ca="1" si="3"/>
        <v>Expired</v>
      </c>
    </row>
    <row r="100" spans="1:24">
      <c r="A100" s="1">
        <v>99</v>
      </c>
      <c r="B100" s="1" t="s">
        <v>426</v>
      </c>
      <c r="C100" s="1" t="s">
        <v>295</v>
      </c>
      <c r="D100" s="1" t="s">
        <v>27</v>
      </c>
      <c r="E100" s="1" t="s">
        <v>427</v>
      </c>
      <c r="F100" s="1" t="s">
        <v>263</v>
      </c>
      <c r="G100" s="6">
        <v>61</v>
      </c>
      <c r="H100" s="8">
        <f>tblInventory[[#This Row],[Stock_Quantity]] * tblInventory[[#This Row],[Unit_Price]]</f>
        <v>915</v>
      </c>
      <c r="I100" s="1">
        <v>43</v>
      </c>
      <c r="J100" s="1">
        <v>29</v>
      </c>
      <c r="K100" s="8">
        <f>tblInventory[[#This Row],[Reorder_Quantity]]*M100</f>
        <v>435</v>
      </c>
      <c r="L100" s="10">
        <f>tblInventory[[#This Row],[Stock_Quantity]] / tblInventory[[#This Row],[Reorder_Quantity]]</f>
        <v>2.103448275862069</v>
      </c>
      <c r="M100" s="3">
        <v>15</v>
      </c>
      <c r="N100" s="10">
        <f t="shared" si="2"/>
        <v>1.0356536502546689</v>
      </c>
      <c r="O100" s="2">
        <v>45718</v>
      </c>
      <c r="P100" s="1" t="s">
        <v>428</v>
      </c>
      <c r="Q100" s="2">
        <v>45619</v>
      </c>
      <c r="R100" s="1" t="s">
        <v>429</v>
      </c>
      <c r="S100" s="1">
        <v>67</v>
      </c>
      <c r="T100" s="1">
        <v>6</v>
      </c>
      <c r="U100" s="1" t="s">
        <v>24</v>
      </c>
      <c r="V100" s="3">
        <f>tblInventory[[#This Row],[Stock_Quantity]]*tblInventory[[#This Row],[Unit_Price]]</f>
        <v>915</v>
      </c>
      <c r="W100" s="1" t="str">
        <f>IF(tblInventory[[#This Row],[Status]]="Discontinued","INACTIVE",
IF(tblInventory[[#This Row],[Stock_Quantity]] &lt; tblInventory[[#This Row],[Reorder_Level]],"REORDER","OK"))</f>
        <v>INACTIVE</v>
      </c>
      <c r="X100" s="1" t="str">
        <f t="shared" ca="1" si="3"/>
        <v>Expired</v>
      </c>
    </row>
    <row r="101" spans="1:24">
      <c r="A101" s="1">
        <v>100</v>
      </c>
      <c r="B101" s="1" t="s">
        <v>1156</v>
      </c>
      <c r="C101" s="1" t="s">
        <v>295</v>
      </c>
      <c r="D101" s="1" t="s">
        <v>27</v>
      </c>
      <c r="E101" s="1" t="s">
        <v>1157</v>
      </c>
      <c r="F101" s="1" t="s">
        <v>978</v>
      </c>
      <c r="G101" s="6">
        <v>37</v>
      </c>
      <c r="H101" s="8">
        <f>tblInventory[[#This Row],[Stock_Quantity]] * tblInventory[[#This Row],[Unit_Price]]</f>
        <v>555</v>
      </c>
      <c r="I101" s="1">
        <v>94</v>
      </c>
      <c r="J101" s="1">
        <v>76</v>
      </c>
      <c r="K101" s="8">
        <f>tblInventory[[#This Row],[Reorder_Quantity]]*M101</f>
        <v>1140</v>
      </c>
      <c r="L101" s="10">
        <f>tblInventory[[#This Row],[Stock_Quantity]] / tblInventory[[#This Row],[Reorder_Quantity]]</f>
        <v>0.48684210526315791</v>
      </c>
      <c r="M101" s="3">
        <v>15</v>
      </c>
      <c r="N101" s="10">
        <f t="shared" si="2"/>
        <v>0.6281833616298812</v>
      </c>
      <c r="O101" s="1" t="s">
        <v>548</v>
      </c>
      <c r="P101" s="1" t="s">
        <v>258</v>
      </c>
      <c r="Q101" s="2">
        <v>45662</v>
      </c>
      <c r="R101" s="1" t="s">
        <v>1158</v>
      </c>
      <c r="S101" s="1">
        <v>94</v>
      </c>
      <c r="T101" s="1">
        <v>66</v>
      </c>
      <c r="U101" s="1" t="s">
        <v>38</v>
      </c>
      <c r="V101" s="3">
        <f>tblInventory[[#This Row],[Stock_Quantity]]*tblInventory[[#This Row],[Unit_Price]]</f>
        <v>555</v>
      </c>
      <c r="W101" s="1" t="str">
        <f>IF(tblInventory[[#This Row],[Status]]="Discontinued","INACTIVE",
IF(tblInventory[[#This Row],[Stock_Quantity]] &lt; tblInventory[[#This Row],[Reorder_Level]],"REORDER","OK"))</f>
        <v>REORDER</v>
      </c>
      <c r="X101" s="1" t="str">
        <f t="shared" ca="1" si="3"/>
        <v>Expired</v>
      </c>
    </row>
    <row r="102" spans="1:24">
      <c r="A102" s="1">
        <v>101</v>
      </c>
      <c r="B102" s="1" t="s">
        <v>1880</v>
      </c>
      <c r="C102" s="1" t="s">
        <v>295</v>
      </c>
      <c r="D102" s="1" t="s">
        <v>27</v>
      </c>
      <c r="E102" s="1" t="s">
        <v>1881</v>
      </c>
      <c r="F102" s="1" t="s">
        <v>1882</v>
      </c>
      <c r="G102" s="6">
        <v>24</v>
      </c>
      <c r="H102" s="8">
        <f>tblInventory[[#This Row],[Stock_Quantity]] * tblInventory[[#This Row],[Unit_Price]]</f>
        <v>372</v>
      </c>
      <c r="I102" s="1">
        <v>77</v>
      </c>
      <c r="J102" s="1">
        <v>32</v>
      </c>
      <c r="K102" s="8">
        <f>tblInventory[[#This Row],[Reorder_Quantity]]*M102</f>
        <v>496</v>
      </c>
      <c r="L102" s="10">
        <f>tblInventory[[#This Row],[Stock_Quantity]] / tblInventory[[#This Row],[Reorder_Quantity]]</f>
        <v>0.75</v>
      </c>
      <c r="M102" s="3">
        <v>15.5</v>
      </c>
      <c r="N102" s="10">
        <f t="shared" si="2"/>
        <v>0.40747028862478779</v>
      </c>
      <c r="O102" s="1" t="s">
        <v>64</v>
      </c>
      <c r="P102" s="2">
        <v>45571</v>
      </c>
      <c r="Q102" s="2">
        <v>45977</v>
      </c>
      <c r="R102" s="1" t="s">
        <v>1883</v>
      </c>
      <c r="S102" s="1">
        <v>80</v>
      </c>
      <c r="T102" s="1">
        <v>42</v>
      </c>
      <c r="U102" s="1" t="s">
        <v>24</v>
      </c>
      <c r="V102" s="3">
        <f>tblInventory[[#This Row],[Stock_Quantity]]*tblInventory[[#This Row],[Unit_Price]]</f>
        <v>372</v>
      </c>
      <c r="W102" s="1" t="str">
        <f>IF(tblInventory[[#This Row],[Status]]="Discontinued","INACTIVE",
IF(tblInventory[[#This Row],[Stock_Quantity]] &lt; tblInventory[[#This Row],[Reorder_Level]],"REORDER","OK"))</f>
        <v>INACTIVE</v>
      </c>
      <c r="X102" s="1" t="str">
        <f t="shared" ca="1" si="3"/>
        <v>Expired</v>
      </c>
    </row>
    <row r="103" spans="1:24">
      <c r="A103" s="1">
        <v>102</v>
      </c>
      <c r="B103" s="1" t="s">
        <v>1888</v>
      </c>
      <c r="C103" s="1" t="s">
        <v>295</v>
      </c>
      <c r="D103" s="1" t="s">
        <v>27</v>
      </c>
      <c r="E103" s="1" t="s">
        <v>1889</v>
      </c>
      <c r="F103" s="1" t="s">
        <v>121</v>
      </c>
      <c r="G103" s="6">
        <v>11</v>
      </c>
      <c r="H103" s="8">
        <f>tblInventory[[#This Row],[Stock_Quantity]] * tblInventory[[#This Row],[Unit_Price]]</f>
        <v>165</v>
      </c>
      <c r="I103" s="1">
        <v>72</v>
      </c>
      <c r="J103" s="1">
        <v>5</v>
      </c>
      <c r="K103" s="8">
        <f>tblInventory[[#This Row],[Reorder_Quantity]]*M103</f>
        <v>75</v>
      </c>
      <c r="L103" s="10">
        <f>tblInventory[[#This Row],[Stock_Quantity]] / tblInventory[[#This Row],[Reorder_Quantity]]</f>
        <v>2.2000000000000002</v>
      </c>
      <c r="M103" s="3">
        <v>15</v>
      </c>
      <c r="N103" s="10">
        <f t="shared" si="2"/>
        <v>0.18675721561969441</v>
      </c>
      <c r="O103" s="2">
        <v>45511</v>
      </c>
      <c r="P103" s="2">
        <v>45606</v>
      </c>
      <c r="Q103" s="2">
        <v>45979</v>
      </c>
      <c r="R103" s="1" t="s">
        <v>1890</v>
      </c>
      <c r="S103" s="1">
        <v>89</v>
      </c>
      <c r="T103" s="1">
        <v>4</v>
      </c>
      <c r="U103" s="1" t="s">
        <v>46</v>
      </c>
      <c r="V103" s="3">
        <f>tblInventory[[#This Row],[Stock_Quantity]]*tblInventory[[#This Row],[Unit_Price]]</f>
        <v>165</v>
      </c>
      <c r="W103" s="1" t="str">
        <f>IF(tblInventory[[#This Row],[Status]]="Discontinued","INACTIVE",
IF(tblInventory[[#This Row],[Stock_Quantity]] &lt; tblInventory[[#This Row],[Reorder_Level]],"REORDER","OK"))</f>
        <v>REORDER</v>
      </c>
      <c r="X103" s="1" t="str">
        <f t="shared" ca="1" si="3"/>
        <v>Expired</v>
      </c>
    </row>
    <row r="104" spans="1:24">
      <c r="A104" s="1">
        <v>103</v>
      </c>
      <c r="B104" s="1" t="s">
        <v>2161</v>
      </c>
      <c r="C104" s="1" t="s">
        <v>295</v>
      </c>
      <c r="D104" s="1" t="s">
        <v>27</v>
      </c>
      <c r="E104" s="1" t="s">
        <v>2162</v>
      </c>
      <c r="F104" s="1" t="s">
        <v>2163</v>
      </c>
      <c r="G104" s="6">
        <v>62</v>
      </c>
      <c r="H104" s="8">
        <f>tblInventory[[#This Row],[Stock_Quantity]] * tblInventory[[#This Row],[Unit_Price]]</f>
        <v>961</v>
      </c>
      <c r="I104" s="1">
        <v>23</v>
      </c>
      <c r="J104" s="1">
        <v>25</v>
      </c>
      <c r="K104" s="8">
        <f>tblInventory[[#This Row],[Reorder_Quantity]]*M104</f>
        <v>387.5</v>
      </c>
      <c r="L104" s="10">
        <f>tblInventory[[#This Row],[Stock_Quantity]] / tblInventory[[#This Row],[Reorder_Quantity]]</f>
        <v>2.48</v>
      </c>
      <c r="M104" s="3">
        <v>15.5</v>
      </c>
      <c r="N104" s="10">
        <f t="shared" si="2"/>
        <v>1.0526315789473684</v>
      </c>
      <c r="O104" s="1" t="s">
        <v>253</v>
      </c>
      <c r="P104" s="1" t="s">
        <v>610</v>
      </c>
      <c r="Q104" s="2">
        <v>46328</v>
      </c>
      <c r="R104" s="1" t="s">
        <v>2164</v>
      </c>
      <c r="S104" s="1">
        <v>34</v>
      </c>
      <c r="T104" s="1">
        <v>68</v>
      </c>
      <c r="U104" s="1" t="s">
        <v>24</v>
      </c>
      <c r="V104" s="3">
        <f>tblInventory[[#This Row],[Stock_Quantity]]*tblInventory[[#This Row],[Unit_Price]]</f>
        <v>961</v>
      </c>
      <c r="W104" s="1" t="str">
        <f>IF(tblInventory[[#This Row],[Status]]="Discontinued","INACTIVE",
IF(tblInventory[[#This Row],[Stock_Quantity]] &lt; tblInventory[[#This Row],[Reorder_Level]],"REORDER","OK"))</f>
        <v>INACTIVE</v>
      </c>
      <c r="X104" s="1" t="str">
        <f t="shared" ca="1" si="3"/>
        <v>Valid</v>
      </c>
    </row>
    <row r="105" spans="1:24">
      <c r="A105" s="1">
        <v>104</v>
      </c>
      <c r="B105" s="1" t="s">
        <v>2823</v>
      </c>
      <c r="C105" s="1" t="s">
        <v>295</v>
      </c>
      <c r="D105" s="1" t="s">
        <v>27</v>
      </c>
      <c r="E105" s="1" t="s">
        <v>2824</v>
      </c>
      <c r="F105" s="1" t="s">
        <v>1852</v>
      </c>
      <c r="G105" s="6">
        <v>78</v>
      </c>
      <c r="H105" s="8">
        <f>tblInventory[[#This Row],[Stock_Quantity]] * tblInventory[[#This Row],[Unit_Price]]</f>
        <v>1170</v>
      </c>
      <c r="I105" s="1">
        <v>38</v>
      </c>
      <c r="J105" s="1">
        <v>27</v>
      </c>
      <c r="K105" s="8">
        <f>tblInventory[[#This Row],[Reorder_Quantity]]*M105</f>
        <v>405</v>
      </c>
      <c r="L105" s="10">
        <f>tblInventory[[#This Row],[Stock_Quantity]] / tblInventory[[#This Row],[Reorder_Quantity]]</f>
        <v>2.8888888888888888</v>
      </c>
      <c r="M105" s="3">
        <v>15</v>
      </c>
      <c r="N105" s="10">
        <f t="shared" si="2"/>
        <v>1.3242784380305603</v>
      </c>
      <c r="O105" s="2">
        <v>45447</v>
      </c>
      <c r="P105" s="2">
        <v>45542</v>
      </c>
      <c r="Q105" s="2">
        <v>46031</v>
      </c>
      <c r="R105" s="1" t="s">
        <v>2825</v>
      </c>
      <c r="S105" s="1">
        <v>54</v>
      </c>
      <c r="T105" s="1">
        <v>42</v>
      </c>
      <c r="U105" s="1" t="s">
        <v>46</v>
      </c>
      <c r="V105" s="3">
        <f>tblInventory[[#This Row],[Stock_Quantity]]*tblInventory[[#This Row],[Unit_Price]]</f>
        <v>1170</v>
      </c>
      <c r="W105" s="1" t="str">
        <f>IF(tblInventory[[#This Row],[Status]]="Discontinued","INACTIVE",
IF(tblInventory[[#This Row],[Stock_Quantity]] &lt; tblInventory[[#This Row],[Reorder_Level]],"REORDER","OK"))</f>
        <v>OK</v>
      </c>
      <c r="X105" s="1" t="str">
        <f t="shared" ca="1" si="3"/>
        <v>Valid</v>
      </c>
    </row>
    <row r="106" spans="1:24">
      <c r="A106" s="1">
        <v>105</v>
      </c>
      <c r="B106" s="1" t="s">
        <v>2989</v>
      </c>
      <c r="C106" s="1" t="s">
        <v>295</v>
      </c>
      <c r="D106" s="1" t="s">
        <v>27</v>
      </c>
      <c r="E106" s="1" t="s">
        <v>2990</v>
      </c>
      <c r="F106" s="1" t="s">
        <v>218</v>
      </c>
      <c r="G106" s="6">
        <v>33</v>
      </c>
      <c r="H106" s="8">
        <f>tblInventory[[#This Row],[Stock_Quantity]] * tblInventory[[#This Row],[Unit_Price]]</f>
        <v>495</v>
      </c>
      <c r="I106" s="1">
        <v>22</v>
      </c>
      <c r="J106" s="1">
        <v>94</v>
      </c>
      <c r="K106" s="8">
        <f>tblInventory[[#This Row],[Reorder_Quantity]]*M106</f>
        <v>1410</v>
      </c>
      <c r="L106" s="10">
        <f>tblInventory[[#This Row],[Stock_Quantity]] / tblInventory[[#This Row],[Reorder_Quantity]]</f>
        <v>0.35106382978723405</v>
      </c>
      <c r="M106" s="3">
        <v>15</v>
      </c>
      <c r="N106" s="10">
        <f t="shared" si="2"/>
        <v>0.56027164685908315</v>
      </c>
      <c r="O106" s="1" t="s">
        <v>343</v>
      </c>
      <c r="P106" s="1" t="s">
        <v>424</v>
      </c>
      <c r="Q106" s="2">
        <v>46318</v>
      </c>
      <c r="R106" s="1" t="s">
        <v>2991</v>
      </c>
      <c r="S106" s="1">
        <v>96</v>
      </c>
      <c r="T106" s="1">
        <v>56</v>
      </c>
      <c r="U106" s="1" t="s">
        <v>24</v>
      </c>
      <c r="V106" s="3">
        <f>tblInventory[[#This Row],[Stock_Quantity]]*tblInventory[[#This Row],[Unit_Price]]</f>
        <v>495</v>
      </c>
      <c r="W106" s="1" t="str">
        <f>IF(tblInventory[[#This Row],[Status]]="Discontinued","INACTIVE",
IF(tblInventory[[#This Row],[Stock_Quantity]] &lt; tblInventory[[#This Row],[Reorder_Level]],"REORDER","OK"))</f>
        <v>INACTIVE</v>
      </c>
      <c r="X106" s="1" t="str">
        <f t="shared" ca="1" si="3"/>
        <v>Valid</v>
      </c>
    </row>
    <row r="107" spans="1:24">
      <c r="A107" s="1">
        <v>106</v>
      </c>
      <c r="B107" s="1" t="s">
        <v>3008</v>
      </c>
      <c r="C107" s="1" t="s">
        <v>295</v>
      </c>
      <c r="D107" s="1" t="s">
        <v>27</v>
      </c>
      <c r="E107" s="1" t="s">
        <v>3009</v>
      </c>
      <c r="F107" s="1" t="s">
        <v>1124</v>
      </c>
      <c r="G107" s="6">
        <v>40</v>
      </c>
      <c r="H107" s="8">
        <f>tblInventory[[#This Row],[Stock_Quantity]] * tblInventory[[#This Row],[Unit_Price]]</f>
        <v>600</v>
      </c>
      <c r="I107" s="1">
        <v>30</v>
      </c>
      <c r="J107" s="1">
        <v>60</v>
      </c>
      <c r="K107" s="8">
        <f>tblInventory[[#This Row],[Reorder_Quantity]]*M107</f>
        <v>900</v>
      </c>
      <c r="L107" s="10">
        <f>tblInventory[[#This Row],[Stock_Quantity]] / tblInventory[[#This Row],[Reorder_Quantity]]</f>
        <v>0.66666666666666663</v>
      </c>
      <c r="M107" s="3">
        <v>15</v>
      </c>
      <c r="N107" s="10">
        <f t="shared" si="2"/>
        <v>0.6791171477079796</v>
      </c>
      <c r="O107" s="2">
        <v>45421</v>
      </c>
      <c r="P107" s="1" t="s">
        <v>389</v>
      </c>
      <c r="Q107" s="2">
        <v>46324</v>
      </c>
      <c r="R107" s="1" t="s">
        <v>3010</v>
      </c>
      <c r="S107" s="1">
        <v>33</v>
      </c>
      <c r="T107" s="1">
        <v>84</v>
      </c>
      <c r="U107" s="1" t="s">
        <v>46</v>
      </c>
      <c r="V107" s="3">
        <f>tblInventory[[#This Row],[Stock_Quantity]]*tblInventory[[#This Row],[Unit_Price]]</f>
        <v>600</v>
      </c>
      <c r="W107" s="1" t="str">
        <f>IF(tblInventory[[#This Row],[Status]]="Discontinued","INACTIVE",
IF(tblInventory[[#This Row],[Stock_Quantity]] &lt; tblInventory[[#This Row],[Reorder_Level]],"REORDER","OK"))</f>
        <v>OK</v>
      </c>
      <c r="X107" s="1" t="str">
        <f t="shared" ca="1" si="3"/>
        <v>Valid</v>
      </c>
    </row>
    <row r="108" spans="1:24">
      <c r="A108" s="1">
        <v>107</v>
      </c>
      <c r="B108" s="1" t="s">
        <v>3017</v>
      </c>
      <c r="C108" s="1" t="s">
        <v>295</v>
      </c>
      <c r="D108" s="1" t="s">
        <v>27</v>
      </c>
      <c r="E108" s="1" t="s">
        <v>3018</v>
      </c>
      <c r="F108" s="1" t="s">
        <v>2079</v>
      </c>
      <c r="G108" s="6">
        <v>87</v>
      </c>
      <c r="H108" s="8">
        <f>tblInventory[[#This Row],[Stock_Quantity]] * tblInventory[[#This Row],[Unit_Price]]</f>
        <v>1296.3</v>
      </c>
      <c r="I108" s="1">
        <v>91</v>
      </c>
      <c r="J108" s="1">
        <v>23</v>
      </c>
      <c r="K108" s="8">
        <f>tblInventory[[#This Row],[Reorder_Quantity]]*M108</f>
        <v>342.7</v>
      </c>
      <c r="L108" s="10">
        <f>tblInventory[[#This Row],[Stock_Quantity]] / tblInventory[[#This Row],[Reorder_Quantity]]</f>
        <v>3.7826086956521738</v>
      </c>
      <c r="M108" s="3">
        <v>14.9</v>
      </c>
      <c r="N108" s="10">
        <f t="shared" si="2"/>
        <v>1.4770797962648556</v>
      </c>
      <c r="O108" s="1" t="s">
        <v>621</v>
      </c>
      <c r="P108" s="1" t="s">
        <v>770</v>
      </c>
      <c r="Q108" s="2">
        <v>46033</v>
      </c>
      <c r="R108" s="1" t="s">
        <v>3019</v>
      </c>
      <c r="S108" s="1">
        <v>90</v>
      </c>
      <c r="T108" s="1">
        <v>75</v>
      </c>
      <c r="U108" s="1" t="s">
        <v>38</v>
      </c>
      <c r="V108" s="3">
        <f>tblInventory[[#This Row],[Stock_Quantity]]*tblInventory[[#This Row],[Unit_Price]]</f>
        <v>1296.3</v>
      </c>
      <c r="W108" s="1" t="str">
        <f>IF(tblInventory[[#This Row],[Status]]="Discontinued","INACTIVE",
IF(tblInventory[[#This Row],[Stock_Quantity]] &lt; tblInventory[[#This Row],[Reorder_Level]],"REORDER","OK"))</f>
        <v>REORDER</v>
      </c>
      <c r="X108" s="1" t="str">
        <f t="shared" ca="1" si="3"/>
        <v>Valid</v>
      </c>
    </row>
    <row r="109" spans="1:24">
      <c r="A109" s="1">
        <v>108</v>
      </c>
      <c r="B109" s="1" t="s">
        <v>32</v>
      </c>
      <c r="C109" s="1" t="s">
        <v>33</v>
      </c>
      <c r="D109" s="1" t="s">
        <v>17</v>
      </c>
      <c r="E109" s="1" t="s">
        <v>34</v>
      </c>
      <c r="F109" s="1" t="s">
        <v>35</v>
      </c>
      <c r="G109" s="6">
        <v>30</v>
      </c>
      <c r="H109" s="8">
        <f>tblInventory[[#This Row],[Stock_Quantity]] * tblInventory[[#This Row],[Unit_Price]]</f>
        <v>180</v>
      </c>
      <c r="I109" s="1">
        <v>38</v>
      </c>
      <c r="J109" s="1">
        <v>83</v>
      </c>
      <c r="K109" s="8">
        <f>tblInventory[[#This Row],[Reorder_Quantity]]*M109</f>
        <v>498</v>
      </c>
      <c r="L109" s="10">
        <f>tblInventory[[#This Row],[Stock_Quantity]] / tblInventory[[#This Row],[Reorder_Quantity]]</f>
        <v>0.36144578313253012</v>
      </c>
      <c r="M109" s="3">
        <v>6</v>
      </c>
      <c r="N109" s="10">
        <f t="shared" si="2"/>
        <v>0.50933786078098475</v>
      </c>
      <c r="O109" s="2">
        <v>45359</v>
      </c>
      <c r="P109" s="2">
        <v>45571</v>
      </c>
      <c r="Q109" s="2">
        <v>45556</v>
      </c>
      <c r="R109" s="1" t="s">
        <v>37</v>
      </c>
      <c r="S109" s="1">
        <v>31</v>
      </c>
      <c r="T109" s="1">
        <v>34</v>
      </c>
      <c r="U109" s="1" t="s">
        <v>38</v>
      </c>
      <c r="V109" s="3">
        <f>tblInventory[[#This Row],[Stock_Quantity]]*tblInventory[[#This Row],[Unit_Price]]</f>
        <v>180</v>
      </c>
      <c r="W109" s="1" t="str">
        <f>IF(tblInventory[[#This Row],[Status]]="Discontinued","INACTIVE",
IF(tblInventory[[#This Row],[Stock_Quantity]] &lt; tblInventory[[#This Row],[Reorder_Level]],"REORDER","OK"))</f>
        <v>REORDER</v>
      </c>
      <c r="X109" s="1" t="str">
        <f t="shared" ca="1" si="3"/>
        <v>Expired</v>
      </c>
    </row>
    <row r="110" spans="1:24">
      <c r="A110" s="1">
        <v>109</v>
      </c>
      <c r="B110" s="1" t="s">
        <v>678</v>
      </c>
      <c r="C110" s="1" t="s">
        <v>33</v>
      </c>
      <c r="D110" s="1" t="s">
        <v>17</v>
      </c>
      <c r="E110" s="1" t="s">
        <v>679</v>
      </c>
      <c r="F110" s="1" t="s">
        <v>680</v>
      </c>
      <c r="G110" s="6">
        <v>86</v>
      </c>
      <c r="H110" s="8">
        <f>tblInventory[[#This Row],[Stock_Quantity]] * tblInventory[[#This Row],[Unit_Price]]</f>
        <v>524.6</v>
      </c>
      <c r="I110" s="1">
        <v>100</v>
      </c>
      <c r="J110" s="1">
        <v>74</v>
      </c>
      <c r="K110" s="8">
        <f>tblInventory[[#This Row],[Reorder_Quantity]]*M110</f>
        <v>451.4</v>
      </c>
      <c r="L110" s="10">
        <f>tblInventory[[#This Row],[Stock_Quantity]] / tblInventory[[#This Row],[Reorder_Quantity]]</f>
        <v>1.1621621621621621</v>
      </c>
      <c r="M110" s="3">
        <v>6.1</v>
      </c>
      <c r="N110" s="10">
        <f t="shared" si="2"/>
        <v>1.4601018675721562</v>
      </c>
      <c r="O110" s="1" t="s">
        <v>681</v>
      </c>
      <c r="P110" s="1" t="s">
        <v>682</v>
      </c>
      <c r="Q110" s="2">
        <v>45962</v>
      </c>
      <c r="R110" s="1" t="s">
        <v>683</v>
      </c>
      <c r="S110" s="1">
        <v>80</v>
      </c>
      <c r="T110" s="1">
        <v>94</v>
      </c>
      <c r="U110" s="1" t="s">
        <v>46</v>
      </c>
      <c r="V110" s="3">
        <f>tblInventory[[#This Row],[Stock_Quantity]]*tblInventory[[#This Row],[Unit_Price]]</f>
        <v>524.6</v>
      </c>
      <c r="W110" s="1" t="str">
        <f>IF(tblInventory[[#This Row],[Status]]="Discontinued","INACTIVE",
IF(tblInventory[[#This Row],[Stock_Quantity]] &lt; tblInventory[[#This Row],[Reorder_Level]],"REORDER","OK"))</f>
        <v>REORDER</v>
      </c>
      <c r="X110" s="1" t="str">
        <f t="shared" ca="1" si="3"/>
        <v>Expired</v>
      </c>
    </row>
    <row r="111" spans="1:24">
      <c r="A111" s="1">
        <v>110</v>
      </c>
      <c r="B111" s="1" t="s">
        <v>763</v>
      </c>
      <c r="C111" s="1" t="s">
        <v>33</v>
      </c>
      <c r="D111" s="1" t="s">
        <v>17</v>
      </c>
      <c r="E111" s="1" t="s">
        <v>764</v>
      </c>
      <c r="F111" s="1" t="s">
        <v>765</v>
      </c>
      <c r="G111" s="6">
        <v>79</v>
      </c>
      <c r="H111" s="8">
        <f>tblInventory[[#This Row],[Stock_Quantity]] * tblInventory[[#This Row],[Unit_Price]]</f>
        <v>474</v>
      </c>
      <c r="I111" s="1">
        <v>98</v>
      </c>
      <c r="J111" s="1">
        <v>97</v>
      </c>
      <c r="K111" s="8">
        <f>tblInventory[[#This Row],[Reorder_Quantity]]*M111</f>
        <v>582</v>
      </c>
      <c r="L111" s="10">
        <f>tblInventory[[#This Row],[Stock_Quantity]] / tblInventory[[#This Row],[Reorder_Quantity]]</f>
        <v>0.81443298969072164</v>
      </c>
      <c r="M111" s="3">
        <v>6</v>
      </c>
      <c r="N111" s="10">
        <f t="shared" si="2"/>
        <v>1.3412563667232598</v>
      </c>
      <c r="O111" s="2">
        <v>45577</v>
      </c>
      <c r="P111" s="1" t="s">
        <v>682</v>
      </c>
      <c r="Q111" s="2">
        <v>45686</v>
      </c>
      <c r="R111" s="1" t="s">
        <v>767</v>
      </c>
      <c r="S111" s="1">
        <v>26</v>
      </c>
      <c r="T111" s="1">
        <v>21</v>
      </c>
      <c r="U111" s="1" t="s">
        <v>38</v>
      </c>
      <c r="V111" s="3">
        <f>tblInventory[[#This Row],[Stock_Quantity]]*tblInventory[[#This Row],[Unit_Price]]</f>
        <v>474</v>
      </c>
      <c r="W111" s="1" t="str">
        <f>IF(tblInventory[[#This Row],[Status]]="Discontinued","INACTIVE",
IF(tblInventory[[#This Row],[Stock_Quantity]] &lt; tblInventory[[#This Row],[Reorder_Level]],"REORDER","OK"))</f>
        <v>REORDER</v>
      </c>
      <c r="X111" s="1" t="str">
        <f t="shared" ca="1" si="3"/>
        <v>Expired</v>
      </c>
    </row>
    <row r="112" spans="1:24">
      <c r="A112" s="1">
        <v>111</v>
      </c>
      <c r="B112" s="1" t="s">
        <v>903</v>
      </c>
      <c r="C112" s="1" t="s">
        <v>33</v>
      </c>
      <c r="D112" s="1" t="s">
        <v>17</v>
      </c>
      <c r="E112" s="1" t="s">
        <v>904</v>
      </c>
      <c r="F112" s="1" t="s">
        <v>905</v>
      </c>
      <c r="G112" s="6">
        <v>34</v>
      </c>
      <c r="H112" s="8">
        <f>tblInventory[[#This Row],[Stock_Quantity]] * tblInventory[[#This Row],[Unit_Price]]</f>
        <v>209.10000000000002</v>
      </c>
      <c r="I112" s="1">
        <v>96</v>
      </c>
      <c r="J112" s="1">
        <v>76</v>
      </c>
      <c r="K112" s="8">
        <f>tblInventory[[#This Row],[Reorder_Quantity]]*M112</f>
        <v>467.40000000000003</v>
      </c>
      <c r="L112" s="10">
        <f>tblInventory[[#This Row],[Stock_Quantity]] / tblInventory[[#This Row],[Reorder_Quantity]]</f>
        <v>0.44736842105263158</v>
      </c>
      <c r="M112" s="3">
        <v>6.15</v>
      </c>
      <c r="N112" s="10">
        <f t="shared" si="2"/>
        <v>0.57724957555178269</v>
      </c>
      <c r="O112" s="2">
        <v>45361</v>
      </c>
      <c r="P112" s="2">
        <v>45455</v>
      </c>
      <c r="Q112" s="2">
        <v>45660</v>
      </c>
      <c r="R112" s="1" t="s">
        <v>906</v>
      </c>
      <c r="S112" s="1">
        <v>90</v>
      </c>
      <c r="T112" s="1">
        <v>34</v>
      </c>
      <c r="U112" s="1" t="s">
        <v>24</v>
      </c>
      <c r="V112" s="3">
        <f>tblInventory[[#This Row],[Stock_Quantity]]*tblInventory[[#This Row],[Unit_Price]]</f>
        <v>209.10000000000002</v>
      </c>
      <c r="W112" s="1" t="str">
        <f>IF(tblInventory[[#This Row],[Status]]="Discontinued","INACTIVE",
IF(tblInventory[[#This Row],[Stock_Quantity]] &lt; tblInventory[[#This Row],[Reorder_Level]],"REORDER","OK"))</f>
        <v>INACTIVE</v>
      </c>
      <c r="X112" s="1" t="str">
        <f t="shared" ca="1" si="3"/>
        <v>Expired</v>
      </c>
    </row>
    <row r="113" spans="1:24">
      <c r="A113" s="1">
        <v>112</v>
      </c>
      <c r="B113" s="1" t="s">
        <v>1047</v>
      </c>
      <c r="C113" s="1" t="s">
        <v>33</v>
      </c>
      <c r="D113" s="1" t="s">
        <v>17</v>
      </c>
      <c r="E113" s="1" t="s">
        <v>1048</v>
      </c>
      <c r="F113" s="1" t="s">
        <v>133</v>
      </c>
      <c r="G113" s="6">
        <v>68</v>
      </c>
      <c r="H113" s="8">
        <f>tblInventory[[#This Row],[Stock_Quantity]] * tblInventory[[#This Row],[Unit_Price]]</f>
        <v>408</v>
      </c>
      <c r="I113" s="1">
        <v>68</v>
      </c>
      <c r="J113" s="1">
        <v>97</v>
      </c>
      <c r="K113" s="8">
        <f>tblInventory[[#This Row],[Reorder_Quantity]]*M113</f>
        <v>582</v>
      </c>
      <c r="L113" s="10">
        <f>tblInventory[[#This Row],[Stock_Quantity]] / tblInventory[[#This Row],[Reorder_Quantity]]</f>
        <v>0.7010309278350515</v>
      </c>
      <c r="M113" s="3">
        <v>6</v>
      </c>
      <c r="N113" s="10">
        <f t="shared" si="2"/>
        <v>1.1544991511035654</v>
      </c>
      <c r="O113" s="2">
        <v>45511</v>
      </c>
      <c r="P113" s="1" t="s">
        <v>506</v>
      </c>
      <c r="Q113" s="2">
        <v>45781</v>
      </c>
      <c r="R113" s="1" t="s">
        <v>1049</v>
      </c>
      <c r="S113" s="1">
        <v>37</v>
      </c>
      <c r="T113" s="1">
        <v>31</v>
      </c>
      <c r="U113" s="1" t="s">
        <v>24</v>
      </c>
      <c r="V113" s="3">
        <f>tblInventory[[#This Row],[Stock_Quantity]]*tblInventory[[#This Row],[Unit_Price]]</f>
        <v>408</v>
      </c>
      <c r="W113" s="1" t="str">
        <f>IF(tblInventory[[#This Row],[Status]]="Discontinued","INACTIVE",
IF(tblInventory[[#This Row],[Stock_Quantity]] &lt; tblInventory[[#This Row],[Reorder_Level]],"REORDER","OK"))</f>
        <v>INACTIVE</v>
      </c>
      <c r="X113" s="1" t="str">
        <f t="shared" ca="1" si="3"/>
        <v>Expired</v>
      </c>
    </row>
    <row r="114" spans="1:24">
      <c r="A114" s="1">
        <v>113</v>
      </c>
      <c r="B114" s="1" t="s">
        <v>1505</v>
      </c>
      <c r="C114" s="1" t="s">
        <v>33</v>
      </c>
      <c r="D114" s="1" t="s">
        <v>17</v>
      </c>
      <c r="E114" s="1" t="s">
        <v>1506</v>
      </c>
      <c r="F114" s="1" t="s">
        <v>108</v>
      </c>
      <c r="G114" s="6">
        <v>85</v>
      </c>
      <c r="H114" s="8">
        <f>tblInventory[[#This Row],[Stock_Quantity]] * tblInventory[[#This Row],[Unit_Price]]</f>
        <v>552.5</v>
      </c>
      <c r="I114" s="1">
        <v>4</v>
      </c>
      <c r="J114" s="1">
        <v>75</v>
      </c>
      <c r="K114" s="8">
        <f>tblInventory[[#This Row],[Reorder_Quantity]]*M114</f>
        <v>487.5</v>
      </c>
      <c r="L114" s="10">
        <f>tblInventory[[#This Row],[Stock_Quantity]] / tblInventory[[#This Row],[Reorder_Quantity]]</f>
        <v>1.1333333333333333</v>
      </c>
      <c r="M114" s="3">
        <v>6.5</v>
      </c>
      <c r="N114" s="10">
        <f t="shared" si="2"/>
        <v>1.4431239388794568</v>
      </c>
      <c r="O114" s="1" t="s">
        <v>211</v>
      </c>
      <c r="P114" s="2">
        <v>45355</v>
      </c>
      <c r="Q114" s="2">
        <v>45868</v>
      </c>
      <c r="R114" s="1" t="s">
        <v>1507</v>
      </c>
      <c r="S114" s="1">
        <v>95</v>
      </c>
      <c r="T114" s="1">
        <v>70</v>
      </c>
      <c r="U114" s="1" t="s">
        <v>38</v>
      </c>
      <c r="V114" s="3">
        <f>tblInventory[[#This Row],[Stock_Quantity]]*tblInventory[[#This Row],[Unit_Price]]</f>
        <v>552.5</v>
      </c>
      <c r="W114" s="1" t="str">
        <f>IF(tblInventory[[#This Row],[Status]]="Discontinued","INACTIVE",
IF(tblInventory[[#This Row],[Stock_Quantity]] &lt; tblInventory[[#This Row],[Reorder_Level]],"REORDER","OK"))</f>
        <v>OK</v>
      </c>
      <c r="X114" s="1" t="str">
        <f t="shared" ca="1" si="3"/>
        <v>Expired</v>
      </c>
    </row>
    <row r="115" spans="1:24">
      <c r="A115" s="1">
        <v>114</v>
      </c>
      <c r="B115" s="1" t="s">
        <v>2595</v>
      </c>
      <c r="C115" s="1" t="s">
        <v>33</v>
      </c>
      <c r="D115" s="1" t="s">
        <v>17</v>
      </c>
      <c r="E115" s="1" t="s">
        <v>2596</v>
      </c>
      <c r="F115" s="1" t="s">
        <v>1872</v>
      </c>
      <c r="G115" s="6">
        <v>49</v>
      </c>
      <c r="H115" s="8">
        <f>tblInventory[[#This Row],[Stock_Quantity]] * tblInventory[[#This Row],[Unit_Price]]</f>
        <v>306.25</v>
      </c>
      <c r="I115" s="1">
        <v>3</v>
      </c>
      <c r="J115" s="1">
        <v>7</v>
      </c>
      <c r="K115" s="8">
        <f>tblInventory[[#This Row],[Reorder_Quantity]]*M115</f>
        <v>43.75</v>
      </c>
      <c r="L115" s="10">
        <f>tblInventory[[#This Row],[Stock_Quantity]] / tblInventory[[#This Row],[Reorder_Quantity]]</f>
        <v>7</v>
      </c>
      <c r="M115" s="3">
        <v>6.25</v>
      </c>
      <c r="N115" s="10">
        <f t="shared" si="2"/>
        <v>0.83191850594227501</v>
      </c>
      <c r="O115" s="1" t="s">
        <v>22</v>
      </c>
      <c r="P115" s="1" t="s">
        <v>923</v>
      </c>
      <c r="Q115" s="2">
        <v>46196</v>
      </c>
      <c r="R115" s="1" t="s">
        <v>2597</v>
      </c>
      <c r="S115" s="1">
        <v>75</v>
      </c>
      <c r="T115" s="1">
        <v>46</v>
      </c>
      <c r="U115" s="1" t="s">
        <v>38</v>
      </c>
      <c r="V115" s="3">
        <f>tblInventory[[#This Row],[Stock_Quantity]]*tblInventory[[#This Row],[Unit_Price]]</f>
        <v>306.25</v>
      </c>
      <c r="W115" s="1" t="str">
        <f>IF(tblInventory[[#This Row],[Status]]="Discontinued","INACTIVE",
IF(tblInventory[[#This Row],[Stock_Quantity]] &lt; tblInventory[[#This Row],[Reorder_Level]],"REORDER","OK"))</f>
        <v>OK</v>
      </c>
      <c r="X115" s="1" t="str">
        <f t="shared" ca="1" si="3"/>
        <v>Valid</v>
      </c>
    </row>
    <row r="116" spans="1:24">
      <c r="A116" s="1">
        <v>115</v>
      </c>
      <c r="B116" s="1" t="s">
        <v>2931</v>
      </c>
      <c r="C116" s="1" t="s">
        <v>33</v>
      </c>
      <c r="D116" s="1" t="s">
        <v>17</v>
      </c>
      <c r="E116" s="1" t="s">
        <v>2932</v>
      </c>
      <c r="F116" s="1" t="s">
        <v>1395</v>
      </c>
      <c r="G116" s="6">
        <v>98</v>
      </c>
      <c r="H116" s="8">
        <f>tblInventory[[#This Row],[Stock_Quantity]] * tblInventory[[#This Row],[Unit_Price]]</f>
        <v>622.29999999999995</v>
      </c>
      <c r="I116" s="1">
        <v>41</v>
      </c>
      <c r="J116" s="1">
        <v>98</v>
      </c>
      <c r="K116" s="8">
        <f>tblInventory[[#This Row],[Reorder_Quantity]]*M116</f>
        <v>622.29999999999995</v>
      </c>
      <c r="L116" s="10">
        <f>tblInventory[[#This Row],[Stock_Quantity]] / tblInventory[[#This Row],[Reorder_Quantity]]</f>
        <v>1</v>
      </c>
      <c r="M116" s="3">
        <v>6.35</v>
      </c>
      <c r="N116" s="10">
        <f t="shared" si="2"/>
        <v>1.66383701188455</v>
      </c>
      <c r="O116" s="2">
        <v>45778</v>
      </c>
      <c r="P116" s="1" t="s">
        <v>784</v>
      </c>
      <c r="Q116" s="2">
        <v>46122</v>
      </c>
      <c r="R116" s="1" t="s">
        <v>2933</v>
      </c>
      <c r="S116" s="1">
        <v>70</v>
      </c>
      <c r="T116" s="1">
        <v>75</v>
      </c>
      <c r="U116" s="1" t="s">
        <v>38</v>
      </c>
      <c r="V116" s="3">
        <f>tblInventory[[#This Row],[Stock_Quantity]]*tblInventory[[#This Row],[Unit_Price]]</f>
        <v>622.29999999999995</v>
      </c>
      <c r="W116" s="1" t="str">
        <f>IF(tblInventory[[#This Row],[Status]]="Discontinued","INACTIVE",
IF(tblInventory[[#This Row],[Stock_Quantity]] &lt; tblInventory[[#This Row],[Reorder_Level]],"REORDER","OK"))</f>
        <v>OK</v>
      </c>
      <c r="X116" s="1" t="str">
        <f t="shared" ca="1" si="3"/>
        <v>Valid</v>
      </c>
    </row>
    <row r="117" spans="1:24">
      <c r="A117" s="1">
        <v>116</v>
      </c>
      <c r="B117" s="1" t="s">
        <v>2946</v>
      </c>
      <c r="C117" s="1" t="s">
        <v>33</v>
      </c>
      <c r="D117" s="1" t="s">
        <v>17</v>
      </c>
      <c r="E117" s="1" t="s">
        <v>2947</v>
      </c>
      <c r="F117" s="1" t="s">
        <v>1175</v>
      </c>
      <c r="G117" s="6">
        <v>30</v>
      </c>
      <c r="H117" s="8">
        <f>tblInventory[[#This Row],[Stock_Quantity]] * tblInventory[[#This Row],[Unit_Price]]</f>
        <v>189</v>
      </c>
      <c r="I117" s="1">
        <v>34</v>
      </c>
      <c r="J117" s="1">
        <v>96</v>
      </c>
      <c r="K117" s="8">
        <f>tblInventory[[#This Row],[Reorder_Quantity]]*M117</f>
        <v>604.79999999999995</v>
      </c>
      <c r="L117" s="10">
        <f>tblInventory[[#This Row],[Stock_Quantity]] / tblInventory[[#This Row],[Reorder_Quantity]]</f>
        <v>0.3125</v>
      </c>
      <c r="M117" s="3">
        <v>6.3</v>
      </c>
      <c r="N117" s="10">
        <f t="shared" si="2"/>
        <v>0.50933786078098475</v>
      </c>
      <c r="O117" s="2">
        <v>45393</v>
      </c>
      <c r="P117" s="1" t="s">
        <v>1008</v>
      </c>
      <c r="Q117" s="2">
        <v>46275</v>
      </c>
      <c r="R117" s="1" t="s">
        <v>2948</v>
      </c>
      <c r="S117" s="1">
        <v>61</v>
      </c>
      <c r="T117" s="1">
        <v>13</v>
      </c>
      <c r="U117" s="1" t="s">
        <v>38</v>
      </c>
      <c r="V117" s="3">
        <f>tblInventory[[#This Row],[Stock_Quantity]]*tblInventory[[#This Row],[Unit_Price]]</f>
        <v>189</v>
      </c>
      <c r="W117" s="1" t="str">
        <f>IF(tblInventory[[#This Row],[Status]]="Discontinued","INACTIVE",
IF(tblInventory[[#This Row],[Stock_Quantity]] &lt; tblInventory[[#This Row],[Reorder_Level]],"REORDER","OK"))</f>
        <v>REORDER</v>
      </c>
      <c r="X117" s="1" t="str">
        <f t="shared" ca="1" si="3"/>
        <v>Valid</v>
      </c>
    </row>
    <row r="118" spans="1:24">
      <c r="A118" s="1">
        <v>117</v>
      </c>
      <c r="B118" s="1" t="s">
        <v>3095</v>
      </c>
      <c r="C118" s="1" t="s">
        <v>33</v>
      </c>
      <c r="D118" s="1" t="s">
        <v>17</v>
      </c>
      <c r="E118" s="1" t="s">
        <v>3096</v>
      </c>
      <c r="F118" s="1" t="s">
        <v>985</v>
      </c>
      <c r="G118" s="6">
        <v>92</v>
      </c>
      <c r="H118" s="8">
        <f>tblInventory[[#This Row],[Stock_Quantity]] * tblInventory[[#This Row],[Unit_Price]]</f>
        <v>575</v>
      </c>
      <c r="I118" s="1">
        <v>48</v>
      </c>
      <c r="J118" s="1">
        <v>22</v>
      </c>
      <c r="K118" s="8">
        <f>tblInventory[[#This Row],[Reorder_Quantity]]*M118</f>
        <v>137.5</v>
      </c>
      <c r="L118" s="10">
        <f>tblInventory[[#This Row],[Stock_Quantity]] / tblInventory[[#This Row],[Reorder_Quantity]]</f>
        <v>4.1818181818181817</v>
      </c>
      <c r="M118" s="3">
        <v>6.25</v>
      </c>
      <c r="N118" s="10">
        <f t="shared" si="2"/>
        <v>1.5619694397283532</v>
      </c>
      <c r="O118" s="1" t="s">
        <v>1134</v>
      </c>
      <c r="P118" s="2">
        <v>45303</v>
      </c>
      <c r="Q118" s="2">
        <v>46352</v>
      </c>
      <c r="R118" s="1" t="s">
        <v>3097</v>
      </c>
      <c r="S118" s="1">
        <v>38</v>
      </c>
      <c r="T118" s="1">
        <v>61</v>
      </c>
      <c r="U118" s="1" t="s">
        <v>38</v>
      </c>
      <c r="V118" s="3">
        <f>tblInventory[[#This Row],[Stock_Quantity]]*tblInventory[[#This Row],[Unit_Price]]</f>
        <v>575</v>
      </c>
      <c r="W118" s="1" t="str">
        <f>IF(tblInventory[[#This Row],[Status]]="Discontinued","INACTIVE",
IF(tblInventory[[#This Row],[Stock_Quantity]] &lt; tblInventory[[#This Row],[Reorder_Level]],"REORDER","OK"))</f>
        <v>OK</v>
      </c>
      <c r="X118" s="1" t="str">
        <f t="shared" ca="1" si="3"/>
        <v>Valid</v>
      </c>
    </row>
    <row r="119" spans="1:24">
      <c r="A119" s="1">
        <v>118</v>
      </c>
      <c r="B119" s="1" t="s">
        <v>3287</v>
      </c>
      <c r="C119" s="1" t="s">
        <v>33</v>
      </c>
      <c r="D119" s="1" t="s">
        <v>17</v>
      </c>
      <c r="E119" s="1" t="s">
        <v>3288</v>
      </c>
      <c r="F119" s="1" t="s">
        <v>3081</v>
      </c>
      <c r="G119" s="6">
        <v>11</v>
      </c>
      <c r="H119" s="8">
        <f>tblInventory[[#This Row],[Stock_Quantity]] * tblInventory[[#This Row],[Unit_Price]]</f>
        <v>68.2</v>
      </c>
      <c r="I119" s="1">
        <v>58</v>
      </c>
      <c r="J119" s="1">
        <v>26</v>
      </c>
      <c r="K119" s="8">
        <f>tblInventory[[#This Row],[Reorder_Quantity]]*M119</f>
        <v>161.20000000000002</v>
      </c>
      <c r="L119" s="10">
        <f>tblInventory[[#This Row],[Stock_Quantity]] / tblInventory[[#This Row],[Reorder_Quantity]]</f>
        <v>0.42307692307692307</v>
      </c>
      <c r="M119" s="3">
        <v>6.2</v>
      </c>
      <c r="N119" s="10">
        <f t="shared" si="2"/>
        <v>0.18675721561969441</v>
      </c>
      <c r="O119" s="2">
        <v>45449</v>
      </c>
      <c r="P119" s="2">
        <v>45363</v>
      </c>
      <c r="Q119" s="2">
        <v>46414</v>
      </c>
      <c r="R119" s="1" t="s">
        <v>3289</v>
      </c>
      <c r="S119" s="1">
        <v>49</v>
      </c>
      <c r="T119" s="1">
        <v>34</v>
      </c>
      <c r="U119" s="1" t="s">
        <v>46</v>
      </c>
      <c r="V119" s="3">
        <f>tblInventory[[#This Row],[Stock_Quantity]]*tblInventory[[#This Row],[Unit_Price]]</f>
        <v>68.2</v>
      </c>
      <c r="W119" s="1" t="str">
        <f>IF(tblInventory[[#This Row],[Status]]="Discontinued","INACTIVE",
IF(tblInventory[[#This Row],[Stock_Quantity]] &lt; tblInventory[[#This Row],[Reorder_Level]],"REORDER","OK"))</f>
        <v>REORDER</v>
      </c>
      <c r="X119" s="1" t="str">
        <f t="shared" ca="1" si="3"/>
        <v>Valid</v>
      </c>
    </row>
    <row r="120" spans="1:24">
      <c r="A120" s="1">
        <v>119</v>
      </c>
      <c r="B120" s="1" t="s">
        <v>3451</v>
      </c>
      <c r="C120" s="1" t="s">
        <v>33</v>
      </c>
      <c r="D120" s="1" t="s">
        <v>17</v>
      </c>
      <c r="E120" s="1" t="s">
        <v>3452</v>
      </c>
      <c r="F120" s="1" t="s">
        <v>2678</v>
      </c>
      <c r="G120" s="6">
        <v>18</v>
      </c>
      <c r="H120" s="8">
        <f>tblInventory[[#This Row],[Stock_Quantity]] * tblInventory[[#This Row],[Unit_Price]]</f>
        <v>108</v>
      </c>
      <c r="I120" s="1">
        <v>78</v>
      </c>
      <c r="J120" s="1">
        <v>43</v>
      </c>
      <c r="K120" s="8">
        <f>tblInventory[[#This Row],[Reorder_Quantity]]*M120</f>
        <v>258</v>
      </c>
      <c r="L120" s="10">
        <f>tblInventory[[#This Row],[Stock_Quantity]] / tblInventory[[#This Row],[Reorder_Quantity]]</f>
        <v>0.41860465116279072</v>
      </c>
      <c r="M120" s="3">
        <v>6</v>
      </c>
      <c r="N120" s="10">
        <f t="shared" si="2"/>
        <v>0.30560271646859083</v>
      </c>
      <c r="O120" s="2">
        <v>45748</v>
      </c>
      <c r="P120" s="2">
        <v>45419</v>
      </c>
      <c r="Q120" s="2">
        <v>46467</v>
      </c>
      <c r="R120" s="1" t="s">
        <v>3453</v>
      </c>
      <c r="S120" s="1">
        <v>85</v>
      </c>
      <c r="T120" s="1">
        <v>97</v>
      </c>
      <c r="U120" s="1" t="s">
        <v>46</v>
      </c>
      <c r="V120" s="3">
        <f>tblInventory[[#This Row],[Stock_Quantity]]*tblInventory[[#This Row],[Unit_Price]]</f>
        <v>108</v>
      </c>
      <c r="W120" s="1" t="str">
        <f>IF(tblInventory[[#This Row],[Status]]="Discontinued","INACTIVE",
IF(tblInventory[[#This Row],[Stock_Quantity]] &lt; tblInventory[[#This Row],[Reorder_Level]],"REORDER","OK"))</f>
        <v>REORDER</v>
      </c>
      <c r="X120" s="1" t="str">
        <f t="shared" ca="1" si="3"/>
        <v>Valid</v>
      </c>
    </row>
    <row r="121" spans="1:24">
      <c r="A121" s="1">
        <v>120</v>
      </c>
      <c r="B121" s="1" t="s">
        <v>404</v>
      </c>
      <c r="C121" s="1" t="s">
        <v>405</v>
      </c>
      <c r="D121" s="1" t="s">
        <v>27</v>
      </c>
      <c r="E121" s="1" t="s">
        <v>406</v>
      </c>
      <c r="F121" s="1" t="s">
        <v>407</v>
      </c>
      <c r="G121" s="6">
        <v>46</v>
      </c>
      <c r="H121" s="8">
        <f>tblInventory[[#This Row],[Stock_Quantity]] * tblInventory[[#This Row],[Unit_Price]]</f>
        <v>230</v>
      </c>
      <c r="I121" s="1">
        <v>27</v>
      </c>
      <c r="J121" s="1">
        <v>76</v>
      </c>
      <c r="K121" s="8">
        <f>tblInventory[[#This Row],[Reorder_Quantity]]*M121</f>
        <v>380</v>
      </c>
      <c r="L121" s="10">
        <f>tblInventory[[#This Row],[Stock_Quantity]] / tblInventory[[#This Row],[Reorder_Quantity]]</f>
        <v>0.60526315789473684</v>
      </c>
      <c r="M121" s="3">
        <v>5</v>
      </c>
      <c r="N121" s="10">
        <f t="shared" si="2"/>
        <v>0.78098471986417661</v>
      </c>
      <c r="O121" s="1" t="s">
        <v>408</v>
      </c>
      <c r="P121" s="1" t="s">
        <v>409</v>
      </c>
      <c r="Q121" s="2">
        <v>45615</v>
      </c>
      <c r="R121" s="1" t="s">
        <v>410</v>
      </c>
      <c r="S121" s="1">
        <v>64</v>
      </c>
      <c r="T121" s="1">
        <v>96</v>
      </c>
      <c r="U121" s="1" t="s">
        <v>46</v>
      </c>
      <c r="V121" s="3">
        <f>tblInventory[[#This Row],[Stock_Quantity]]*tblInventory[[#This Row],[Unit_Price]]</f>
        <v>230</v>
      </c>
      <c r="W121" s="1" t="str">
        <f>IF(tblInventory[[#This Row],[Status]]="Discontinued","INACTIVE",
IF(tblInventory[[#This Row],[Stock_Quantity]] &lt; tblInventory[[#This Row],[Reorder_Level]],"REORDER","OK"))</f>
        <v>OK</v>
      </c>
      <c r="X121" s="1" t="str">
        <f t="shared" ca="1" si="3"/>
        <v>Expired</v>
      </c>
    </row>
    <row r="122" spans="1:24">
      <c r="A122" s="1">
        <v>121</v>
      </c>
      <c r="B122" s="1" t="s">
        <v>912</v>
      </c>
      <c r="C122" s="1" t="s">
        <v>405</v>
      </c>
      <c r="D122" s="1" t="s">
        <v>27</v>
      </c>
      <c r="E122" s="1" t="s">
        <v>913</v>
      </c>
      <c r="F122" s="1" t="s">
        <v>51</v>
      </c>
      <c r="G122" s="6">
        <v>56</v>
      </c>
      <c r="H122" s="8">
        <f>tblInventory[[#This Row],[Stock_Quantity]] * tblInventory[[#This Row],[Unit_Price]]</f>
        <v>280</v>
      </c>
      <c r="I122" s="1">
        <v>12</v>
      </c>
      <c r="J122" s="1">
        <v>85</v>
      </c>
      <c r="K122" s="8">
        <f>tblInventory[[#This Row],[Reorder_Quantity]]*M122</f>
        <v>425</v>
      </c>
      <c r="L122" s="10">
        <f>tblInventory[[#This Row],[Stock_Quantity]] / tblInventory[[#This Row],[Reorder_Quantity]]</f>
        <v>0.6588235294117647</v>
      </c>
      <c r="M122" s="3">
        <v>5</v>
      </c>
      <c r="N122" s="10">
        <f t="shared" si="2"/>
        <v>0.95076400679117146</v>
      </c>
      <c r="O122" s="2">
        <v>45577</v>
      </c>
      <c r="P122" s="1" t="s">
        <v>278</v>
      </c>
      <c r="Q122" s="2">
        <v>45719</v>
      </c>
      <c r="R122" s="1" t="s">
        <v>914</v>
      </c>
      <c r="S122" s="1">
        <v>52</v>
      </c>
      <c r="T122" s="1">
        <v>46</v>
      </c>
      <c r="U122" s="1" t="s">
        <v>46</v>
      </c>
      <c r="V122" s="3">
        <f>tblInventory[[#This Row],[Stock_Quantity]]*tblInventory[[#This Row],[Unit_Price]]</f>
        <v>280</v>
      </c>
      <c r="W122" s="1" t="str">
        <f>IF(tblInventory[[#This Row],[Status]]="Discontinued","INACTIVE",
IF(tblInventory[[#This Row],[Stock_Quantity]] &lt; tblInventory[[#This Row],[Reorder_Level]],"REORDER","OK"))</f>
        <v>OK</v>
      </c>
      <c r="X122" s="1" t="str">
        <f t="shared" ca="1" si="3"/>
        <v>Expired</v>
      </c>
    </row>
    <row r="123" spans="1:24">
      <c r="A123" s="1">
        <v>122</v>
      </c>
      <c r="B123" s="1" t="s">
        <v>1874</v>
      </c>
      <c r="C123" s="1" t="s">
        <v>405</v>
      </c>
      <c r="D123" s="1" t="s">
        <v>27</v>
      </c>
      <c r="E123" s="1" t="s">
        <v>1875</v>
      </c>
      <c r="F123" s="1" t="s">
        <v>505</v>
      </c>
      <c r="G123" s="6">
        <v>59</v>
      </c>
      <c r="H123" s="8">
        <f>tblInventory[[#This Row],[Stock_Quantity]] * tblInventory[[#This Row],[Unit_Price]]</f>
        <v>295</v>
      </c>
      <c r="I123" s="1">
        <v>20</v>
      </c>
      <c r="J123" s="1">
        <v>17</v>
      </c>
      <c r="K123" s="8">
        <f>tblInventory[[#This Row],[Reorder_Quantity]]*M123</f>
        <v>85</v>
      </c>
      <c r="L123" s="10">
        <f>tblInventory[[#This Row],[Stock_Quantity]] / tblInventory[[#This Row],[Reorder_Quantity]]</f>
        <v>3.4705882352941178</v>
      </c>
      <c r="M123" s="3">
        <v>5</v>
      </c>
      <c r="N123" s="10">
        <f t="shared" si="2"/>
        <v>1.0016977928692701</v>
      </c>
      <c r="O123" s="2">
        <v>45455</v>
      </c>
      <c r="P123" s="1" t="s">
        <v>115</v>
      </c>
      <c r="Q123" s="2">
        <v>45975</v>
      </c>
      <c r="R123" s="1" t="s">
        <v>1876</v>
      </c>
      <c r="S123" s="1">
        <v>45</v>
      </c>
      <c r="T123" s="1">
        <v>15</v>
      </c>
      <c r="U123" s="1" t="s">
        <v>24</v>
      </c>
      <c r="V123" s="3">
        <f>tblInventory[[#This Row],[Stock_Quantity]]*tblInventory[[#This Row],[Unit_Price]]</f>
        <v>295</v>
      </c>
      <c r="W123" s="1" t="str">
        <f>IF(tblInventory[[#This Row],[Status]]="Discontinued","INACTIVE",
IF(tblInventory[[#This Row],[Stock_Quantity]] &lt; tblInventory[[#This Row],[Reorder_Level]],"REORDER","OK"))</f>
        <v>INACTIVE</v>
      </c>
      <c r="X123" s="1" t="str">
        <f t="shared" ca="1" si="3"/>
        <v>Expired</v>
      </c>
    </row>
    <row r="124" spans="1:24">
      <c r="A124" s="1">
        <v>123</v>
      </c>
      <c r="B124" s="1" t="s">
        <v>2611</v>
      </c>
      <c r="C124" s="1" t="s">
        <v>405</v>
      </c>
      <c r="D124" s="1" t="s">
        <v>27</v>
      </c>
      <c r="E124" s="1" t="s">
        <v>2612</v>
      </c>
      <c r="F124" s="1" t="s">
        <v>149</v>
      </c>
      <c r="G124" s="6">
        <v>19</v>
      </c>
      <c r="H124" s="8">
        <f>tblInventory[[#This Row],[Stock_Quantity]] * tblInventory[[#This Row],[Unit_Price]]</f>
        <v>95</v>
      </c>
      <c r="I124" s="1">
        <v>78</v>
      </c>
      <c r="J124" s="1">
        <v>90</v>
      </c>
      <c r="K124" s="8">
        <f>tblInventory[[#This Row],[Reorder_Quantity]]*M124</f>
        <v>450</v>
      </c>
      <c r="L124" s="10">
        <f>tblInventory[[#This Row],[Stock_Quantity]] / tblInventory[[#This Row],[Reorder_Quantity]]</f>
        <v>0.21111111111111111</v>
      </c>
      <c r="M124" s="3">
        <v>5</v>
      </c>
      <c r="N124" s="10">
        <f t="shared" si="2"/>
        <v>0.32258064516129031</v>
      </c>
      <c r="O124" s="1" t="s">
        <v>855</v>
      </c>
      <c r="P124" s="1" t="s">
        <v>609</v>
      </c>
      <c r="Q124" s="2">
        <v>46201</v>
      </c>
      <c r="R124" s="1" t="s">
        <v>2613</v>
      </c>
      <c r="S124" s="1">
        <v>72</v>
      </c>
      <c r="T124" s="1">
        <v>84</v>
      </c>
      <c r="U124" s="1" t="s">
        <v>24</v>
      </c>
      <c r="V124" s="3">
        <f>tblInventory[[#This Row],[Stock_Quantity]]*tblInventory[[#This Row],[Unit_Price]]</f>
        <v>95</v>
      </c>
      <c r="W124" s="1" t="str">
        <f>IF(tblInventory[[#This Row],[Status]]="Discontinued","INACTIVE",
IF(tblInventory[[#This Row],[Stock_Quantity]] &lt; tblInventory[[#This Row],[Reorder_Level]],"REORDER","OK"))</f>
        <v>INACTIVE</v>
      </c>
      <c r="X124" s="1" t="str">
        <f t="shared" ca="1" si="3"/>
        <v>Valid</v>
      </c>
    </row>
    <row r="125" spans="1:24">
      <c r="A125" s="1">
        <v>124</v>
      </c>
      <c r="B125" s="1" t="s">
        <v>2940</v>
      </c>
      <c r="C125" s="1" t="s">
        <v>405</v>
      </c>
      <c r="D125" s="1" t="s">
        <v>27</v>
      </c>
      <c r="E125" s="1" t="s">
        <v>2941</v>
      </c>
      <c r="F125" s="1" t="s">
        <v>559</v>
      </c>
      <c r="G125" s="6">
        <v>18</v>
      </c>
      <c r="H125" s="8">
        <f>tblInventory[[#This Row],[Stock_Quantity]] * tblInventory[[#This Row],[Unit_Price]]</f>
        <v>95.399999999999991</v>
      </c>
      <c r="I125" s="1">
        <v>36</v>
      </c>
      <c r="J125" s="1">
        <v>53</v>
      </c>
      <c r="K125" s="8">
        <f>tblInventory[[#This Row],[Reorder_Quantity]]*M125</f>
        <v>280.89999999999998</v>
      </c>
      <c r="L125" s="10">
        <f>tblInventory[[#This Row],[Stock_Quantity]] / tblInventory[[#This Row],[Reorder_Quantity]]</f>
        <v>0.33962264150943394</v>
      </c>
      <c r="M125" s="3">
        <v>5.3</v>
      </c>
      <c r="N125" s="10">
        <f t="shared" si="2"/>
        <v>0.30560271646859083</v>
      </c>
      <c r="O125" s="2">
        <v>45631</v>
      </c>
      <c r="P125" s="2">
        <v>45296</v>
      </c>
      <c r="Q125" s="2">
        <v>46213</v>
      </c>
      <c r="R125" s="1" t="s">
        <v>2942</v>
      </c>
      <c r="S125" s="1">
        <v>65</v>
      </c>
      <c r="T125" s="1">
        <v>100</v>
      </c>
      <c r="U125" s="1" t="s">
        <v>46</v>
      </c>
      <c r="V125" s="3">
        <f>tblInventory[[#This Row],[Stock_Quantity]]*tblInventory[[#This Row],[Unit_Price]]</f>
        <v>95.399999999999991</v>
      </c>
      <c r="W125" s="1" t="str">
        <f>IF(tblInventory[[#This Row],[Status]]="Discontinued","INACTIVE",
IF(tblInventory[[#This Row],[Stock_Quantity]] &lt; tblInventory[[#This Row],[Reorder_Level]],"REORDER","OK"))</f>
        <v>REORDER</v>
      </c>
      <c r="X125" s="1" t="str">
        <f t="shared" ca="1" si="3"/>
        <v>Valid</v>
      </c>
    </row>
    <row r="126" spans="1:24">
      <c r="A126" s="1">
        <v>125</v>
      </c>
      <c r="B126" s="1" t="s">
        <v>3363</v>
      </c>
      <c r="C126" s="1" t="s">
        <v>405</v>
      </c>
      <c r="D126" s="1" t="s">
        <v>27</v>
      </c>
      <c r="E126" s="1" t="s">
        <v>3364</v>
      </c>
      <c r="F126" s="1" t="s">
        <v>3365</v>
      </c>
      <c r="G126" s="6">
        <v>45</v>
      </c>
      <c r="H126" s="8">
        <f>tblInventory[[#This Row],[Stock_Quantity]] * tblInventory[[#This Row],[Unit_Price]]</f>
        <v>225</v>
      </c>
      <c r="I126" s="1">
        <v>58</v>
      </c>
      <c r="J126" s="1">
        <v>84</v>
      </c>
      <c r="K126" s="8">
        <f>tblInventory[[#This Row],[Reorder_Quantity]]*M126</f>
        <v>420</v>
      </c>
      <c r="L126" s="10">
        <f>tblInventory[[#This Row],[Stock_Quantity]] / tblInventory[[#This Row],[Reorder_Quantity]]</f>
        <v>0.5357142857142857</v>
      </c>
      <c r="M126" s="3">
        <v>5</v>
      </c>
      <c r="N126" s="10">
        <f t="shared" si="2"/>
        <v>0.76400679117147707</v>
      </c>
      <c r="O126" s="2">
        <v>45809</v>
      </c>
      <c r="P126" s="1" t="s">
        <v>519</v>
      </c>
      <c r="Q126" s="2">
        <v>46439</v>
      </c>
      <c r="R126" s="1" t="s">
        <v>3366</v>
      </c>
      <c r="S126" s="1">
        <v>90</v>
      </c>
      <c r="T126" s="1">
        <v>67</v>
      </c>
      <c r="U126" s="1" t="s">
        <v>46</v>
      </c>
      <c r="V126" s="3">
        <f>tblInventory[[#This Row],[Stock_Quantity]]*tblInventory[[#This Row],[Unit_Price]]</f>
        <v>225</v>
      </c>
      <c r="W126" s="1" t="str">
        <f>IF(tblInventory[[#This Row],[Status]]="Discontinued","INACTIVE",
IF(tblInventory[[#This Row],[Stock_Quantity]] &lt; tblInventory[[#This Row],[Reorder_Level]],"REORDER","OK"))</f>
        <v>REORDER</v>
      </c>
      <c r="X126" s="1" t="str">
        <f t="shared" ca="1" si="3"/>
        <v>Valid</v>
      </c>
    </row>
    <row r="127" spans="1:24">
      <c r="A127" s="1">
        <v>126</v>
      </c>
      <c r="B127" s="1" t="s">
        <v>3457</v>
      </c>
      <c r="C127" s="1" t="s">
        <v>405</v>
      </c>
      <c r="D127" s="1" t="s">
        <v>27</v>
      </c>
      <c r="E127" s="1" t="s">
        <v>3458</v>
      </c>
      <c r="F127" s="1" t="s">
        <v>270</v>
      </c>
      <c r="G127" s="6">
        <v>35</v>
      </c>
      <c r="H127" s="8">
        <f>tblInventory[[#This Row],[Stock_Quantity]] * tblInventory[[#This Row],[Unit_Price]]</f>
        <v>164.5</v>
      </c>
      <c r="I127" s="1">
        <v>88</v>
      </c>
      <c r="J127" s="1">
        <v>87</v>
      </c>
      <c r="K127" s="8">
        <f>tblInventory[[#This Row],[Reorder_Quantity]]*M127</f>
        <v>408.90000000000003</v>
      </c>
      <c r="L127" s="10">
        <f>tblInventory[[#This Row],[Stock_Quantity]] / tblInventory[[#This Row],[Reorder_Quantity]]</f>
        <v>0.40229885057471265</v>
      </c>
      <c r="M127" s="3">
        <v>4.7</v>
      </c>
      <c r="N127" s="10">
        <f t="shared" si="2"/>
        <v>0.59422750424448223</v>
      </c>
      <c r="O127" s="2">
        <v>45416</v>
      </c>
      <c r="P127" s="2">
        <v>45636</v>
      </c>
      <c r="Q127" s="2">
        <v>46469</v>
      </c>
      <c r="R127" s="1" t="s">
        <v>3459</v>
      </c>
      <c r="S127" s="1">
        <v>39</v>
      </c>
      <c r="T127" s="1">
        <v>62</v>
      </c>
      <c r="U127" s="1" t="s">
        <v>46</v>
      </c>
      <c r="V127" s="3">
        <f>tblInventory[[#This Row],[Stock_Quantity]]*tblInventory[[#This Row],[Unit_Price]]</f>
        <v>164.5</v>
      </c>
      <c r="W127" s="1" t="str">
        <f>IF(tblInventory[[#This Row],[Status]]="Discontinued","INACTIVE",
IF(tblInventory[[#This Row],[Stock_Quantity]] &lt; tblInventory[[#This Row],[Reorder_Level]],"REORDER","OK"))</f>
        <v>REORDER</v>
      </c>
      <c r="X127" s="1" t="str">
        <f t="shared" ca="1" si="3"/>
        <v>Valid</v>
      </c>
    </row>
    <row r="128" spans="1:24">
      <c r="A128" s="1">
        <v>127</v>
      </c>
      <c r="B128" s="1" t="s">
        <v>556</v>
      </c>
      <c r="C128" s="1" t="s">
        <v>557</v>
      </c>
      <c r="D128" s="1" t="s">
        <v>49</v>
      </c>
      <c r="E128" s="1" t="s">
        <v>558</v>
      </c>
      <c r="F128" s="1" t="s">
        <v>559</v>
      </c>
      <c r="G128" s="6">
        <v>66</v>
      </c>
      <c r="H128" s="8">
        <f>tblInventory[[#This Row],[Stock_Quantity]] * tblInventory[[#This Row],[Unit_Price]]</f>
        <v>660</v>
      </c>
      <c r="I128" s="1">
        <v>40</v>
      </c>
      <c r="J128" s="1">
        <v>96</v>
      </c>
      <c r="K128" s="8">
        <f>tblInventory[[#This Row],[Reorder_Quantity]]*M128</f>
        <v>960</v>
      </c>
      <c r="L128" s="10">
        <f>tblInventory[[#This Row],[Stock_Quantity]] / tblInventory[[#This Row],[Reorder_Quantity]]</f>
        <v>0.6875</v>
      </c>
      <c r="M128" s="3">
        <v>10</v>
      </c>
      <c r="N128" s="10">
        <f t="shared" si="2"/>
        <v>1.1205432937181663</v>
      </c>
      <c r="O128" s="1" t="s">
        <v>560</v>
      </c>
      <c r="P128" s="1" t="s">
        <v>151</v>
      </c>
      <c r="Q128" s="2">
        <v>45644</v>
      </c>
      <c r="R128" s="1" t="s">
        <v>561</v>
      </c>
      <c r="S128" s="1">
        <v>24</v>
      </c>
      <c r="T128" s="1">
        <v>61</v>
      </c>
      <c r="U128" s="1" t="s">
        <v>46</v>
      </c>
      <c r="V128" s="3">
        <f>tblInventory[[#This Row],[Stock_Quantity]]*tblInventory[[#This Row],[Unit_Price]]</f>
        <v>660</v>
      </c>
      <c r="W128" s="1" t="str">
        <f>IF(tblInventory[[#This Row],[Status]]="Discontinued","INACTIVE",
IF(tblInventory[[#This Row],[Stock_Quantity]] &lt; tblInventory[[#This Row],[Reorder_Level]],"REORDER","OK"))</f>
        <v>OK</v>
      </c>
      <c r="X128" s="1" t="str">
        <f t="shared" ca="1" si="3"/>
        <v>Expired</v>
      </c>
    </row>
    <row r="129" spans="1:24">
      <c r="A129" s="1">
        <v>128</v>
      </c>
      <c r="B129" s="1" t="s">
        <v>1140</v>
      </c>
      <c r="C129" s="1" t="s">
        <v>557</v>
      </c>
      <c r="D129" s="1" t="s">
        <v>49</v>
      </c>
      <c r="E129" s="1" t="s">
        <v>1141</v>
      </c>
      <c r="F129" s="1" t="s">
        <v>1142</v>
      </c>
      <c r="G129" s="6">
        <v>42</v>
      </c>
      <c r="H129" s="8">
        <f>tblInventory[[#This Row],[Stock_Quantity]] * tblInventory[[#This Row],[Unit_Price]]</f>
        <v>420</v>
      </c>
      <c r="I129" s="1">
        <v>4</v>
      </c>
      <c r="J129" s="1">
        <v>53</v>
      </c>
      <c r="K129" s="8">
        <f>tblInventory[[#This Row],[Reorder_Quantity]]*M129</f>
        <v>530</v>
      </c>
      <c r="L129" s="10">
        <f>tblInventory[[#This Row],[Stock_Quantity]] / tblInventory[[#This Row],[Reorder_Quantity]]</f>
        <v>0.79245283018867929</v>
      </c>
      <c r="M129" s="3">
        <v>10</v>
      </c>
      <c r="N129" s="10">
        <f t="shared" si="2"/>
        <v>0.71307300509337868</v>
      </c>
      <c r="O129" s="2">
        <v>45931</v>
      </c>
      <c r="P129" s="2">
        <v>45419</v>
      </c>
      <c r="Q129" s="2">
        <v>45774</v>
      </c>
      <c r="R129" s="1" t="s">
        <v>1143</v>
      </c>
      <c r="S129" s="1">
        <v>37</v>
      </c>
      <c r="T129" s="1">
        <v>53</v>
      </c>
      <c r="U129" s="1" t="s">
        <v>46</v>
      </c>
      <c r="V129" s="3">
        <f>tblInventory[[#This Row],[Stock_Quantity]]*tblInventory[[#This Row],[Unit_Price]]</f>
        <v>420</v>
      </c>
      <c r="W129" s="1" t="str">
        <f>IF(tblInventory[[#This Row],[Status]]="Discontinued","INACTIVE",
IF(tblInventory[[#This Row],[Stock_Quantity]] &lt; tblInventory[[#This Row],[Reorder_Level]],"REORDER","OK"))</f>
        <v>OK</v>
      </c>
      <c r="X129" s="1" t="str">
        <f t="shared" ca="1" si="3"/>
        <v>Expired</v>
      </c>
    </row>
    <row r="130" spans="1:24">
      <c r="A130" s="1">
        <v>129</v>
      </c>
      <c r="B130" s="1" t="s">
        <v>1205</v>
      </c>
      <c r="C130" s="1" t="s">
        <v>557</v>
      </c>
      <c r="D130" s="1" t="s">
        <v>49</v>
      </c>
      <c r="E130" s="1" t="s">
        <v>1206</v>
      </c>
      <c r="F130" s="1" t="s">
        <v>257</v>
      </c>
      <c r="G130" s="6">
        <v>23</v>
      </c>
      <c r="H130" s="8">
        <f>tblInventory[[#This Row],[Stock_Quantity]] * tblInventory[[#This Row],[Unit_Price]]</f>
        <v>230</v>
      </c>
      <c r="I130" s="1">
        <v>38</v>
      </c>
      <c r="J130" s="1">
        <v>54</v>
      </c>
      <c r="K130" s="8">
        <f>tblInventory[[#This Row],[Reorder_Quantity]]*M130</f>
        <v>540</v>
      </c>
      <c r="L130" s="10">
        <f>tblInventory[[#This Row],[Stock_Quantity]] / tblInventory[[#This Row],[Reorder_Quantity]]</f>
        <v>0.42592592592592593</v>
      </c>
      <c r="M130" s="3">
        <v>10</v>
      </c>
      <c r="N130" s="10">
        <f t="shared" ref="N130:N193" si="4">G130 / 58.9</f>
        <v>0.39049235993208831</v>
      </c>
      <c r="O130" s="1" t="s">
        <v>682</v>
      </c>
      <c r="P130" s="1" t="s">
        <v>693</v>
      </c>
      <c r="Q130" s="2">
        <v>45790</v>
      </c>
      <c r="R130" s="1" t="s">
        <v>1207</v>
      </c>
      <c r="S130" s="1">
        <v>40</v>
      </c>
      <c r="T130" s="1">
        <v>15</v>
      </c>
      <c r="U130" s="1" t="s">
        <v>46</v>
      </c>
      <c r="V130" s="3">
        <f>tblInventory[[#This Row],[Stock_Quantity]]*tblInventory[[#This Row],[Unit_Price]]</f>
        <v>230</v>
      </c>
      <c r="W130" s="1" t="str">
        <f>IF(tblInventory[[#This Row],[Status]]="Discontinued","INACTIVE",
IF(tblInventory[[#This Row],[Stock_Quantity]] &lt; tblInventory[[#This Row],[Reorder_Level]],"REORDER","OK"))</f>
        <v>REORDER</v>
      </c>
      <c r="X130" s="1" t="str">
        <f t="shared" ref="X130:X193" ca="1" si="5">IF(Q130&lt;TODAY(),"Expired","Valid")</f>
        <v>Expired</v>
      </c>
    </row>
    <row r="131" spans="1:24">
      <c r="A131" s="1">
        <v>130</v>
      </c>
      <c r="B131" s="1" t="s">
        <v>1410</v>
      </c>
      <c r="C131" s="1" t="s">
        <v>557</v>
      </c>
      <c r="D131" s="1" t="s">
        <v>49</v>
      </c>
      <c r="E131" s="1" t="s">
        <v>1411</v>
      </c>
      <c r="F131" s="1" t="s">
        <v>303</v>
      </c>
      <c r="G131" s="6">
        <v>89</v>
      </c>
      <c r="H131" s="8">
        <f>tblInventory[[#This Row],[Stock_Quantity]] * tblInventory[[#This Row],[Unit_Price]]</f>
        <v>890</v>
      </c>
      <c r="I131" s="1">
        <v>15</v>
      </c>
      <c r="J131" s="1">
        <v>22</v>
      </c>
      <c r="K131" s="8">
        <f>tblInventory[[#This Row],[Reorder_Quantity]]*M131</f>
        <v>220</v>
      </c>
      <c r="L131" s="10">
        <f>tblInventory[[#This Row],[Stock_Quantity]] / tblInventory[[#This Row],[Reorder_Quantity]]</f>
        <v>4.0454545454545459</v>
      </c>
      <c r="M131" s="3">
        <v>10</v>
      </c>
      <c r="N131" s="10">
        <f t="shared" si="4"/>
        <v>1.5110356536502547</v>
      </c>
      <c r="O131" s="1" t="s">
        <v>317</v>
      </c>
      <c r="P131" s="2">
        <v>45963</v>
      </c>
      <c r="Q131" s="2">
        <v>45784</v>
      </c>
      <c r="R131" s="1" t="s">
        <v>1412</v>
      </c>
      <c r="S131" s="1">
        <v>79</v>
      </c>
      <c r="T131" s="1">
        <v>42</v>
      </c>
      <c r="U131" s="1" t="s">
        <v>24</v>
      </c>
      <c r="V131" s="3">
        <f>tblInventory[[#This Row],[Stock_Quantity]]*tblInventory[[#This Row],[Unit_Price]]</f>
        <v>890</v>
      </c>
      <c r="W131" s="1" t="str">
        <f>IF(tblInventory[[#This Row],[Status]]="Discontinued","INACTIVE",
IF(tblInventory[[#This Row],[Stock_Quantity]] &lt; tblInventory[[#This Row],[Reorder_Level]],"REORDER","OK"))</f>
        <v>INACTIVE</v>
      </c>
      <c r="X131" s="1" t="str">
        <f t="shared" ca="1" si="5"/>
        <v>Expired</v>
      </c>
    </row>
    <row r="132" spans="1:24">
      <c r="A132" s="1">
        <v>131</v>
      </c>
      <c r="B132" s="1" t="s">
        <v>1413</v>
      </c>
      <c r="C132" s="1" t="s">
        <v>557</v>
      </c>
      <c r="D132" s="1" t="s">
        <v>49</v>
      </c>
      <c r="E132" s="1" t="s">
        <v>1414</v>
      </c>
      <c r="F132" s="1" t="s">
        <v>231</v>
      </c>
      <c r="G132" s="6">
        <v>53</v>
      </c>
      <c r="H132" s="8">
        <f>tblInventory[[#This Row],[Stock_Quantity]] * tblInventory[[#This Row],[Unit_Price]]</f>
        <v>530</v>
      </c>
      <c r="I132" s="1">
        <v>98</v>
      </c>
      <c r="J132" s="1">
        <v>25</v>
      </c>
      <c r="K132" s="8">
        <f>tblInventory[[#This Row],[Reorder_Quantity]]*M132</f>
        <v>250</v>
      </c>
      <c r="L132" s="10">
        <f>tblInventory[[#This Row],[Stock_Quantity]] / tblInventory[[#This Row],[Reorder_Quantity]]</f>
        <v>2.12</v>
      </c>
      <c r="M132" s="3">
        <v>10</v>
      </c>
      <c r="N132" s="10">
        <f t="shared" si="4"/>
        <v>0.89983022071307306</v>
      </c>
      <c r="O132" s="1" t="s">
        <v>409</v>
      </c>
      <c r="P132" s="2">
        <v>45391</v>
      </c>
      <c r="Q132" s="2">
        <v>45815</v>
      </c>
      <c r="R132" s="1" t="s">
        <v>1415</v>
      </c>
      <c r="S132" s="1">
        <v>55</v>
      </c>
      <c r="T132" s="1">
        <v>51</v>
      </c>
      <c r="U132" s="1" t="s">
        <v>46</v>
      </c>
      <c r="V132" s="3">
        <f>tblInventory[[#This Row],[Stock_Quantity]]*tblInventory[[#This Row],[Unit_Price]]</f>
        <v>530</v>
      </c>
      <c r="W132" s="1" t="str">
        <f>IF(tblInventory[[#This Row],[Status]]="Discontinued","INACTIVE",
IF(tblInventory[[#This Row],[Stock_Quantity]] &lt; tblInventory[[#This Row],[Reorder_Level]],"REORDER","OK"))</f>
        <v>REORDER</v>
      </c>
      <c r="X132" s="1" t="str">
        <f t="shared" ca="1" si="5"/>
        <v>Expired</v>
      </c>
    </row>
    <row r="133" spans="1:24">
      <c r="A133" s="1">
        <v>132</v>
      </c>
      <c r="B133" s="1" t="s">
        <v>1458</v>
      </c>
      <c r="C133" s="1" t="s">
        <v>557</v>
      </c>
      <c r="D133" s="1" t="s">
        <v>49</v>
      </c>
      <c r="E133" s="1" t="s">
        <v>1459</v>
      </c>
      <c r="F133" s="1" t="s">
        <v>755</v>
      </c>
      <c r="G133" s="6">
        <v>28</v>
      </c>
      <c r="H133" s="8">
        <f>tblInventory[[#This Row],[Stock_Quantity]] * tblInventory[[#This Row],[Unit_Price]]</f>
        <v>280</v>
      </c>
      <c r="I133" s="1">
        <v>86</v>
      </c>
      <c r="J133" s="1">
        <v>44</v>
      </c>
      <c r="K133" s="8">
        <f>tblInventory[[#This Row],[Reorder_Quantity]]*M133</f>
        <v>440</v>
      </c>
      <c r="L133" s="10">
        <f>tblInventory[[#This Row],[Stock_Quantity]] / tblInventory[[#This Row],[Reorder_Quantity]]</f>
        <v>0.63636363636363635</v>
      </c>
      <c r="M133" s="3">
        <v>10</v>
      </c>
      <c r="N133" s="10">
        <f t="shared" si="4"/>
        <v>0.47538200339558573</v>
      </c>
      <c r="O133" s="1" t="s">
        <v>770</v>
      </c>
      <c r="P133" s="1" t="s">
        <v>82</v>
      </c>
      <c r="Q133" s="2">
        <v>45855</v>
      </c>
      <c r="R133" s="1" t="s">
        <v>1460</v>
      </c>
      <c r="S133" s="1">
        <v>48</v>
      </c>
      <c r="T133" s="1">
        <v>12</v>
      </c>
      <c r="U133" s="1" t="s">
        <v>38</v>
      </c>
      <c r="V133" s="3">
        <f>tblInventory[[#This Row],[Stock_Quantity]]*tblInventory[[#This Row],[Unit_Price]]</f>
        <v>280</v>
      </c>
      <c r="W133" s="1" t="str">
        <f>IF(tblInventory[[#This Row],[Status]]="Discontinued","INACTIVE",
IF(tblInventory[[#This Row],[Stock_Quantity]] &lt; tblInventory[[#This Row],[Reorder_Level]],"REORDER","OK"))</f>
        <v>REORDER</v>
      </c>
      <c r="X133" s="1" t="str">
        <f t="shared" ca="1" si="5"/>
        <v>Expired</v>
      </c>
    </row>
    <row r="134" spans="1:24">
      <c r="A134" s="1">
        <v>133</v>
      </c>
      <c r="B134" s="1" t="s">
        <v>2708</v>
      </c>
      <c r="C134" s="1" t="s">
        <v>557</v>
      </c>
      <c r="D134" s="1" t="s">
        <v>49</v>
      </c>
      <c r="E134" s="1" t="s">
        <v>2709</v>
      </c>
      <c r="F134" s="1" t="s">
        <v>263</v>
      </c>
      <c r="G134" s="6">
        <v>87</v>
      </c>
      <c r="H134" s="8">
        <f>tblInventory[[#This Row],[Stock_Quantity]] * tblInventory[[#This Row],[Unit_Price]]</f>
        <v>870</v>
      </c>
      <c r="I134" s="1">
        <v>51</v>
      </c>
      <c r="J134" s="1">
        <v>67</v>
      </c>
      <c r="K134" s="8">
        <f>tblInventory[[#This Row],[Reorder_Quantity]]*M134</f>
        <v>670</v>
      </c>
      <c r="L134" s="10">
        <f>tblInventory[[#This Row],[Stock_Quantity]] / tblInventory[[#This Row],[Reorder_Quantity]]</f>
        <v>1.2985074626865671</v>
      </c>
      <c r="M134" s="3">
        <v>10</v>
      </c>
      <c r="N134" s="10">
        <f t="shared" si="4"/>
        <v>1.4770797962648556</v>
      </c>
      <c r="O134" s="2">
        <v>45839</v>
      </c>
      <c r="P134" s="2">
        <v>45418</v>
      </c>
      <c r="Q134" s="2">
        <v>46232</v>
      </c>
      <c r="R134" s="1" t="s">
        <v>2710</v>
      </c>
      <c r="S134" s="1">
        <v>55</v>
      </c>
      <c r="T134" s="1">
        <v>100</v>
      </c>
      <c r="U134" s="1" t="s">
        <v>38</v>
      </c>
      <c r="V134" s="3">
        <f>tblInventory[[#This Row],[Stock_Quantity]]*tblInventory[[#This Row],[Unit_Price]]</f>
        <v>870</v>
      </c>
      <c r="W134" s="1" t="str">
        <f>IF(tblInventory[[#This Row],[Status]]="Discontinued","INACTIVE",
IF(tblInventory[[#This Row],[Stock_Quantity]] &lt; tblInventory[[#This Row],[Reorder_Level]],"REORDER","OK"))</f>
        <v>OK</v>
      </c>
      <c r="X134" s="1" t="str">
        <f t="shared" ca="1" si="5"/>
        <v>Valid</v>
      </c>
    </row>
    <row r="135" spans="1:24">
      <c r="A135" s="1">
        <v>134</v>
      </c>
      <c r="B135" s="1" t="s">
        <v>2958</v>
      </c>
      <c r="C135" s="1" t="s">
        <v>557</v>
      </c>
      <c r="D135" s="1" t="s">
        <v>49</v>
      </c>
      <c r="E135" s="1" t="s">
        <v>2959</v>
      </c>
      <c r="F135" s="1" t="s">
        <v>2433</v>
      </c>
      <c r="G135" s="6">
        <v>40</v>
      </c>
      <c r="H135" s="8">
        <f>tblInventory[[#This Row],[Stock_Quantity]] * tblInventory[[#This Row],[Unit_Price]]</f>
        <v>400</v>
      </c>
      <c r="I135" s="1">
        <v>61</v>
      </c>
      <c r="J135" s="1">
        <v>47</v>
      </c>
      <c r="K135" s="8">
        <f>tblInventory[[#This Row],[Reorder_Quantity]]*M135</f>
        <v>470</v>
      </c>
      <c r="L135" s="10">
        <f>tblInventory[[#This Row],[Stock_Quantity]] / tblInventory[[#This Row],[Reorder_Quantity]]</f>
        <v>0.85106382978723405</v>
      </c>
      <c r="M135" s="3">
        <v>10</v>
      </c>
      <c r="N135" s="10">
        <f t="shared" si="4"/>
        <v>0.6791171477079796</v>
      </c>
      <c r="O135" s="1" t="s">
        <v>596</v>
      </c>
      <c r="P135" s="2">
        <v>45602</v>
      </c>
      <c r="Q135" s="2">
        <v>46308</v>
      </c>
      <c r="R135" s="1" t="s">
        <v>2960</v>
      </c>
      <c r="S135" s="1">
        <v>76</v>
      </c>
      <c r="T135" s="1">
        <v>10</v>
      </c>
      <c r="U135" s="1" t="s">
        <v>24</v>
      </c>
      <c r="V135" s="3">
        <f>tblInventory[[#This Row],[Stock_Quantity]]*tblInventory[[#This Row],[Unit_Price]]</f>
        <v>400</v>
      </c>
      <c r="W135" s="1" t="str">
        <f>IF(tblInventory[[#This Row],[Status]]="Discontinued","INACTIVE",
IF(tblInventory[[#This Row],[Stock_Quantity]] &lt; tblInventory[[#This Row],[Reorder_Level]],"REORDER","OK"))</f>
        <v>INACTIVE</v>
      </c>
      <c r="X135" s="1" t="str">
        <f t="shared" ca="1" si="5"/>
        <v>Valid</v>
      </c>
    </row>
    <row r="136" spans="1:24">
      <c r="A136" s="1">
        <v>135</v>
      </c>
      <c r="B136" s="1" t="s">
        <v>124</v>
      </c>
      <c r="C136" s="1" t="s">
        <v>125</v>
      </c>
      <c r="D136" s="1" t="s">
        <v>17</v>
      </c>
      <c r="E136" s="1" t="s">
        <v>126</v>
      </c>
      <c r="F136" s="1" t="s">
        <v>127</v>
      </c>
      <c r="G136" s="6">
        <v>27</v>
      </c>
      <c r="H136" s="8">
        <f>tblInventory[[#This Row],[Stock_Quantity]] * tblInventory[[#This Row],[Unit_Price]]</f>
        <v>40.5</v>
      </c>
      <c r="I136" s="1">
        <v>93</v>
      </c>
      <c r="J136" s="1">
        <v>88</v>
      </c>
      <c r="K136" s="8">
        <f>tblInventory[[#This Row],[Reorder_Quantity]]*M136</f>
        <v>132</v>
      </c>
      <c r="L136" s="10">
        <f>tblInventory[[#This Row],[Stock_Quantity]] / tblInventory[[#This Row],[Reorder_Quantity]]</f>
        <v>0.30681818181818182</v>
      </c>
      <c r="M136" s="3">
        <v>1.5</v>
      </c>
      <c r="N136" s="10">
        <f t="shared" si="4"/>
        <v>0.45840407470288624</v>
      </c>
      <c r="O136" s="1" t="s">
        <v>128</v>
      </c>
      <c r="P136" s="2">
        <v>45538</v>
      </c>
      <c r="Q136" s="2">
        <v>45422</v>
      </c>
      <c r="R136" s="1" t="s">
        <v>129</v>
      </c>
      <c r="S136" s="1">
        <v>66</v>
      </c>
      <c r="T136" s="1">
        <v>13</v>
      </c>
      <c r="U136" s="1" t="s">
        <v>46</v>
      </c>
      <c r="V136" s="3">
        <f>tblInventory[[#This Row],[Stock_Quantity]]*tblInventory[[#This Row],[Unit_Price]]</f>
        <v>40.5</v>
      </c>
      <c r="W136" s="1" t="str">
        <f>IF(tblInventory[[#This Row],[Status]]="Discontinued","INACTIVE",
IF(tblInventory[[#This Row],[Stock_Quantity]] &lt; tblInventory[[#This Row],[Reorder_Level]],"REORDER","OK"))</f>
        <v>REORDER</v>
      </c>
      <c r="X136" s="1" t="str">
        <f t="shared" ca="1" si="5"/>
        <v>Expired</v>
      </c>
    </row>
    <row r="137" spans="1:24">
      <c r="A137" s="1">
        <v>136</v>
      </c>
      <c r="B137" s="1" t="s">
        <v>319</v>
      </c>
      <c r="C137" s="1" t="s">
        <v>125</v>
      </c>
      <c r="D137" s="1" t="s">
        <v>17</v>
      </c>
      <c r="E137" s="1" t="s">
        <v>320</v>
      </c>
      <c r="F137" s="1" t="s">
        <v>321</v>
      </c>
      <c r="G137" s="6">
        <v>14</v>
      </c>
      <c r="H137" s="8">
        <f>tblInventory[[#This Row],[Stock_Quantity]] * tblInventory[[#This Row],[Unit_Price]]</f>
        <v>21</v>
      </c>
      <c r="I137" s="1">
        <v>74</v>
      </c>
      <c r="J137" s="1">
        <v>71</v>
      </c>
      <c r="K137" s="8">
        <f>tblInventory[[#This Row],[Reorder_Quantity]]*M137</f>
        <v>106.5</v>
      </c>
      <c r="L137" s="10">
        <f>tblInventory[[#This Row],[Stock_Quantity]] / tblInventory[[#This Row],[Reorder_Quantity]]</f>
        <v>0.19718309859154928</v>
      </c>
      <c r="M137" s="3">
        <v>1.5</v>
      </c>
      <c r="N137" s="10">
        <f t="shared" si="4"/>
        <v>0.23769100169779286</v>
      </c>
      <c r="O137" s="1" t="s">
        <v>211</v>
      </c>
      <c r="P137" s="1" t="s">
        <v>322</v>
      </c>
      <c r="Q137" s="2">
        <v>45393</v>
      </c>
      <c r="R137" s="1" t="s">
        <v>324</v>
      </c>
      <c r="S137" s="1">
        <v>37</v>
      </c>
      <c r="T137" s="1">
        <v>22</v>
      </c>
      <c r="U137" s="1" t="s">
        <v>24</v>
      </c>
      <c r="V137" s="3">
        <f>tblInventory[[#This Row],[Stock_Quantity]]*tblInventory[[#This Row],[Unit_Price]]</f>
        <v>21</v>
      </c>
      <c r="W137" s="1" t="str">
        <f>IF(tblInventory[[#This Row],[Status]]="Discontinued","INACTIVE",
IF(tblInventory[[#This Row],[Stock_Quantity]] &lt; tblInventory[[#This Row],[Reorder_Level]],"REORDER","OK"))</f>
        <v>INACTIVE</v>
      </c>
      <c r="X137" s="1" t="str">
        <f t="shared" ca="1" si="5"/>
        <v>Expired</v>
      </c>
    </row>
    <row r="138" spans="1:24">
      <c r="A138" s="1">
        <v>137</v>
      </c>
      <c r="B138" s="1" t="s">
        <v>538</v>
      </c>
      <c r="C138" s="1" t="s">
        <v>125</v>
      </c>
      <c r="D138" s="1" t="s">
        <v>17</v>
      </c>
      <c r="E138" s="1" t="s">
        <v>539</v>
      </c>
      <c r="F138" s="1" t="s">
        <v>142</v>
      </c>
      <c r="G138" s="6">
        <v>21</v>
      </c>
      <c r="H138" s="8">
        <f>tblInventory[[#This Row],[Stock_Quantity]] * tblInventory[[#This Row],[Unit_Price]]</f>
        <v>31.5</v>
      </c>
      <c r="I138" s="1">
        <v>63</v>
      </c>
      <c r="J138" s="1">
        <v>65</v>
      </c>
      <c r="K138" s="8">
        <f>tblInventory[[#This Row],[Reorder_Quantity]]*M138</f>
        <v>97.5</v>
      </c>
      <c r="L138" s="10">
        <f>tblInventory[[#This Row],[Stock_Quantity]] / tblInventory[[#This Row],[Reorder_Quantity]]</f>
        <v>0.32307692307692309</v>
      </c>
      <c r="M138" s="3">
        <v>1.5</v>
      </c>
      <c r="N138" s="10">
        <f t="shared" si="4"/>
        <v>0.35653650254668934</v>
      </c>
      <c r="O138" s="2">
        <v>45514</v>
      </c>
      <c r="P138" s="2">
        <v>45576</v>
      </c>
      <c r="Q138" s="2">
        <v>45640</v>
      </c>
      <c r="R138" s="1" t="s">
        <v>540</v>
      </c>
      <c r="S138" s="1">
        <v>38</v>
      </c>
      <c r="T138" s="1">
        <v>73</v>
      </c>
      <c r="U138" s="1" t="s">
        <v>24</v>
      </c>
      <c r="V138" s="3">
        <f>tblInventory[[#This Row],[Stock_Quantity]]*tblInventory[[#This Row],[Unit_Price]]</f>
        <v>31.5</v>
      </c>
      <c r="W138" s="1" t="str">
        <f>IF(tblInventory[[#This Row],[Status]]="Discontinued","INACTIVE",
IF(tblInventory[[#This Row],[Stock_Quantity]] &lt; tblInventory[[#This Row],[Reorder_Level]],"REORDER","OK"))</f>
        <v>INACTIVE</v>
      </c>
      <c r="X138" s="1" t="str">
        <f t="shared" ca="1" si="5"/>
        <v>Expired</v>
      </c>
    </row>
    <row r="139" spans="1:24">
      <c r="A139" s="1">
        <v>138</v>
      </c>
      <c r="B139" s="1" t="s">
        <v>617</v>
      </c>
      <c r="C139" s="1" t="s">
        <v>125</v>
      </c>
      <c r="D139" s="1" t="s">
        <v>17</v>
      </c>
      <c r="E139" s="1" t="s">
        <v>618</v>
      </c>
      <c r="F139" s="1" t="s">
        <v>619</v>
      </c>
      <c r="G139" s="6">
        <v>84</v>
      </c>
      <c r="H139" s="8">
        <f>tblInventory[[#This Row],[Stock_Quantity]] * tblInventory[[#This Row],[Unit_Price]]</f>
        <v>126</v>
      </c>
      <c r="I139" s="1">
        <v>92</v>
      </c>
      <c r="J139" s="1">
        <v>18</v>
      </c>
      <c r="K139" s="8">
        <f>tblInventory[[#This Row],[Reorder_Quantity]]*M139</f>
        <v>27</v>
      </c>
      <c r="L139" s="10">
        <f>tblInventory[[#This Row],[Stock_Quantity]] / tblInventory[[#This Row],[Reorder_Quantity]]</f>
        <v>4.666666666666667</v>
      </c>
      <c r="M139" s="3">
        <v>1.5</v>
      </c>
      <c r="N139" s="10">
        <f t="shared" si="4"/>
        <v>1.4261460101867574</v>
      </c>
      <c r="O139" s="1" t="s">
        <v>620</v>
      </c>
      <c r="P139" s="1" t="s">
        <v>621</v>
      </c>
      <c r="Q139" s="2">
        <v>45655</v>
      </c>
      <c r="R139" s="1" t="s">
        <v>623</v>
      </c>
      <c r="S139" s="1">
        <v>92</v>
      </c>
      <c r="T139" s="1">
        <v>69</v>
      </c>
      <c r="U139" s="1" t="s">
        <v>46</v>
      </c>
      <c r="V139" s="3">
        <f>tblInventory[[#This Row],[Stock_Quantity]]*tblInventory[[#This Row],[Unit_Price]]</f>
        <v>126</v>
      </c>
      <c r="W139" s="1" t="str">
        <f>IF(tblInventory[[#This Row],[Status]]="Discontinued","INACTIVE",
IF(tblInventory[[#This Row],[Stock_Quantity]] &lt; tblInventory[[#This Row],[Reorder_Level]],"REORDER","OK"))</f>
        <v>REORDER</v>
      </c>
      <c r="X139" s="1" t="str">
        <f t="shared" ca="1" si="5"/>
        <v>Expired</v>
      </c>
    </row>
    <row r="140" spans="1:24">
      <c r="A140" s="1">
        <v>139</v>
      </c>
      <c r="B140" s="1" t="s">
        <v>753</v>
      </c>
      <c r="C140" s="1" t="s">
        <v>125</v>
      </c>
      <c r="D140" s="1" t="s">
        <v>17</v>
      </c>
      <c r="E140" s="1" t="s">
        <v>754</v>
      </c>
      <c r="F140" s="1" t="s">
        <v>755</v>
      </c>
      <c r="G140" s="6">
        <v>34</v>
      </c>
      <c r="H140" s="8">
        <f>tblInventory[[#This Row],[Stock_Quantity]] * tblInventory[[#This Row],[Unit_Price]]</f>
        <v>51</v>
      </c>
      <c r="I140" s="1">
        <v>46</v>
      </c>
      <c r="J140" s="1">
        <v>45</v>
      </c>
      <c r="K140" s="8">
        <f>tblInventory[[#This Row],[Reorder_Quantity]]*M140</f>
        <v>67.5</v>
      </c>
      <c r="L140" s="10">
        <f>tblInventory[[#This Row],[Stock_Quantity]] / tblInventory[[#This Row],[Reorder_Quantity]]</f>
        <v>0.75555555555555554</v>
      </c>
      <c r="M140" s="3">
        <v>1.5</v>
      </c>
      <c r="N140" s="10">
        <f t="shared" si="4"/>
        <v>0.57724957555178269</v>
      </c>
      <c r="O140" s="2">
        <v>45545</v>
      </c>
      <c r="P140" s="2">
        <v>45608</v>
      </c>
      <c r="Q140" s="2">
        <v>45684</v>
      </c>
      <c r="R140" s="1" t="s">
        <v>756</v>
      </c>
      <c r="S140" s="1">
        <v>49</v>
      </c>
      <c r="T140" s="1">
        <v>25</v>
      </c>
      <c r="U140" s="1" t="s">
        <v>38</v>
      </c>
      <c r="V140" s="3">
        <f>tblInventory[[#This Row],[Stock_Quantity]]*tblInventory[[#This Row],[Unit_Price]]</f>
        <v>51</v>
      </c>
      <c r="W140" s="1" t="str">
        <f>IF(tblInventory[[#This Row],[Status]]="Discontinued","INACTIVE",
IF(tblInventory[[#This Row],[Stock_Quantity]] &lt; tblInventory[[#This Row],[Reorder_Level]],"REORDER","OK"))</f>
        <v>REORDER</v>
      </c>
      <c r="X140" s="1" t="str">
        <f t="shared" ca="1" si="5"/>
        <v>Expired</v>
      </c>
    </row>
    <row r="141" spans="1:24">
      <c r="A141" s="1">
        <v>140</v>
      </c>
      <c r="B141" s="1" t="s">
        <v>1159</v>
      </c>
      <c r="C141" s="1" t="s">
        <v>125</v>
      </c>
      <c r="D141" s="1" t="s">
        <v>17</v>
      </c>
      <c r="E141" s="1" t="s">
        <v>1160</v>
      </c>
      <c r="F141" s="1" t="s">
        <v>1161</v>
      </c>
      <c r="G141" s="6">
        <v>97</v>
      </c>
      <c r="H141" s="8">
        <f>tblInventory[[#This Row],[Stock_Quantity]] * tblInventory[[#This Row],[Unit_Price]]</f>
        <v>145.5</v>
      </c>
      <c r="I141" s="1">
        <v>41</v>
      </c>
      <c r="J141" s="1">
        <v>68</v>
      </c>
      <c r="K141" s="8">
        <f>tblInventory[[#This Row],[Reorder_Quantity]]*M141</f>
        <v>102</v>
      </c>
      <c r="L141" s="10">
        <f>tblInventory[[#This Row],[Stock_Quantity]] / tblInventory[[#This Row],[Reorder_Quantity]]</f>
        <v>1.4264705882352942</v>
      </c>
      <c r="M141" s="3">
        <v>1.5</v>
      </c>
      <c r="N141" s="10">
        <f t="shared" si="4"/>
        <v>1.6468590831918506</v>
      </c>
      <c r="O141" s="1" t="s">
        <v>1162</v>
      </c>
      <c r="P141" s="2">
        <v>45392</v>
      </c>
      <c r="Q141" s="2">
        <v>45693</v>
      </c>
      <c r="R141" s="1" t="s">
        <v>1163</v>
      </c>
      <c r="S141" s="1">
        <v>35</v>
      </c>
      <c r="T141" s="1">
        <v>16</v>
      </c>
      <c r="U141" s="1" t="s">
        <v>24</v>
      </c>
      <c r="V141" s="3">
        <f>tblInventory[[#This Row],[Stock_Quantity]]*tblInventory[[#This Row],[Unit_Price]]</f>
        <v>145.5</v>
      </c>
      <c r="W141" s="1" t="str">
        <f>IF(tblInventory[[#This Row],[Status]]="Discontinued","INACTIVE",
IF(tblInventory[[#This Row],[Stock_Quantity]] &lt; tblInventory[[#This Row],[Reorder_Level]],"REORDER","OK"))</f>
        <v>INACTIVE</v>
      </c>
      <c r="X141" s="1" t="str">
        <f t="shared" ca="1" si="5"/>
        <v>Expired</v>
      </c>
    </row>
    <row r="142" spans="1:24">
      <c r="A142" s="1">
        <v>141</v>
      </c>
      <c r="B142" s="1" t="s">
        <v>1198</v>
      </c>
      <c r="C142" s="1" t="s">
        <v>125</v>
      </c>
      <c r="D142" s="1" t="s">
        <v>17</v>
      </c>
      <c r="E142" s="1" t="s">
        <v>1199</v>
      </c>
      <c r="F142" s="1" t="s">
        <v>1124</v>
      </c>
      <c r="G142" s="6">
        <v>62</v>
      </c>
      <c r="H142" s="8">
        <f>tblInventory[[#This Row],[Stock_Quantity]] * tblInventory[[#This Row],[Unit_Price]]</f>
        <v>93</v>
      </c>
      <c r="I142" s="1">
        <v>79</v>
      </c>
      <c r="J142" s="1">
        <v>23</v>
      </c>
      <c r="K142" s="8">
        <f>tblInventory[[#This Row],[Reorder_Quantity]]*M142</f>
        <v>34.5</v>
      </c>
      <c r="L142" s="10">
        <f>tblInventory[[#This Row],[Stock_Quantity]] / tblInventory[[#This Row],[Reorder_Quantity]]</f>
        <v>2.6956521739130435</v>
      </c>
      <c r="M142" s="3">
        <v>1.5</v>
      </c>
      <c r="N142" s="10">
        <f t="shared" si="4"/>
        <v>1.0526315789473684</v>
      </c>
      <c r="O142" s="1" t="s">
        <v>298</v>
      </c>
      <c r="P142" s="1" t="s">
        <v>560</v>
      </c>
      <c r="Q142" s="2">
        <v>45966</v>
      </c>
      <c r="R142" s="1" t="s">
        <v>1200</v>
      </c>
      <c r="S142" s="1">
        <v>32</v>
      </c>
      <c r="T142" s="1">
        <v>80</v>
      </c>
      <c r="U142" s="1" t="s">
        <v>46</v>
      </c>
      <c r="V142" s="3">
        <f>tblInventory[[#This Row],[Stock_Quantity]]*tblInventory[[#This Row],[Unit_Price]]</f>
        <v>93</v>
      </c>
      <c r="W142" s="1" t="str">
        <f>IF(tblInventory[[#This Row],[Status]]="Discontinued","INACTIVE",
IF(tblInventory[[#This Row],[Stock_Quantity]] &lt; tblInventory[[#This Row],[Reorder_Level]],"REORDER","OK"))</f>
        <v>REORDER</v>
      </c>
      <c r="X142" s="1" t="str">
        <f t="shared" ca="1" si="5"/>
        <v>Expired</v>
      </c>
    </row>
    <row r="143" spans="1:24">
      <c r="A143" s="1">
        <v>142</v>
      </c>
      <c r="B143" s="1" t="s">
        <v>1270</v>
      </c>
      <c r="C143" s="1" t="s">
        <v>125</v>
      </c>
      <c r="D143" s="1" t="s">
        <v>17</v>
      </c>
      <c r="E143" s="1" t="s">
        <v>1271</v>
      </c>
      <c r="F143" s="1" t="s">
        <v>1272</v>
      </c>
      <c r="G143" s="6">
        <v>57</v>
      </c>
      <c r="H143" s="8">
        <f>tblInventory[[#This Row],[Stock_Quantity]] * tblInventory[[#This Row],[Unit_Price]]</f>
        <v>85.5</v>
      </c>
      <c r="I143" s="1">
        <v>63</v>
      </c>
      <c r="J143" s="1">
        <v>41</v>
      </c>
      <c r="K143" s="8">
        <f>tblInventory[[#This Row],[Reorder_Quantity]]*M143</f>
        <v>61.5</v>
      </c>
      <c r="L143" s="10">
        <f>tblInventory[[#This Row],[Stock_Quantity]] / tblInventory[[#This Row],[Reorder_Quantity]]</f>
        <v>1.3902439024390243</v>
      </c>
      <c r="M143" s="3">
        <v>1.5</v>
      </c>
      <c r="N143" s="10">
        <f t="shared" si="4"/>
        <v>0.967741935483871</v>
      </c>
      <c r="O143" s="1" t="s">
        <v>1273</v>
      </c>
      <c r="P143" s="1" t="s">
        <v>566</v>
      </c>
      <c r="Q143" s="2">
        <v>45808</v>
      </c>
      <c r="R143" s="1" t="s">
        <v>1274</v>
      </c>
      <c r="S143" s="1">
        <v>53</v>
      </c>
      <c r="T143" s="1">
        <v>94</v>
      </c>
      <c r="U143" s="1" t="s">
        <v>24</v>
      </c>
      <c r="V143" s="3">
        <f>tblInventory[[#This Row],[Stock_Quantity]]*tblInventory[[#This Row],[Unit_Price]]</f>
        <v>85.5</v>
      </c>
      <c r="W143" s="1" t="str">
        <f>IF(tblInventory[[#This Row],[Status]]="Discontinued","INACTIVE",
IF(tblInventory[[#This Row],[Stock_Quantity]] &lt; tblInventory[[#This Row],[Reorder_Level]],"REORDER","OK"))</f>
        <v>INACTIVE</v>
      </c>
      <c r="X143" s="1" t="str">
        <f t="shared" ca="1" si="5"/>
        <v>Expired</v>
      </c>
    </row>
    <row r="144" spans="1:24">
      <c r="A144" s="1">
        <v>143</v>
      </c>
      <c r="B144" s="1" t="s">
        <v>1304</v>
      </c>
      <c r="C144" s="1" t="s">
        <v>125</v>
      </c>
      <c r="D144" s="1" t="s">
        <v>17</v>
      </c>
      <c r="E144" s="1" t="s">
        <v>1305</v>
      </c>
      <c r="F144" s="1" t="s">
        <v>1306</v>
      </c>
      <c r="G144" s="6">
        <v>70</v>
      </c>
      <c r="H144" s="8">
        <f>tblInventory[[#This Row],[Stock_Quantity]] * tblInventory[[#This Row],[Unit_Price]]</f>
        <v>105</v>
      </c>
      <c r="I144" s="1">
        <v>96</v>
      </c>
      <c r="J144" s="1">
        <v>92</v>
      </c>
      <c r="K144" s="8">
        <f>tblInventory[[#This Row],[Reorder_Quantity]]*M144</f>
        <v>138</v>
      </c>
      <c r="L144" s="10">
        <f>tblInventory[[#This Row],[Stock_Quantity]] / tblInventory[[#This Row],[Reorder_Quantity]]</f>
        <v>0.76086956521739135</v>
      </c>
      <c r="M144" s="3">
        <v>1.5</v>
      </c>
      <c r="N144" s="10">
        <f t="shared" si="4"/>
        <v>1.1884550084889645</v>
      </c>
      <c r="O144" s="1" t="s">
        <v>901</v>
      </c>
      <c r="P144" s="1" t="s">
        <v>428</v>
      </c>
      <c r="Q144" s="2">
        <v>45875</v>
      </c>
      <c r="R144" s="1" t="s">
        <v>1307</v>
      </c>
      <c r="S144" s="1">
        <v>27</v>
      </c>
      <c r="T144" s="1">
        <v>58</v>
      </c>
      <c r="U144" s="1" t="s">
        <v>38</v>
      </c>
      <c r="V144" s="3">
        <f>tblInventory[[#This Row],[Stock_Quantity]]*tblInventory[[#This Row],[Unit_Price]]</f>
        <v>105</v>
      </c>
      <c r="W144" s="1" t="str">
        <f>IF(tblInventory[[#This Row],[Status]]="Discontinued","INACTIVE",
IF(tblInventory[[#This Row],[Stock_Quantity]] &lt; tblInventory[[#This Row],[Reorder_Level]],"REORDER","OK"))</f>
        <v>REORDER</v>
      </c>
      <c r="X144" s="1" t="str">
        <f t="shared" ca="1" si="5"/>
        <v>Expired</v>
      </c>
    </row>
    <row r="145" spans="1:24">
      <c r="A145" s="1">
        <v>144</v>
      </c>
      <c r="B145" s="1" t="s">
        <v>1495</v>
      </c>
      <c r="C145" s="1" t="s">
        <v>125</v>
      </c>
      <c r="D145" s="1" t="s">
        <v>17</v>
      </c>
      <c r="E145" s="1" t="s">
        <v>1496</v>
      </c>
      <c r="F145" s="1" t="s">
        <v>449</v>
      </c>
      <c r="G145" s="6">
        <v>84</v>
      </c>
      <c r="H145" s="8">
        <f>tblInventory[[#This Row],[Stock_Quantity]] * tblInventory[[#This Row],[Unit_Price]]</f>
        <v>126</v>
      </c>
      <c r="I145" s="1">
        <v>91</v>
      </c>
      <c r="J145" s="1">
        <v>86</v>
      </c>
      <c r="K145" s="8">
        <f>tblInventory[[#This Row],[Reorder_Quantity]]*M145</f>
        <v>129</v>
      </c>
      <c r="L145" s="10">
        <f>tblInventory[[#This Row],[Stock_Quantity]] / tblInventory[[#This Row],[Reorder_Quantity]]</f>
        <v>0.97674418604651159</v>
      </c>
      <c r="M145" s="3">
        <v>1.5</v>
      </c>
      <c r="N145" s="10">
        <f t="shared" si="4"/>
        <v>1.4261460101867574</v>
      </c>
      <c r="O145" s="2">
        <v>45870</v>
      </c>
      <c r="P145" s="2">
        <v>45485</v>
      </c>
      <c r="Q145" s="2">
        <v>45865</v>
      </c>
      <c r="R145" s="1" t="s">
        <v>1497</v>
      </c>
      <c r="S145" s="1">
        <v>83</v>
      </c>
      <c r="T145" s="1">
        <v>95</v>
      </c>
      <c r="U145" s="1" t="s">
        <v>38</v>
      </c>
      <c r="V145" s="3">
        <f>tblInventory[[#This Row],[Stock_Quantity]]*tblInventory[[#This Row],[Unit_Price]]</f>
        <v>126</v>
      </c>
      <c r="W145" s="1" t="str">
        <f>IF(tblInventory[[#This Row],[Status]]="Discontinued","INACTIVE",
IF(tblInventory[[#This Row],[Stock_Quantity]] &lt; tblInventory[[#This Row],[Reorder_Level]],"REORDER","OK"))</f>
        <v>REORDER</v>
      </c>
      <c r="X145" s="1" t="str">
        <f t="shared" ca="1" si="5"/>
        <v>Expired</v>
      </c>
    </row>
    <row r="146" spans="1:24">
      <c r="A146" s="1">
        <v>145</v>
      </c>
      <c r="B146" s="1" t="s">
        <v>1778</v>
      </c>
      <c r="C146" s="1" t="s">
        <v>125</v>
      </c>
      <c r="D146" s="1" t="s">
        <v>17</v>
      </c>
      <c r="E146" s="1" t="s">
        <v>1779</v>
      </c>
      <c r="F146" s="1" t="s">
        <v>1780</v>
      </c>
      <c r="G146" s="6">
        <v>96</v>
      </c>
      <c r="H146" s="8">
        <f>tblInventory[[#This Row],[Stock_Quantity]] * tblInventory[[#This Row],[Unit_Price]]</f>
        <v>144</v>
      </c>
      <c r="I146" s="1">
        <v>83</v>
      </c>
      <c r="J146" s="1">
        <v>50</v>
      </c>
      <c r="K146" s="8">
        <f>tblInventory[[#This Row],[Reorder_Quantity]]*M146</f>
        <v>75</v>
      </c>
      <c r="L146" s="10">
        <f>tblInventory[[#This Row],[Stock_Quantity]] / tblInventory[[#This Row],[Reorder_Quantity]]</f>
        <v>1.92</v>
      </c>
      <c r="M146" s="3">
        <v>1.5</v>
      </c>
      <c r="N146" s="10">
        <f t="shared" si="4"/>
        <v>1.6298811544991512</v>
      </c>
      <c r="O146" s="2">
        <v>45392</v>
      </c>
      <c r="P146" s="1" t="s">
        <v>632</v>
      </c>
      <c r="Q146" s="2">
        <v>45947</v>
      </c>
      <c r="R146" s="1" t="s">
        <v>1781</v>
      </c>
      <c r="S146" s="1">
        <v>81</v>
      </c>
      <c r="T146" s="1">
        <v>89</v>
      </c>
      <c r="U146" s="1" t="s">
        <v>24</v>
      </c>
      <c r="V146" s="3">
        <f>tblInventory[[#This Row],[Stock_Quantity]]*tblInventory[[#This Row],[Unit_Price]]</f>
        <v>144</v>
      </c>
      <c r="W146" s="1" t="str">
        <f>IF(tblInventory[[#This Row],[Status]]="Discontinued","INACTIVE",
IF(tblInventory[[#This Row],[Stock_Quantity]] &lt; tblInventory[[#This Row],[Reorder_Level]],"REORDER","OK"))</f>
        <v>INACTIVE</v>
      </c>
      <c r="X146" s="1" t="str">
        <f t="shared" ca="1" si="5"/>
        <v>Expired</v>
      </c>
    </row>
    <row r="147" spans="1:24">
      <c r="A147" s="1">
        <v>146</v>
      </c>
      <c r="B147" s="1" t="s">
        <v>1901</v>
      </c>
      <c r="C147" s="1" t="s">
        <v>125</v>
      </c>
      <c r="D147" s="1" t="s">
        <v>17</v>
      </c>
      <c r="E147" s="1" t="s">
        <v>1902</v>
      </c>
      <c r="F147" s="1" t="s">
        <v>882</v>
      </c>
      <c r="G147" s="6">
        <v>25</v>
      </c>
      <c r="H147" s="8">
        <f>tblInventory[[#This Row],[Stock_Quantity]] * tblInventory[[#This Row],[Unit_Price]]</f>
        <v>37.5</v>
      </c>
      <c r="I147" s="1">
        <v>60</v>
      </c>
      <c r="J147" s="1">
        <v>36</v>
      </c>
      <c r="K147" s="8">
        <f>tblInventory[[#This Row],[Reorder_Quantity]]*M147</f>
        <v>54</v>
      </c>
      <c r="L147" s="10">
        <f>tblInventory[[#This Row],[Stock_Quantity]] / tblInventory[[#This Row],[Reorder_Quantity]]</f>
        <v>0.69444444444444442</v>
      </c>
      <c r="M147" s="3">
        <v>1.5</v>
      </c>
      <c r="N147" s="10">
        <f t="shared" si="4"/>
        <v>0.42444821731748728</v>
      </c>
      <c r="O147" s="1" t="s">
        <v>259</v>
      </c>
      <c r="P147" s="1" t="s">
        <v>850</v>
      </c>
      <c r="Q147" s="2">
        <v>45983</v>
      </c>
      <c r="R147" s="1" t="s">
        <v>1903</v>
      </c>
      <c r="S147" s="1">
        <v>31</v>
      </c>
      <c r="T147" s="1">
        <v>41</v>
      </c>
      <c r="U147" s="1" t="s">
        <v>38</v>
      </c>
      <c r="V147" s="3">
        <f>tblInventory[[#This Row],[Stock_Quantity]]*tblInventory[[#This Row],[Unit_Price]]</f>
        <v>37.5</v>
      </c>
      <c r="W147" s="1" t="str">
        <f>IF(tblInventory[[#This Row],[Status]]="Discontinued","INACTIVE",
IF(tblInventory[[#This Row],[Stock_Quantity]] &lt; tblInventory[[#This Row],[Reorder_Level]],"REORDER","OK"))</f>
        <v>REORDER</v>
      </c>
      <c r="X147" s="1" t="str">
        <f t="shared" ca="1" si="5"/>
        <v>Expired</v>
      </c>
    </row>
    <row r="148" spans="1:24">
      <c r="A148" s="1">
        <v>147</v>
      </c>
      <c r="B148" s="1" t="s">
        <v>2323</v>
      </c>
      <c r="C148" s="1" t="s">
        <v>125</v>
      </c>
      <c r="D148" s="1" t="s">
        <v>17</v>
      </c>
      <c r="E148" s="1" t="s">
        <v>2324</v>
      </c>
      <c r="F148" s="1" t="s">
        <v>1020</v>
      </c>
      <c r="G148" s="6">
        <v>87</v>
      </c>
      <c r="H148" s="8">
        <f>tblInventory[[#This Row],[Stock_Quantity]] * tblInventory[[#This Row],[Unit_Price]]</f>
        <v>130.5</v>
      </c>
      <c r="I148" s="1">
        <v>97</v>
      </c>
      <c r="J148" s="1">
        <v>28</v>
      </c>
      <c r="K148" s="8">
        <f>tblInventory[[#This Row],[Reorder_Quantity]]*M148</f>
        <v>42</v>
      </c>
      <c r="L148" s="10">
        <f>tblInventory[[#This Row],[Stock_Quantity]] / tblInventory[[#This Row],[Reorder_Quantity]]</f>
        <v>3.1071428571428572</v>
      </c>
      <c r="M148" s="3">
        <v>1.5</v>
      </c>
      <c r="N148" s="10">
        <f t="shared" si="4"/>
        <v>1.4770797962648556</v>
      </c>
      <c r="O148" s="2">
        <v>45632</v>
      </c>
      <c r="P148" s="1" t="s">
        <v>409</v>
      </c>
      <c r="Q148" s="2">
        <v>46057</v>
      </c>
      <c r="R148" s="1" t="s">
        <v>2325</v>
      </c>
      <c r="S148" s="1">
        <v>58</v>
      </c>
      <c r="T148" s="1">
        <v>21</v>
      </c>
      <c r="U148" s="1" t="s">
        <v>46</v>
      </c>
      <c r="V148" s="3">
        <f>tblInventory[[#This Row],[Stock_Quantity]]*tblInventory[[#This Row],[Unit_Price]]</f>
        <v>130.5</v>
      </c>
      <c r="W148" s="1" t="str">
        <f>IF(tblInventory[[#This Row],[Status]]="Discontinued","INACTIVE",
IF(tblInventory[[#This Row],[Stock_Quantity]] &lt; tblInventory[[#This Row],[Reorder_Level]],"REORDER","OK"))</f>
        <v>REORDER</v>
      </c>
      <c r="X148" s="1" t="str">
        <f t="shared" ca="1" si="5"/>
        <v>Valid</v>
      </c>
    </row>
    <row r="149" spans="1:24">
      <c r="A149" s="1">
        <v>148</v>
      </c>
      <c r="B149" s="1" t="s">
        <v>2656</v>
      </c>
      <c r="C149" s="1" t="s">
        <v>125</v>
      </c>
      <c r="D149" s="1" t="s">
        <v>17</v>
      </c>
      <c r="E149" s="1" t="s">
        <v>2657</v>
      </c>
      <c r="F149" s="1" t="s">
        <v>381</v>
      </c>
      <c r="G149" s="6">
        <v>99</v>
      </c>
      <c r="H149" s="8">
        <f>tblInventory[[#This Row],[Stock_Quantity]] * tblInventory[[#This Row],[Unit_Price]]</f>
        <v>148.5</v>
      </c>
      <c r="I149" s="1">
        <v>54</v>
      </c>
      <c r="J149" s="1">
        <v>71</v>
      </c>
      <c r="K149" s="8">
        <f>tblInventory[[#This Row],[Reorder_Quantity]]*M149</f>
        <v>106.5</v>
      </c>
      <c r="L149" s="10">
        <f>tblInventory[[#This Row],[Stock_Quantity]] / tblInventory[[#This Row],[Reorder_Quantity]]</f>
        <v>1.3943661971830985</v>
      </c>
      <c r="M149" s="3">
        <v>1.5</v>
      </c>
      <c r="N149" s="10">
        <f t="shared" si="4"/>
        <v>1.6808149405772497</v>
      </c>
      <c r="O149" s="1" t="s">
        <v>518</v>
      </c>
      <c r="P149" s="1" t="s">
        <v>840</v>
      </c>
      <c r="Q149" s="2">
        <v>46216</v>
      </c>
      <c r="R149" s="1" t="s">
        <v>2658</v>
      </c>
      <c r="S149" s="1">
        <v>80</v>
      </c>
      <c r="T149" s="1">
        <v>10</v>
      </c>
      <c r="U149" s="1" t="s">
        <v>24</v>
      </c>
      <c r="V149" s="3">
        <f>tblInventory[[#This Row],[Stock_Quantity]]*tblInventory[[#This Row],[Unit_Price]]</f>
        <v>148.5</v>
      </c>
      <c r="W149" s="1" t="str">
        <f>IF(tblInventory[[#This Row],[Status]]="Discontinued","INACTIVE",
IF(tblInventory[[#This Row],[Stock_Quantity]] &lt; tblInventory[[#This Row],[Reorder_Level]],"REORDER","OK"))</f>
        <v>INACTIVE</v>
      </c>
      <c r="X149" s="1" t="str">
        <f t="shared" ca="1" si="5"/>
        <v>Valid</v>
      </c>
    </row>
    <row r="150" spans="1:24">
      <c r="A150" s="1">
        <v>149</v>
      </c>
      <c r="B150" s="1" t="s">
        <v>2863</v>
      </c>
      <c r="C150" s="1" t="s">
        <v>125</v>
      </c>
      <c r="D150" s="1" t="s">
        <v>17</v>
      </c>
      <c r="E150" s="1" t="s">
        <v>2864</v>
      </c>
      <c r="F150" s="1" t="s">
        <v>2865</v>
      </c>
      <c r="G150" s="6">
        <v>71</v>
      </c>
      <c r="H150" s="8">
        <f>tblInventory[[#This Row],[Stock_Quantity]] * tblInventory[[#This Row],[Unit_Price]]</f>
        <v>106.5</v>
      </c>
      <c r="I150" s="1">
        <v>77</v>
      </c>
      <c r="J150" s="1">
        <v>30</v>
      </c>
      <c r="K150" s="8">
        <f>tblInventory[[#This Row],[Reorder_Quantity]]*M150</f>
        <v>45</v>
      </c>
      <c r="L150" s="10">
        <f>tblInventory[[#This Row],[Stock_Quantity]] / tblInventory[[#This Row],[Reorder_Quantity]]</f>
        <v>2.3666666666666667</v>
      </c>
      <c r="M150" s="3">
        <v>1.5</v>
      </c>
      <c r="N150" s="10">
        <f t="shared" si="4"/>
        <v>1.2054329371816639</v>
      </c>
      <c r="O150" s="1" t="s">
        <v>1099</v>
      </c>
      <c r="P150" s="2">
        <v>45546</v>
      </c>
      <c r="Q150" s="2">
        <v>46278</v>
      </c>
      <c r="R150" s="1" t="s">
        <v>2866</v>
      </c>
      <c r="S150" s="1">
        <v>34</v>
      </c>
      <c r="T150" s="1">
        <v>57</v>
      </c>
      <c r="U150" s="1" t="s">
        <v>38</v>
      </c>
      <c r="V150" s="3">
        <f>tblInventory[[#This Row],[Stock_Quantity]]*tblInventory[[#This Row],[Unit_Price]]</f>
        <v>106.5</v>
      </c>
      <c r="W150" s="1" t="str">
        <f>IF(tblInventory[[#This Row],[Status]]="Discontinued","INACTIVE",
IF(tblInventory[[#This Row],[Stock_Quantity]] &lt; tblInventory[[#This Row],[Reorder_Level]],"REORDER","OK"))</f>
        <v>REORDER</v>
      </c>
      <c r="X150" s="1" t="str">
        <f t="shared" ca="1" si="5"/>
        <v>Valid</v>
      </c>
    </row>
    <row r="151" spans="1:24">
      <c r="A151" s="1">
        <v>150</v>
      </c>
      <c r="B151" s="1" t="s">
        <v>3076</v>
      </c>
      <c r="C151" s="1" t="s">
        <v>125</v>
      </c>
      <c r="D151" s="1" t="s">
        <v>17</v>
      </c>
      <c r="E151" s="1" t="s">
        <v>3077</v>
      </c>
      <c r="F151" s="1" t="s">
        <v>443</v>
      </c>
      <c r="G151" s="6">
        <v>54</v>
      </c>
      <c r="H151" s="8">
        <f>tblInventory[[#This Row],[Stock_Quantity]] * tblInventory[[#This Row],[Unit_Price]]</f>
        <v>81</v>
      </c>
      <c r="I151" s="1">
        <v>78</v>
      </c>
      <c r="J151" s="1">
        <v>81</v>
      </c>
      <c r="K151" s="8">
        <f>tblInventory[[#This Row],[Reorder_Quantity]]*M151</f>
        <v>121.5</v>
      </c>
      <c r="L151" s="10">
        <f>tblInventory[[#This Row],[Stock_Quantity]] / tblInventory[[#This Row],[Reorder_Quantity]]</f>
        <v>0.66666666666666663</v>
      </c>
      <c r="M151" s="3">
        <v>1.5</v>
      </c>
      <c r="N151" s="10">
        <f t="shared" si="4"/>
        <v>0.91680814940577249</v>
      </c>
      <c r="O151" s="2">
        <v>45327</v>
      </c>
      <c r="P151" s="1" t="s">
        <v>1357</v>
      </c>
      <c r="Q151" s="2">
        <v>46346</v>
      </c>
      <c r="R151" s="1" t="s">
        <v>3078</v>
      </c>
      <c r="S151" s="1">
        <v>41</v>
      </c>
      <c r="T151" s="1">
        <v>63</v>
      </c>
      <c r="U151" s="1" t="s">
        <v>38</v>
      </c>
      <c r="V151" s="3">
        <f>tblInventory[[#This Row],[Stock_Quantity]]*tblInventory[[#This Row],[Unit_Price]]</f>
        <v>81</v>
      </c>
      <c r="W151" s="1" t="str">
        <f>IF(tblInventory[[#This Row],[Status]]="Discontinued","INACTIVE",
IF(tblInventory[[#This Row],[Stock_Quantity]] &lt; tblInventory[[#This Row],[Reorder_Level]],"REORDER","OK"))</f>
        <v>REORDER</v>
      </c>
      <c r="X151" s="1" t="str">
        <f t="shared" ca="1" si="5"/>
        <v>Valid</v>
      </c>
    </row>
    <row r="152" spans="1:24">
      <c r="A152" s="1">
        <v>151</v>
      </c>
      <c r="B152" s="1" t="s">
        <v>3217</v>
      </c>
      <c r="C152" s="1" t="s">
        <v>125</v>
      </c>
      <c r="D152" s="1" t="s">
        <v>17</v>
      </c>
      <c r="E152" s="1" t="s">
        <v>3218</v>
      </c>
      <c r="F152" s="1" t="s">
        <v>401</v>
      </c>
      <c r="G152" s="6">
        <v>11</v>
      </c>
      <c r="H152" s="8">
        <f>tblInventory[[#This Row],[Stock_Quantity]] * tblInventory[[#This Row],[Unit_Price]]</f>
        <v>16.5</v>
      </c>
      <c r="I152" s="1">
        <v>77</v>
      </c>
      <c r="J152" s="1">
        <v>7</v>
      </c>
      <c r="K152" s="8">
        <f>tblInventory[[#This Row],[Reorder_Quantity]]*M152</f>
        <v>10.5</v>
      </c>
      <c r="L152" s="10">
        <f>tblInventory[[#This Row],[Stock_Quantity]] / tblInventory[[#This Row],[Reorder_Quantity]]</f>
        <v>1.5714285714285714</v>
      </c>
      <c r="M152" s="3">
        <v>1.5</v>
      </c>
      <c r="N152" s="10">
        <f t="shared" si="4"/>
        <v>0.18675721561969441</v>
      </c>
      <c r="O152" s="1" t="s">
        <v>1217</v>
      </c>
      <c r="P152" s="2">
        <v>45423</v>
      </c>
      <c r="Q152" s="2">
        <v>46478</v>
      </c>
      <c r="R152" s="1" t="s">
        <v>3219</v>
      </c>
      <c r="S152" s="1">
        <v>77</v>
      </c>
      <c r="T152" s="1">
        <v>46</v>
      </c>
      <c r="U152" s="1" t="s">
        <v>38</v>
      </c>
      <c r="V152" s="3">
        <f>tblInventory[[#This Row],[Stock_Quantity]]*tblInventory[[#This Row],[Unit_Price]]</f>
        <v>16.5</v>
      </c>
      <c r="W152" s="1" t="str">
        <f>IF(tblInventory[[#This Row],[Status]]="Discontinued","INACTIVE",
IF(tblInventory[[#This Row],[Stock_Quantity]] &lt; tblInventory[[#This Row],[Reorder_Level]],"REORDER","OK"))</f>
        <v>REORDER</v>
      </c>
      <c r="X152" s="1" t="str">
        <f t="shared" ca="1" si="5"/>
        <v>Valid</v>
      </c>
    </row>
    <row r="153" spans="1:24">
      <c r="A153" s="1">
        <v>152</v>
      </c>
      <c r="B153" s="1" t="s">
        <v>3223</v>
      </c>
      <c r="C153" s="1" t="s">
        <v>125</v>
      </c>
      <c r="D153" s="1" t="s">
        <v>17</v>
      </c>
      <c r="E153" s="1" t="s">
        <v>3224</v>
      </c>
      <c r="F153" s="1" t="s">
        <v>3062</v>
      </c>
      <c r="G153" s="6">
        <v>63</v>
      </c>
      <c r="H153" s="8">
        <f>tblInventory[[#This Row],[Stock_Quantity]] * tblInventory[[#This Row],[Unit_Price]]</f>
        <v>94.5</v>
      </c>
      <c r="I153" s="1">
        <v>43</v>
      </c>
      <c r="J153" s="1">
        <v>8</v>
      </c>
      <c r="K153" s="8">
        <f>tblInventory[[#This Row],[Reorder_Quantity]]*M153</f>
        <v>12</v>
      </c>
      <c r="L153" s="10">
        <f>tblInventory[[#This Row],[Stock_Quantity]] / tblInventory[[#This Row],[Reorder_Quantity]]</f>
        <v>7.875</v>
      </c>
      <c r="M153" s="3">
        <v>1.5</v>
      </c>
      <c r="N153" s="10">
        <f t="shared" si="4"/>
        <v>1.069609507640068</v>
      </c>
      <c r="O153" s="1" t="s">
        <v>395</v>
      </c>
      <c r="P153" s="1" t="s">
        <v>602</v>
      </c>
      <c r="Q153" s="2">
        <v>46539</v>
      </c>
      <c r="R153" s="1" t="s">
        <v>3225</v>
      </c>
      <c r="S153" s="1">
        <v>55</v>
      </c>
      <c r="T153" s="1">
        <v>72</v>
      </c>
      <c r="U153" s="1" t="s">
        <v>46</v>
      </c>
      <c r="V153" s="3">
        <f>tblInventory[[#This Row],[Stock_Quantity]]*tblInventory[[#This Row],[Unit_Price]]</f>
        <v>94.5</v>
      </c>
      <c r="W153" s="1" t="str">
        <f>IF(tblInventory[[#This Row],[Status]]="Discontinued","INACTIVE",
IF(tblInventory[[#This Row],[Stock_Quantity]] &lt; tblInventory[[#This Row],[Reorder_Level]],"REORDER","OK"))</f>
        <v>OK</v>
      </c>
      <c r="X153" s="1" t="str">
        <f t="shared" ca="1" si="5"/>
        <v>Valid</v>
      </c>
    </row>
    <row r="154" spans="1:24">
      <c r="A154" s="1">
        <v>153</v>
      </c>
      <c r="B154" s="1" t="s">
        <v>3448</v>
      </c>
      <c r="C154" s="1" t="s">
        <v>125</v>
      </c>
      <c r="D154" s="1" t="s">
        <v>17</v>
      </c>
      <c r="E154" s="1" t="s">
        <v>3449</v>
      </c>
      <c r="F154" s="1" t="s">
        <v>1191</v>
      </c>
      <c r="G154" s="6">
        <v>64</v>
      </c>
      <c r="H154" s="8">
        <f>tblInventory[[#This Row],[Stock_Quantity]] * tblInventory[[#This Row],[Unit_Price]]</f>
        <v>96</v>
      </c>
      <c r="I154" s="1">
        <v>11</v>
      </c>
      <c r="J154" s="1">
        <v>97</v>
      </c>
      <c r="K154" s="8">
        <f>tblInventory[[#This Row],[Reorder_Quantity]]*M154</f>
        <v>145.5</v>
      </c>
      <c r="L154" s="10">
        <f>tblInventory[[#This Row],[Stock_Quantity]] / tblInventory[[#This Row],[Reorder_Quantity]]</f>
        <v>0.65979381443298968</v>
      </c>
      <c r="M154" s="3">
        <v>1.5</v>
      </c>
      <c r="N154" s="10">
        <f t="shared" si="4"/>
        <v>1.0865874363327674</v>
      </c>
      <c r="O154" s="1" t="s">
        <v>247</v>
      </c>
      <c r="P154" s="1" t="s">
        <v>88</v>
      </c>
      <c r="Q154" s="2">
        <v>46466</v>
      </c>
      <c r="R154" s="1" t="s">
        <v>3450</v>
      </c>
      <c r="S154" s="1">
        <v>33</v>
      </c>
      <c r="T154" s="1">
        <v>83</v>
      </c>
      <c r="U154" s="1" t="s">
        <v>24</v>
      </c>
      <c r="V154" s="3">
        <f>tblInventory[[#This Row],[Stock_Quantity]]*tblInventory[[#This Row],[Unit_Price]]</f>
        <v>96</v>
      </c>
      <c r="W154" s="1" t="str">
        <f>IF(tblInventory[[#This Row],[Status]]="Discontinued","INACTIVE",
IF(tblInventory[[#This Row],[Stock_Quantity]] &lt; tblInventory[[#This Row],[Reorder_Level]],"REORDER","OK"))</f>
        <v>INACTIVE</v>
      </c>
      <c r="X154" s="1" t="str">
        <f t="shared" ca="1" si="5"/>
        <v>Valid</v>
      </c>
    </row>
    <row r="155" spans="1:24">
      <c r="A155" s="1">
        <v>154</v>
      </c>
      <c r="B155" s="1" t="s">
        <v>446</v>
      </c>
      <c r="C155" s="1" t="s">
        <v>447</v>
      </c>
      <c r="D155" s="1" t="s">
        <v>49</v>
      </c>
      <c r="E155" s="1" t="s">
        <v>448</v>
      </c>
      <c r="F155" s="1" t="s">
        <v>449</v>
      </c>
      <c r="G155" s="6">
        <v>73</v>
      </c>
      <c r="H155" s="8">
        <f>tblInventory[[#This Row],[Stock_Quantity]] * tblInventory[[#This Row],[Unit_Price]]</f>
        <v>292</v>
      </c>
      <c r="I155" s="1">
        <v>87</v>
      </c>
      <c r="J155" s="1">
        <v>46</v>
      </c>
      <c r="K155" s="8">
        <f>tblInventory[[#This Row],[Reorder_Quantity]]*M155</f>
        <v>184</v>
      </c>
      <c r="L155" s="10">
        <f>tblInventory[[#This Row],[Stock_Quantity]] / tblInventory[[#This Row],[Reorder_Quantity]]</f>
        <v>1.5869565217391304</v>
      </c>
      <c r="M155" s="3">
        <v>4</v>
      </c>
      <c r="N155" s="10">
        <f t="shared" si="4"/>
        <v>1.2393887945670627</v>
      </c>
      <c r="O155" s="1" t="s">
        <v>424</v>
      </c>
      <c r="P155" s="1" t="s">
        <v>450</v>
      </c>
      <c r="Q155" s="2">
        <v>45623</v>
      </c>
      <c r="R155" s="1" t="s">
        <v>451</v>
      </c>
      <c r="S155" s="1">
        <v>47</v>
      </c>
      <c r="T155" s="1">
        <v>67</v>
      </c>
      <c r="U155" s="1" t="s">
        <v>24</v>
      </c>
      <c r="V155" s="3">
        <f>tblInventory[[#This Row],[Stock_Quantity]]*tblInventory[[#This Row],[Unit_Price]]</f>
        <v>292</v>
      </c>
      <c r="W155" s="1" t="str">
        <f>IF(tblInventory[[#This Row],[Status]]="Discontinued","INACTIVE",
IF(tblInventory[[#This Row],[Stock_Quantity]] &lt; tblInventory[[#This Row],[Reorder_Level]],"REORDER","OK"))</f>
        <v>INACTIVE</v>
      </c>
      <c r="X155" s="1" t="str">
        <f t="shared" ca="1" si="5"/>
        <v>Expired</v>
      </c>
    </row>
    <row r="156" spans="1:24">
      <c r="A156" s="1">
        <v>155</v>
      </c>
      <c r="B156" s="1" t="s">
        <v>1113</v>
      </c>
      <c r="C156" s="1" t="s">
        <v>447</v>
      </c>
      <c r="D156" s="1" t="s">
        <v>49</v>
      </c>
      <c r="E156" s="1" t="s">
        <v>1114</v>
      </c>
      <c r="F156" s="1" t="s">
        <v>1115</v>
      </c>
      <c r="G156" s="6">
        <v>31</v>
      </c>
      <c r="H156" s="8">
        <f>tblInventory[[#This Row],[Stock_Quantity]] * tblInventory[[#This Row],[Unit_Price]]</f>
        <v>124</v>
      </c>
      <c r="I156" s="1">
        <v>54</v>
      </c>
      <c r="J156" s="1">
        <v>52</v>
      </c>
      <c r="K156" s="8">
        <f>tblInventory[[#This Row],[Reorder_Quantity]]*M156</f>
        <v>208</v>
      </c>
      <c r="L156" s="10">
        <f>tblInventory[[#This Row],[Stock_Quantity]] / tblInventory[[#This Row],[Reorder_Quantity]]</f>
        <v>0.59615384615384615</v>
      </c>
      <c r="M156" s="3">
        <v>4</v>
      </c>
      <c r="N156" s="10">
        <f t="shared" si="4"/>
        <v>0.52631578947368418</v>
      </c>
      <c r="O156" s="1" t="s">
        <v>567</v>
      </c>
      <c r="P156" s="2">
        <v>45516</v>
      </c>
      <c r="Q156" s="2">
        <v>45768</v>
      </c>
      <c r="R156" s="1" t="s">
        <v>1116</v>
      </c>
      <c r="S156" s="1">
        <v>69</v>
      </c>
      <c r="T156" s="1">
        <v>77</v>
      </c>
      <c r="U156" s="1" t="s">
        <v>46</v>
      </c>
      <c r="V156" s="3">
        <f>tblInventory[[#This Row],[Stock_Quantity]]*tblInventory[[#This Row],[Unit_Price]]</f>
        <v>124</v>
      </c>
      <c r="W156" s="1" t="str">
        <f>IF(tblInventory[[#This Row],[Status]]="Discontinued","INACTIVE",
IF(tblInventory[[#This Row],[Stock_Quantity]] &lt; tblInventory[[#This Row],[Reorder_Level]],"REORDER","OK"))</f>
        <v>REORDER</v>
      </c>
      <c r="X156" s="1" t="str">
        <f t="shared" ca="1" si="5"/>
        <v>Expired</v>
      </c>
    </row>
    <row r="157" spans="1:24">
      <c r="A157" s="1">
        <v>156</v>
      </c>
      <c r="B157" s="1" t="s">
        <v>1189</v>
      </c>
      <c r="C157" s="1" t="s">
        <v>447</v>
      </c>
      <c r="D157" s="1" t="s">
        <v>49</v>
      </c>
      <c r="E157" s="1" t="s">
        <v>1190</v>
      </c>
      <c r="F157" s="1" t="s">
        <v>1191</v>
      </c>
      <c r="G157" s="6">
        <v>40</v>
      </c>
      <c r="H157" s="8">
        <f>tblInventory[[#This Row],[Stock_Quantity]] * tblInventory[[#This Row],[Unit_Price]]</f>
        <v>160</v>
      </c>
      <c r="I157" s="1">
        <v>8</v>
      </c>
      <c r="J157" s="1">
        <v>98</v>
      </c>
      <c r="K157" s="8">
        <f>tblInventory[[#This Row],[Reorder_Quantity]]*M157</f>
        <v>392</v>
      </c>
      <c r="L157" s="10">
        <f>tblInventory[[#This Row],[Stock_Quantity]] / tblInventory[[#This Row],[Reorder_Quantity]]</f>
        <v>0.40816326530612246</v>
      </c>
      <c r="M157" s="3">
        <v>4</v>
      </c>
      <c r="N157" s="10">
        <f t="shared" si="4"/>
        <v>0.6791171477079796</v>
      </c>
      <c r="O157" s="1" t="s">
        <v>909</v>
      </c>
      <c r="P157" s="2">
        <v>45810</v>
      </c>
      <c r="Q157" s="2">
        <v>45905</v>
      </c>
      <c r="R157" s="1" t="s">
        <v>1192</v>
      </c>
      <c r="S157" s="1">
        <v>86</v>
      </c>
      <c r="T157" s="1">
        <v>12</v>
      </c>
      <c r="U157" s="1" t="s">
        <v>24</v>
      </c>
      <c r="V157" s="3">
        <f>tblInventory[[#This Row],[Stock_Quantity]]*tblInventory[[#This Row],[Unit_Price]]</f>
        <v>160</v>
      </c>
      <c r="W157" s="1" t="str">
        <f>IF(tblInventory[[#This Row],[Status]]="Discontinued","INACTIVE",
IF(tblInventory[[#This Row],[Stock_Quantity]] &lt; tblInventory[[#This Row],[Reorder_Level]],"REORDER","OK"))</f>
        <v>INACTIVE</v>
      </c>
      <c r="X157" s="1" t="str">
        <f t="shared" ca="1" si="5"/>
        <v>Expired</v>
      </c>
    </row>
    <row r="158" spans="1:24">
      <c r="A158" s="1">
        <v>157</v>
      </c>
      <c r="B158" s="1" t="s">
        <v>1275</v>
      </c>
      <c r="C158" s="1" t="s">
        <v>447</v>
      </c>
      <c r="D158" s="1" t="s">
        <v>49</v>
      </c>
      <c r="E158" s="1" t="s">
        <v>1276</v>
      </c>
      <c r="F158" s="1" t="s">
        <v>1277</v>
      </c>
      <c r="G158" s="6">
        <v>95</v>
      </c>
      <c r="H158" s="8">
        <f>tblInventory[[#This Row],[Stock_Quantity]] * tblInventory[[#This Row],[Unit_Price]]</f>
        <v>380</v>
      </c>
      <c r="I158" s="1">
        <v>29</v>
      </c>
      <c r="J158" s="1">
        <v>28</v>
      </c>
      <c r="K158" s="8">
        <f>tblInventory[[#This Row],[Reorder_Quantity]]*M158</f>
        <v>112</v>
      </c>
      <c r="L158" s="10">
        <f>tblInventory[[#This Row],[Stock_Quantity]] / tblInventory[[#This Row],[Reorder_Quantity]]</f>
        <v>3.3928571428571428</v>
      </c>
      <c r="M158" s="3">
        <v>4</v>
      </c>
      <c r="N158" s="10">
        <f t="shared" si="4"/>
        <v>1.6129032258064517</v>
      </c>
      <c r="O158" s="1" t="s">
        <v>1061</v>
      </c>
      <c r="P158" s="1" t="s">
        <v>438</v>
      </c>
      <c r="Q158" s="2">
        <v>45663</v>
      </c>
      <c r="R158" s="1" t="s">
        <v>1278</v>
      </c>
      <c r="S158" s="1">
        <v>52</v>
      </c>
      <c r="T158" s="1">
        <v>46</v>
      </c>
      <c r="U158" s="1" t="s">
        <v>24</v>
      </c>
      <c r="V158" s="3">
        <f>tblInventory[[#This Row],[Stock_Quantity]]*tblInventory[[#This Row],[Unit_Price]]</f>
        <v>380</v>
      </c>
      <c r="W158" s="1" t="str">
        <f>IF(tblInventory[[#This Row],[Status]]="Discontinued","INACTIVE",
IF(tblInventory[[#This Row],[Stock_Quantity]] &lt; tblInventory[[#This Row],[Reorder_Level]],"REORDER","OK"))</f>
        <v>INACTIVE</v>
      </c>
      <c r="X158" s="1" t="str">
        <f t="shared" ca="1" si="5"/>
        <v>Expired</v>
      </c>
    </row>
    <row r="159" spans="1:24">
      <c r="A159" s="1">
        <v>158</v>
      </c>
      <c r="B159" s="1" t="s">
        <v>1547</v>
      </c>
      <c r="C159" s="1" t="s">
        <v>447</v>
      </c>
      <c r="D159" s="1" t="s">
        <v>49</v>
      </c>
      <c r="E159" s="1" t="s">
        <v>1548</v>
      </c>
      <c r="F159" s="1" t="s">
        <v>1549</v>
      </c>
      <c r="G159" s="6">
        <v>30</v>
      </c>
      <c r="H159" s="8">
        <f>tblInventory[[#This Row],[Stock_Quantity]] * tblInventory[[#This Row],[Unit_Price]]</f>
        <v>120</v>
      </c>
      <c r="I159" s="1">
        <v>59</v>
      </c>
      <c r="J159" s="1">
        <v>76</v>
      </c>
      <c r="K159" s="8">
        <f>tblInventory[[#This Row],[Reorder_Quantity]]*M159</f>
        <v>304</v>
      </c>
      <c r="L159" s="10">
        <f>tblInventory[[#This Row],[Stock_Quantity]] / tblInventory[[#This Row],[Reorder_Quantity]]</f>
        <v>0.39473684210526316</v>
      </c>
      <c r="M159" s="3">
        <v>4</v>
      </c>
      <c r="N159" s="10">
        <f t="shared" si="4"/>
        <v>0.50933786078098475</v>
      </c>
      <c r="O159" s="1" t="s">
        <v>278</v>
      </c>
      <c r="P159" s="1" t="s">
        <v>1162</v>
      </c>
      <c r="Q159" s="2">
        <v>45969</v>
      </c>
      <c r="R159" s="1" t="s">
        <v>1550</v>
      </c>
      <c r="S159" s="1">
        <v>61</v>
      </c>
      <c r="T159" s="1">
        <v>3</v>
      </c>
      <c r="U159" s="1" t="s">
        <v>24</v>
      </c>
      <c r="V159" s="3">
        <f>tblInventory[[#This Row],[Stock_Quantity]]*tblInventory[[#This Row],[Unit_Price]]</f>
        <v>120</v>
      </c>
      <c r="W159" s="1" t="str">
        <f>IF(tblInventory[[#This Row],[Status]]="Discontinued","INACTIVE",
IF(tblInventory[[#This Row],[Stock_Quantity]] &lt; tblInventory[[#This Row],[Reorder_Level]],"REORDER","OK"))</f>
        <v>INACTIVE</v>
      </c>
      <c r="X159" s="1" t="str">
        <f t="shared" ca="1" si="5"/>
        <v>Expired</v>
      </c>
    </row>
    <row r="160" spans="1:24">
      <c r="A160" s="1">
        <v>159</v>
      </c>
      <c r="B160" s="1" t="s">
        <v>1950</v>
      </c>
      <c r="C160" s="1" t="s">
        <v>447</v>
      </c>
      <c r="D160" s="1" t="s">
        <v>49</v>
      </c>
      <c r="E160" s="1" t="s">
        <v>1951</v>
      </c>
      <c r="F160" s="1" t="s">
        <v>1517</v>
      </c>
      <c r="G160" s="6">
        <v>85</v>
      </c>
      <c r="H160" s="8">
        <f>tblInventory[[#This Row],[Stock_Quantity]] * tblInventory[[#This Row],[Unit_Price]]</f>
        <v>340</v>
      </c>
      <c r="I160" s="1">
        <v>54</v>
      </c>
      <c r="J160" s="1">
        <v>18</v>
      </c>
      <c r="K160" s="8">
        <f>tblInventory[[#This Row],[Reorder_Quantity]]*M160</f>
        <v>72</v>
      </c>
      <c r="L160" s="10">
        <f>tblInventory[[#This Row],[Stock_Quantity]] / tblInventory[[#This Row],[Reorder_Quantity]]</f>
        <v>4.7222222222222223</v>
      </c>
      <c r="M160" s="3">
        <v>4</v>
      </c>
      <c r="N160" s="10">
        <f t="shared" si="4"/>
        <v>1.4431239388794568</v>
      </c>
      <c r="O160" s="1" t="s">
        <v>334</v>
      </c>
      <c r="P160" s="1" t="s">
        <v>389</v>
      </c>
      <c r="Q160" s="2">
        <v>45850</v>
      </c>
      <c r="R160" s="1" t="s">
        <v>1952</v>
      </c>
      <c r="S160" s="1">
        <v>85</v>
      </c>
      <c r="T160" s="1">
        <v>44</v>
      </c>
      <c r="U160" s="1" t="s">
        <v>24</v>
      </c>
      <c r="V160" s="3">
        <f>tblInventory[[#This Row],[Stock_Quantity]]*tblInventory[[#This Row],[Unit_Price]]</f>
        <v>340</v>
      </c>
      <c r="W160" s="1" t="str">
        <f>IF(tblInventory[[#This Row],[Status]]="Discontinued","INACTIVE",
IF(tblInventory[[#This Row],[Stock_Quantity]] &lt; tblInventory[[#This Row],[Reorder_Level]],"REORDER","OK"))</f>
        <v>INACTIVE</v>
      </c>
      <c r="X160" s="1" t="str">
        <f t="shared" ca="1" si="5"/>
        <v>Expired</v>
      </c>
    </row>
    <row r="161" spans="1:24">
      <c r="A161" s="1">
        <v>160</v>
      </c>
      <c r="B161" s="1" t="s">
        <v>2085</v>
      </c>
      <c r="C161" s="1" t="s">
        <v>447</v>
      </c>
      <c r="D161" s="1" t="s">
        <v>49</v>
      </c>
      <c r="E161" s="1" t="s">
        <v>2086</v>
      </c>
      <c r="F161" s="1" t="s">
        <v>356</v>
      </c>
      <c r="G161" s="6">
        <v>79</v>
      </c>
      <c r="H161" s="8">
        <f>tblInventory[[#This Row],[Stock_Quantity]] * tblInventory[[#This Row],[Unit_Price]]</f>
        <v>316</v>
      </c>
      <c r="I161" s="1">
        <v>72</v>
      </c>
      <c r="J161" s="1">
        <v>6</v>
      </c>
      <c r="K161" s="8">
        <f>tblInventory[[#This Row],[Reorder_Quantity]]*M161</f>
        <v>24</v>
      </c>
      <c r="L161" s="10">
        <f>tblInventory[[#This Row],[Stock_Quantity]] / tblInventory[[#This Row],[Reorder_Quantity]]</f>
        <v>13.166666666666666</v>
      </c>
      <c r="M161" s="3">
        <v>4</v>
      </c>
      <c r="N161" s="10">
        <f t="shared" si="4"/>
        <v>1.3412563667232598</v>
      </c>
      <c r="O161" s="2">
        <v>45603</v>
      </c>
      <c r="P161" s="2">
        <v>45448</v>
      </c>
      <c r="Q161" s="2">
        <v>46040</v>
      </c>
      <c r="R161" s="1" t="s">
        <v>2087</v>
      </c>
      <c r="S161" s="1">
        <v>67</v>
      </c>
      <c r="T161" s="1">
        <v>63</v>
      </c>
      <c r="U161" s="1" t="s">
        <v>46</v>
      </c>
      <c r="V161" s="3">
        <f>tblInventory[[#This Row],[Stock_Quantity]]*tblInventory[[#This Row],[Unit_Price]]</f>
        <v>316</v>
      </c>
      <c r="W161" s="1" t="str">
        <f>IF(tblInventory[[#This Row],[Status]]="Discontinued","INACTIVE",
IF(tblInventory[[#This Row],[Stock_Quantity]] &lt; tblInventory[[#This Row],[Reorder_Level]],"REORDER","OK"))</f>
        <v>OK</v>
      </c>
      <c r="X161" s="1" t="str">
        <f t="shared" ca="1" si="5"/>
        <v>Valid</v>
      </c>
    </row>
    <row r="162" spans="1:24">
      <c r="A162" s="1">
        <v>161</v>
      </c>
      <c r="B162" s="1" t="s">
        <v>2744</v>
      </c>
      <c r="C162" s="1" t="s">
        <v>447</v>
      </c>
      <c r="D162" s="1" t="s">
        <v>49</v>
      </c>
      <c r="E162" s="1" t="s">
        <v>2745</v>
      </c>
      <c r="F162" s="1" t="s">
        <v>2256</v>
      </c>
      <c r="G162" s="6">
        <v>47</v>
      </c>
      <c r="H162" s="8">
        <f>tblInventory[[#This Row],[Stock_Quantity]] * tblInventory[[#This Row],[Unit_Price]]</f>
        <v>188</v>
      </c>
      <c r="I162" s="1">
        <v>63</v>
      </c>
      <c r="J162" s="1">
        <v>86</v>
      </c>
      <c r="K162" s="8">
        <f>tblInventory[[#This Row],[Reorder_Quantity]]*M162</f>
        <v>344</v>
      </c>
      <c r="L162" s="10">
        <f>tblInventory[[#This Row],[Stock_Quantity]] / tblInventory[[#This Row],[Reorder_Quantity]]</f>
        <v>0.54651162790697672</v>
      </c>
      <c r="M162" s="3">
        <v>4</v>
      </c>
      <c r="N162" s="10">
        <f t="shared" si="4"/>
        <v>0.79796264855687604</v>
      </c>
      <c r="O162" s="1" t="s">
        <v>134</v>
      </c>
      <c r="P162" s="1" t="s">
        <v>785</v>
      </c>
      <c r="Q162" s="2">
        <v>46273</v>
      </c>
      <c r="R162" s="1" t="s">
        <v>2746</v>
      </c>
      <c r="S162" s="1">
        <v>76</v>
      </c>
      <c r="T162" s="1">
        <v>29</v>
      </c>
      <c r="U162" s="1" t="s">
        <v>46</v>
      </c>
      <c r="V162" s="3">
        <f>tblInventory[[#This Row],[Stock_Quantity]]*tblInventory[[#This Row],[Unit_Price]]</f>
        <v>188</v>
      </c>
      <c r="W162" s="1" t="str">
        <f>IF(tblInventory[[#This Row],[Status]]="Discontinued","INACTIVE",
IF(tblInventory[[#This Row],[Stock_Quantity]] &lt; tblInventory[[#This Row],[Reorder_Level]],"REORDER","OK"))</f>
        <v>REORDER</v>
      </c>
      <c r="X162" s="1" t="str">
        <f t="shared" ca="1" si="5"/>
        <v>Valid</v>
      </c>
    </row>
    <row r="163" spans="1:24">
      <c r="A163" s="1">
        <v>162</v>
      </c>
      <c r="B163" s="1" t="s">
        <v>2977</v>
      </c>
      <c r="C163" s="1" t="s">
        <v>447</v>
      </c>
      <c r="D163" s="1" t="s">
        <v>49</v>
      </c>
      <c r="E163" s="1" t="s">
        <v>2978</v>
      </c>
      <c r="F163" s="1" t="s">
        <v>523</v>
      </c>
      <c r="G163" s="6">
        <v>35</v>
      </c>
      <c r="H163" s="8">
        <f>tblInventory[[#This Row],[Stock_Quantity]] * tblInventory[[#This Row],[Unit_Price]]</f>
        <v>140</v>
      </c>
      <c r="I163" s="1">
        <v>4</v>
      </c>
      <c r="J163" s="1">
        <v>76</v>
      </c>
      <c r="K163" s="8">
        <f>tblInventory[[#This Row],[Reorder_Quantity]]*M163</f>
        <v>304</v>
      </c>
      <c r="L163" s="10">
        <f>tblInventory[[#This Row],[Stock_Quantity]] / tblInventory[[#This Row],[Reorder_Quantity]]</f>
        <v>0.46052631578947367</v>
      </c>
      <c r="M163" s="3">
        <v>4</v>
      </c>
      <c r="N163" s="10">
        <f t="shared" si="4"/>
        <v>0.59422750424448223</v>
      </c>
      <c r="O163" s="2">
        <v>45543</v>
      </c>
      <c r="P163" s="1" t="s">
        <v>1119</v>
      </c>
      <c r="Q163" s="2">
        <v>46314</v>
      </c>
      <c r="R163" s="1" t="s">
        <v>2979</v>
      </c>
      <c r="S163" s="1">
        <v>90</v>
      </c>
      <c r="T163" s="1">
        <v>30</v>
      </c>
      <c r="U163" s="1" t="s">
        <v>24</v>
      </c>
      <c r="V163" s="3">
        <f>tblInventory[[#This Row],[Stock_Quantity]]*tblInventory[[#This Row],[Unit_Price]]</f>
        <v>140</v>
      </c>
      <c r="W163" s="1" t="str">
        <f>IF(tblInventory[[#This Row],[Status]]="Discontinued","INACTIVE",
IF(tblInventory[[#This Row],[Stock_Quantity]] &lt; tblInventory[[#This Row],[Reorder_Level]],"REORDER","OK"))</f>
        <v>INACTIVE</v>
      </c>
      <c r="X163" s="1" t="str">
        <f t="shared" ca="1" si="5"/>
        <v>Valid</v>
      </c>
    </row>
    <row r="164" spans="1:24">
      <c r="A164" s="1">
        <v>163</v>
      </c>
      <c r="B164" s="1" t="s">
        <v>3398</v>
      </c>
      <c r="C164" s="1" t="s">
        <v>447</v>
      </c>
      <c r="D164" s="1" t="s">
        <v>49</v>
      </c>
      <c r="E164" s="1" t="s">
        <v>3399</v>
      </c>
      <c r="F164" s="1" t="s">
        <v>1807</v>
      </c>
      <c r="G164" s="6">
        <v>89</v>
      </c>
      <c r="H164" s="8">
        <f>tblInventory[[#This Row],[Stock_Quantity]] * tblInventory[[#This Row],[Unit_Price]]</f>
        <v>356</v>
      </c>
      <c r="I164" s="1">
        <v>40</v>
      </c>
      <c r="J164" s="1">
        <v>64</v>
      </c>
      <c r="K164" s="8">
        <f>tblInventory[[#This Row],[Reorder_Quantity]]*M164</f>
        <v>256</v>
      </c>
      <c r="L164" s="10">
        <f>tblInventory[[#This Row],[Stock_Quantity]] / tblInventory[[#This Row],[Reorder_Quantity]]</f>
        <v>1.390625</v>
      </c>
      <c r="M164" s="3">
        <v>4</v>
      </c>
      <c r="N164" s="10">
        <f t="shared" si="4"/>
        <v>1.5110356536502547</v>
      </c>
      <c r="O164" s="1" t="s">
        <v>2818</v>
      </c>
      <c r="P164" s="2">
        <v>45993</v>
      </c>
      <c r="Q164" s="2">
        <v>46480</v>
      </c>
      <c r="R164" s="1" t="s">
        <v>3400</v>
      </c>
      <c r="S164" s="1">
        <v>93</v>
      </c>
      <c r="T164" s="1">
        <v>48</v>
      </c>
      <c r="U164" s="1" t="s">
        <v>46</v>
      </c>
      <c r="V164" s="3">
        <f>tblInventory[[#This Row],[Stock_Quantity]]*tblInventory[[#This Row],[Unit_Price]]</f>
        <v>356</v>
      </c>
      <c r="W164" s="1" t="str">
        <f>IF(tblInventory[[#This Row],[Status]]="Discontinued","INACTIVE",
IF(tblInventory[[#This Row],[Stock_Quantity]] &lt; tblInventory[[#This Row],[Reorder_Level]],"REORDER","OK"))</f>
        <v>OK</v>
      </c>
      <c r="X164" s="1" t="str">
        <f t="shared" ca="1" si="5"/>
        <v>Valid</v>
      </c>
    </row>
    <row r="165" spans="1:24">
      <c r="A165" s="1">
        <v>164</v>
      </c>
      <c r="B165" s="1" t="s">
        <v>1344</v>
      </c>
      <c r="C165" s="1" t="s">
        <v>1345</v>
      </c>
      <c r="D165" s="1" t="s">
        <v>17</v>
      </c>
      <c r="E165" s="1" t="s">
        <v>1346</v>
      </c>
      <c r="F165" s="1" t="s">
        <v>517</v>
      </c>
      <c r="G165" s="6">
        <v>17</v>
      </c>
      <c r="H165" s="8">
        <f>tblInventory[[#This Row],[Stock_Quantity]] * tblInventory[[#This Row],[Unit_Price]]</f>
        <v>42.5</v>
      </c>
      <c r="I165" s="1">
        <v>88</v>
      </c>
      <c r="J165" s="1">
        <v>41</v>
      </c>
      <c r="K165" s="8">
        <f>tblInventory[[#This Row],[Reorder_Quantity]]*M165</f>
        <v>102.5</v>
      </c>
      <c r="L165" s="10">
        <f>tblInventory[[#This Row],[Stock_Quantity]] / tblInventory[[#This Row],[Reorder_Quantity]]</f>
        <v>0.41463414634146339</v>
      </c>
      <c r="M165" s="3">
        <v>2.5</v>
      </c>
      <c r="N165" s="10">
        <f t="shared" si="4"/>
        <v>0.28862478777589134</v>
      </c>
      <c r="O165" s="1" t="s">
        <v>305</v>
      </c>
      <c r="P165" s="1" t="s">
        <v>43</v>
      </c>
      <c r="Q165" s="2">
        <v>45826</v>
      </c>
      <c r="R165" s="1" t="s">
        <v>1347</v>
      </c>
      <c r="S165" s="1">
        <v>45</v>
      </c>
      <c r="T165" s="1">
        <v>29</v>
      </c>
      <c r="U165" s="1" t="s">
        <v>38</v>
      </c>
      <c r="V165" s="3">
        <f>tblInventory[[#This Row],[Stock_Quantity]]*tblInventory[[#This Row],[Unit_Price]]</f>
        <v>42.5</v>
      </c>
      <c r="W165" s="1" t="str">
        <f>IF(tblInventory[[#This Row],[Status]]="Discontinued","INACTIVE",
IF(tblInventory[[#This Row],[Stock_Quantity]] &lt; tblInventory[[#This Row],[Reorder_Level]],"REORDER","OK"))</f>
        <v>REORDER</v>
      </c>
      <c r="X165" s="1" t="str">
        <f t="shared" ca="1" si="5"/>
        <v>Expired</v>
      </c>
    </row>
    <row r="166" spans="1:24">
      <c r="A166" s="1">
        <v>165</v>
      </c>
      <c r="B166" s="1" t="s">
        <v>2389</v>
      </c>
      <c r="C166" s="1" t="s">
        <v>1345</v>
      </c>
      <c r="D166" s="1" t="s">
        <v>17</v>
      </c>
      <c r="E166" s="1" t="s">
        <v>2390</v>
      </c>
      <c r="F166" s="1" t="s">
        <v>601</v>
      </c>
      <c r="G166" s="6">
        <v>31</v>
      </c>
      <c r="H166" s="8">
        <f>tblInventory[[#This Row],[Stock_Quantity]] * tblInventory[[#This Row],[Unit_Price]]</f>
        <v>77.5</v>
      </c>
      <c r="I166" s="1">
        <v>29</v>
      </c>
      <c r="J166" s="1">
        <v>57</v>
      </c>
      <c r="K166" s="8">
        <f>tblInventory[[#This Row],[Reorder_Quantity]]*M166</f>
        <v>142.5</v>
      </c>
      <c r="L166" s="10">
        <f>tblInventory[[#This Row],[Stock_Quantity]] / tblInventory[[#This Row],[Reorder_Quantity]]</f>
        <v>0.54385964912280704</v>
      </c>
      <c r="M166" s="3">
        <v>2.5</v>
      </c>
      <c r="N166" s="10">
        <f t="shared" si="4"/>
        <v>0.52631578947368418</v>
      </c>
      <c r="O166" s="1" t="s">
        <v>1217</v>
      </c>
      <c r="P166" s="1" t="s">
        <v>1400</v>
      </c>
      <c r="Q166" s="2">
        <v>46134</v>
      </c>
      <c r="R166" s="1" t="s">
        <v>2391</v>
      </c>
      <c r="S166" s="1">
        <v>25</v>
      </c>
      <c r="T166" s="1">
        <v>22</v>
      </c>
      <c r="U166" s="1" t="s">
        <v>46</v>
      </c>
      <c r="V166" s="3">
        <f>tblInventory[[#This Row],[Stock_Quantity]]*tblInventory[[#This Row],[Unit_Price]]</f>
        <v>77.5</v>
      </c>
      <c r="W166" s="1" t="str">
        <f>IF(tblInventory[[#This Row],[Status]]="Discontinued","INACTIVE",
IF(tblInventory[[#This Row],[Stock_Quantity]] &lt; tblInventory[[#This Row],[Reorder_Level]],"REORDER","OK"))</f>
        <v>OK</v>
      </c>
      <c r="X166" s="1" t="str">
        <f t="shared" ca="1" si="5"/>
        <v>Valid</v>
      </c>
    </row>
    <row r="167" spans="1:24">
      <c r="A167" s="1">
        <v>166</v>
      </c>
      <c r="B167" s="1" t="s">
        <v>2635</v>
      </c>
      <c r="C167" s="1" t="s">
        <v>1345</v>
      </c>
      <c r="D167" s="1" t="s">
        <v>17</v>
      </c>
      <c r="E167" s="1" t="s">
        <v>2636</v>
      </c>
      <c r="F167" s="1" t="s">
        <v>1314</v>
      </c>
      <c r="G167" s="6">
        <v>51</v>
      </c>
      <c r="H167" s="8">
        <f>tblInventory[[#This Row],[Stock_Quantity]] * tblInventory[[#This Row],[Unit_Price]]</f>
        <v>127.5</v>
      </c>
      <c r="I167" s="1">
        <v>47</v>
      </c>
      <c r="J167" s="1">
        <v>6</v>
      </c>
      <c r="K167" s="8">
        <f>tblInventory[[#This Row],[Reorder_Quantity]]*M167</f>
        <v>15</v>
      </c>
      <c r="L167" s="10">
        <f>tblInventory[[#This Row],[Stock_Quantity]] / tblInventory[[#This Row],[Reorder_Quantity]]</f>
        <v>8.5</v>
      </c>
      <c r="M167" s="3">
        <v>2.5</v>
      </c>
      <c r="N167" s="10">
        <f t="shared" si="4"/>
        <v>0.86587436332767409</v>
      </c>
      <c r="O167" s="1" t="s">
        <v>1357</v>
      </c>
      <c r="P167" s="2">
        <v>45604</v>
      </c>
      <c r="Q167" s="2">
        <v>46180</v>
      </c>
      <c r="R167" s="1" t="s">
        <v>2637</v>
      </c>
      <c r="S167" s="1">
        <v>53</v>
      </c>
      <c r="T167" s="1">
        <v>4</v>
      </c>
      <c r="U167" s="1" t="s">
        <v>38</v>
      </c>
      <c r="V167" s="3">
        <f>tblInventory[[#This Row],[Stock_Quantity]]*tblInventory[[#This Row],[Unit_Price]]</f>
        <v>127.5</v>
      </c>
      <c r="W167" s="1" t="str">
        <f>IF(tblInventory[[#This Row],[Status]]="Discontinued","INACTIVE",
IF(tblInventory[[#This Row],[Stock_Quantity]] &lt; tblInventory[[#This Row],[Reorder_Level]],"REORDER","OK"))</f>
        <v>OK</v>
      </c>
      <c r="X167" s="1" t="str">
        <f t="shared" ca="1" si="5"/>
        <v>Valid</v>
      </c>
    </row>
    <row r="168" spans="1:24">
      <c r="A168" s="1">
        <v>167</v>
      </c>
      <c r="B168" s="1" t="s">
        <v>2726</v>
      </c>
      <c r="C168" s="1" t="s">
        <v>1345</v>
      </c>
      <c r="D168" s="1" t="s">
        <v>17</v>
      </c>
      <c r="E168" s="1" t="s">
        <v>2727</v>
      </c>
      <c r="F168" s="1" t="s">
        <v>2362</v>
      </c>
      <c r="G168" s="6">
        <v>39</v>
      </c>
      <c r="H168" s="8">
        <f>tblInventory[[#This Row],[Stock_Quantity]] * tblInventory[[#This Row],[Unit_Price]]</f>
        <v>97.5</v>
      </c>
      <c r="I168" s="1">
        <v>57</v>
      </c>
      <c r="J168" s="1">
        <v>54</v>
      </c>
      <c r="K168" s="8">
        <f>tblInventory[[#This Row],[Reorder_Quantity]]*M168</f>
        <v>135</v>
      </c>
      <c r="L168" s="10">
        <f>tblInventory[[#This Row],[Stock_Quantity]] / tblInventory[[#This Row],[Reorder_Quantity]]</f>
        <v>0.72222222222222221</v>
      </c>
      <c r="M168" s="3">
        <v>2.5</v>
      </c>
      <c r="N168" s="10">
        <f t="shared" si="4"/>
        <v>0.66213921901528017</v>
      </c>
      <c r="O168" s="2">
        <v>45455</v>
      </c>
      <c r="P168" s="2">
        <v>45446</v>
      </c>
      <c r="Q168" s="2">
        <v>46120</v>
      </c>
      <c r="R168" s="1" t="s">
        <v>2728</v>
      </c>
      <c r="S168" s="1">
        <v>77</v>
      </c>
      <c r="T168" s="1">
        <v>32</v>
      </c>
      <c r="U168" s="1" t="s">
        <v>46</v>
      </c>
      <c r="V168" s="3">
        <f>tblInventory[[#This Row],[Stock_Quantity]]*tblInventory[[#This Row],[Unit_Price]]</f>
        <v>97.5</v>
      </c>
      <c r="W168" s="1" t="str">
        <f>IF(tblInventory[[#This Row],[Status]]="Discontinued","INACTIVE",
IF(tblInventory[[#This Row],[Stock_Quantity]] &lt; tblInventory[[#This Row],[Reorder_Level]],"REORDER","OK"))</f>
        <v>REORDER</v>
      </c>
      <c r="X168" s="1" t="str">
        <f t="shared" ca="1" si="5"/>
        <v>Valid</v>
      </c>
    </row>
    <row r="169" spans="1:24">
      <c r="A169" s="1">
        <v>168</v>
      </c>
      <c r="B169" s="1" t="s">
        <v>2846</v>
      </c>
      <c r="C169" s="1" t="s">
        <v>1345</v>
      </c>
      <c r="D169" s="1" t="s">
        <v>17</v>
      </c>
      <c r="E169" s="1" t="s">
        <v>2847</v>
      </c>
      <c r="F169" s="1" t="s">
        <v>1793</v>
      </c>
      <c r="G169" s="6">
        <v>89</v>
      </c>
      <c r="H169" s="8">
        <f>tblInventory[[#This Row],[Stock_Quantity]] * tblInventory[[#This Row],[Unit_Price]]</f>
        <v>222.5</v>
      </c>
      <c r="I169" s="1">
        <v>54</v>
      </c>
      <c r="J169" s="1">
        <v>15</v>
      </c>
      <c r="K169" s="8">
        <f>tblInventory[[#This Row],[Reorder_Quantity]]*M169</f>
        <v>37.5</v>
      </c>
      <c r="L169" s="10">
        <f>tblInventory[[#This Row],[Stock_Quantity]] / tblInventory[[#This Row],[Reorder_Quantity]]</f>
        <v>5.9333333333333336</v>
      </c>
      <c r="M169" s="3">
        <v>2.5</v>
      </c>
      <c r="N169" s="10">
        <f t="shared" si="4"/>
        <v>1.5110356536502547</v>
      </c>
      <c r="O169" s="2">
        <v>45545</v>
      </c>
      <c r="P169" s="2">
        <v>45299</v>
      </c>
      <c r="Q169" s="2">
        <v>46243</v>
      </c>
      <c r="R169" s="1" t="s">
        <v>2848</v>
      </c>
      <c r="S169" s="1">
        <v>64</v>
      </c>
      <c r="T169" s="1">
        <v>63</v>
      </c>
      <c r="U169" s="1" t="s">
        <v>46</v>
      </c>
      <c r="V169" s="3">
        <f>tblInventory[[#This Row],[Stock_Quantity]]*tblInventory[[#This Row],[Unit_Price]]</f>
        <v>222.5</v>
      </c>
      <c r="W169" s="1" t="str">
        <f>IF(tblInventory[[#This Row],[Status]]="Discontinued","INACTIVE",
IF(tblInventory[[#This Row],[Stock_Quantity]] &lt; tblInventory[[#This Row],[Reorder_Level]],"REORDER","OK"))</f>
        <v>OK</v>
      </c>
      <c r="X169" s="1" t="str">
        <f t="shared" ca="1" si="5"/>
        <v>Valid</v>
      </c>
    </row>
    <row r="170" spans="1:24">
      <c r="A170" s="1">
        <v>169</v>
      </c>
      <c r="B170" s="1" t="s">
        <v>2881</v>
      </c>
      <c r="C170" s="1" t="s">
        <v>1345</v>
      </c>
      <c r="D170" s="1" t="s">
        <v>17</v>
      </c>
      <c r="E170" s="1" t="s">
        <v>2882</v>
      </c>
      <c r="F170" s="1" t="s">
        <v>333</v>
      </c>
      <c r="G170" s="6">
        <v>44</v>
      </c>
      <c r="H170" s="8">
        <f>tblInventory[[#This Row],[Stock_Quantity]] * tblInventory[[#This Row],[Unit_Price]]</f>
        <v>110</v>
      </c>
      <c r="I170" s="1">
        <v>48</v>
      </c>
      <c r="J170" s="1">
        <v>77</v>
      </c>
      <c r="K170" s="8">
        <f>tblInventory[[#This Row],[Reorder_Quantity]]*M170</f>
        <v>192.5</v>
      </c>
      <c r="L170" s="10">
        <f>tblInventory[[#This Row],[Stock_Quantity]] / tblInventory[[#This Row],[Reorder_Quantity]]</f>
        <v>0.5714285714285714</v>
      </c>
      <c r="M170" s="3">
        <v>2.5</v>
      </c>
      <c r="N170" s="10">
        <f t="shared" si="4"/>
        <v>0.74702886247877764</v>
      </c>
      <c r="O170" s="1" t="s">
        <v>225</v>
      </c>
      <c r="P170" s="1" t="s">
        <v>676</v>
      </c>
      <c r="Q170" s="2">
        <v>46283</v>
      </c>
      <c r="R170" s="1" t="s">
        <v>2883</v>
      </c>
      <c r="S170" s="1">
        <v>67</v>
      </c>
      <c r="T170" s="1">
        <v>79</v>
      </c>
      <c r="U170" s="1" t="s">
        <v>24</v>
      </c>
      <c r="V170" s="3">
        <f>tblInventory[[#This Row],[Stock_Quantity]]*tblInventory[[#This Row],[Unit_Price]]</f>
        <v>110</v>
      </c>
      <c r="W170" s="1" t="str">
        <f>IF(tblInventory[[#This Row],[Status]]="Discontinued","INACTIVE",
IF(tblInventory[[#This Row],[Stock_Quantity]] &lt; tblInventory[[#This Row],[Reorder_Level]],"REORDER","OK"))</f>
        <v>INACTIVE</v>
      </c>
      <c r="X170" s="1" t="str">
        <f t="shared" ca="1" si="5"/>
        <v>Valid</v>
      </c>
    </row>
    <row r="171" spans="1:24">
      <c r="A171" s="1">
        <v>170</v>
      </c>
      <c r="B171" s="1" t="s">
        <v>3073</v>
      </c>
      <c r="C171" s="1" t="s">
        <v>1345</v>
      </c>
      <c r="D171" s="1" t="s">
        <v>17</v>
      </c>
      <c r="E171" s="1" t="s">
        <v>3074</v>
      </c>
      <c r="F171" s="1" t="s">
        <v>1149</v>
      </c>
      <c r="G171" s="6">
        <v>79</v>
      </c>
      <c r="H171" s="8">
        <f>tblInventory[[#This Row],[Stock_Quantity]] * tblInventory[[#This Row],[Unit_Price]]</f>
        <v>197.5</v>
      </c>
      <c r="I171" s="1">
        <v>38</v>
      </c>
      <c r="J171" s="1">
        <v>67</v>
      </c>
      <c r="K171" s="8">
        <f>tblInventory[[#This Row],[Reorder_Quantity]]*M171</f>
        <v>167.5</v>
      </c>
      <c r="L171" s="10">
        <f>tblInventory[[#This Row],[Stock_Quantity]] / tblInventory[[#This Row],[Reorder_Quantity]]</f>
        <v>1.1791044776119404</v>
      </c>
      <c r="M171" s="3">
        <v>2.5</v>
      </c>
      <c r="N171" s="10">
        <f t="shared" si="4"/>
        <v>1.3412563667232598</v>
      </c>
      <c r="O171" s="2">
        <v>45419</v>
      </c>
      <c r="P171" s="2">
        <v>45514</v>
      </c>
      <c r="Q171" s="2">
        <v>46345</v>
      </c>
      <c r="R171" s="1" t="s">
        <v>3075</v>
      </c>
      <c r="S171" s="1">
        <v>43</v>
      </c>
      <c r="T171" s="1">
        <v>93</v>
      </c>
      <c r="U171" s="1" t="s">
        <v>24</v>
      </c>
      <c r="V171" s="3">
        <f>tblInventory[[#This Row],[Stock_Quantity]]*tblInventory[[#This Row],[Unit_Price]]</f>
        <v>197.5</v>
      </c>
      <c r="W171" s="1" t="str">
        <f>IF(tblInventory[[#This Row],[Status]]="Discontinued","INACTIVE",
IF(tblInventory[[#This Row],[Stock_Quantity]] &lt; tblInventory[[#This Row],[Reorder_Level]],"REORDER","OK"))</f>
        <v>INACTIVE</v>
      </c>
      <c r="X171" s="1" t="str">
        <f t="shared" ca="1" si="5"/>
        <v>Valid</v>
      </c>
    </row>
    <row r="172" spans="1:24">
      <c r="A172" s="1">
        <v>171</v>
      </c>
      <c r="B172" s="1" t="s">
        <v>3314</v>
      </c>
      <c r="C172" s="1" t="s">
        <v>1345</v>
      </c>
      <c r="D172" s="1" t="s">
        <v>17</v>
      </c>
      <c r="E172" s="1" t="s">
        <v>3315</v>
      </c>
      <c r="F172" s="1" t="s">
        <v>87</v>
      </c>
      <c r="G172" s="6">
        <v>46</v>
      </c>
      <c r="H172" s="8">
        <f>tblInventory[[#This Row],[Stock_Quantity]] * tblInventory[[#This Row],[Unit_Price]]</f>
        <v>115</v>
      </c>
      <c r="I172" s="1">
        <v>81</v>
      </c>
      <c r="J172" s="1">
        <v>47</v>
      </c>
      <c r="K172" s="8">
        <f>tblInventory[[#This Row],[Reorder_Quantity]]*M172</f>
        <v>117.5</v>
      </c>
      <c r="L172" s="10">
        <f>tblInventory[[#This Row],[Stock_Quantity]] / tblInventory[[#This Row],[Reorder_Quantity]]</f>
        <v>0.97872340425531912</v>
      </c>
      <c r="M172" s="3">
        <v>2.5</v>
      </c>
      <c r="N172" s="10">
        <f t="shared" si="4"/>
        <v>0.78098471986417661</v>
      </c>
      <c r="O172" s="2">
        <v>45421</v>
      </c>
      <c r="P172" s="2">
        <v>45605</v>
      </c>
      <c r="Q172" s="2">
        <v>46509</v>
      </c>
      <c r="R172" s="1" t="s">
        <v>3316</v>
      </c>
      <c r="S172" s="1">
        <v>48</v>
      </c>
      <c r="T172" s="1">
        <v>48</v>
      </c>
      <c r="U172" s="1" t="s">
        <v>46</v>
      </c>
      <c r="V172" s="3">
        <f>tblInventory[[#This Row],[Stock_Quantity]]*tblInventory[[#This Row],[Unit_Price]]</f>
        <v>115</v>
      </c>
      <c r="W172" s="1" t="str">
        <f>IF(tblInventory[[#This Row],[Status]]="Discontinued","INACTIVE",
IF(tblInventory[[#This Row],[Stock_Quantity]] &lt; tblInventory[[#This Row],[Reorder_Level]],"REORDER","OK"))</f>
        <v>REORDER</v>
      </c>
      <c r="X172" s="1" t="str">
        <f t="shared" ca="1" si="5"/>
        <v>Valid</v>
      </c>
    </row>
    <row r="173" spans="1:24">
      <c r="A173" s="1">
        <v>172</v>
      </c>
      <c r="B173" s="1" t="s">
        <v>3528</v>
      </c>
      <c r="C173" s="1" t="s">
        <v>1345</v>
      </c>
      <c r="D173" s="1" t="s">
        <v>17</v>
      </c>
      <c r="E173" s="1" t="s">
        <v>3529</v>
      </c>
      <c r="F173" s="1" t="s">
        <v>263</v>
      </c>
      <c r="G173" s="6">
        <v>44</v>
      </c>
      <c r="H173" s="8">
        <f>tblInventory[[#This Row],[Stock_Quantity]] * tblInventory[[#This Row],[Unit_Price]]</f>
        <v>110</v>
      </c>
      <c r="I173" s="1">
        <v>67</v>
      </c>
      <c r="J173" s="1">
        <v>31</v>
      </c>
      <c r="K173" s="8">
        <f>tblInventory[[#This Row],[Reorder_Quantity]]*M173</f>
        <v>77.5</v>
      </c>
      <c r="L173" s="10">
        <f>tblInventory[[#This Row],[Stock_Quantity]] / tblInventory[[#This Row],[Reorder_Quantity]]</f>
        <v>1.4193548387096775</v>
      </c>
      <c r="M173" s="3">
        <v>2.5</v>
      </c>
      <c r="N173" s="10">
        <f t="shared" si="4"/>
        <v>0.74702886247877764</v>
      </c>
      <c r="O173" s="1" t="s">
        <v>693</v>
      </c>
      <c r="P173" s="1" t="s">
        <v>64</v>
      </c>
      <c r="Q173" s="2">
        <v>46492</v>
      </c>
      <c r="R173" s="1" t="s">
        <v>3530</v>
      </c>
      <c r="S173" s="1">
        <v>44</v>
      </c>
      <c r="T173" s="1">
        <v>72</v>
      </c>
      <c r="U173" s="1" t="s">
        <v>24</v>
      </c>
      <c r="V173" s="3">
        <f>tblInventory[[#This Row],[Stock_Quantity]]*tblInventory[[#This Row],[Unit_Price]]</f>
        <v>110</v>
      </c>
      <c r="W173" s="1" t="str">
        <f>IF(tblInventory[[#This Row],[Status]]="Discontinued","INACTIVE",
IF(tblInventory[[#This Row],[Stock_Quantity]] &lt; tblInventory[[#This Row],[Reorder_Level]],"REORDER","OK"))</f>
        <v>INACTIVE</v>
      </c>
      <c r="X173" s="1" t="str">
        <f t="shared" ca="1" si="5"/>
        <v>Valid</v>
      </c>
    </row>
    <row r="174" spans="1:24">
      <c r="A174" s="1">
        <v>173</v>
      </c>
      <c r="B174" s="1" t="s">
        <v>300</v>
      </c>
      <c r="C174" s="1" t="s">
        <v>301</v>
      </c>
      <c r="D174" s="1" t="s">
        <v>69</v>
      </c>
      <c r="E174" s="1" t="s">
        <v>302</v>
      </c>
      <c r="F174" s="1" t="s">
        <v>303</v>
      </c>
      <c r="G174" s="6">
        <v>51</v>
      </c>
      <c r="H174" s="8">
        <f>tblInventory[[#This Row],[Stock_Quantity]] * tblInventory[[#This Row],[Unit_Price]]</f>
        <v>153</v>
      </c>
      <c r="I174" s="1">
        <v>100</v>
      </c>
      <c r="J174" s="1">
        <v>70</v>
      </c>
      <c r="K174" s="8">
        <f>tblInventory[[#This Row],[Reorder_Quantity]]*M174</f>
        <v>210</v>
      </c>
      <c r="L174" s="10">
        <f>tblInventory[[#This Row],[Stock_Quantity]] / tblInventory[[#This Row],[Reorder_Quantity]]</f>
        <v>0.72857142857142854</v>
      </c>
      <c r="M174" s="3">
        <v>3</v>
      </c>
      <c r="N174" s="10">
        <f t="shared" si="4"/>
        <v>0.86587436332767409</v>
      </c>
      <c r="O174" s="1" t="s">
        <v>304</v>
      </c>
      <c r="P174" s="1" t="s">
        <v>305</v>
      </c>
      <c r="Q174" s="2">
        <v>45302</v>
      </c>
      <c r="R174" s="1" t="s">
        <v>306</v>
      </c>
      <c r="S174" s="1">
        <v>40</v>
      </c>
      <c r="T174" s="1">
        <v>21</v>
      </c>
      <c r="U174" s="1" t="s">
        <v>24</v>
      </c>
      <c r="V174" s="3">
        <f>tblInventory[[#This Row],[Stock_Quantity]]*tblInventory[[#This Row],[Unit_Price]]</f>
        <v>153</v>
      </c>
      <c r="W174" s="1" t="str">
        <f>IF(tblInventory[[#This Row],[Status]]="Discontinued","INACTIVE",
IF(tblInventory[[#This Row],[Stock_Quantity]] &lt; tblInventory[[#This Row],[Reorder_Level]],"REORDER","OK"))</f>
        <v>INACTIVE</v>
      </c>
      <c r="X174" s="1" t="str">
        <f t="shared" ca="1" si="5"/>
        <v>Expired</v>
      </c>
    </row>
    <row r="175" spans="1:24">
      <c r="A175" s="1">
        <v>174</v>
      </c>
      <c r="B175" s="1" t="s">
        <v>1267</v>
      </c>
      <c r="C175" s="1" t="s">
        <v>301</v>
      </c>
      <c r="D175" s="1" t="s">
        <v>69</v>
      </c>
      <c r="E175" s="1" t="s">
        <v>1268</v>
      </c>
      <c r="F175" s="1" t="s">
        <v>905</v>
      </c>
      <c r="G175" s="6">
        <v>85</v>
      </c>
      <c r="H175" s="8">
        <f>tblInventory[[#This Row],[Stock_Quantity]] * tblInventory[[#This Row],[Unit_Price]]</f>
        <v>255</v>
      </c>
      <c r="I175" s="1">
        <v>28</v>
      </c>
      <c r="J175" s="1">
        <v>21</v>
      </c>
      <c r="K175" s="8">
        <f>tblInventory[[#This Row],[Reorder_Quantity]]*M175</f>
        <v>63</v>
      </c>
      <c r="L175" s="10">
        <f>tblInventory[[#This Row],[Stock_Quantity]] / tblInventory[[#This Row],[Reorder_Quantity]]</f>
        <v>4.0476190476190474</v>
      </c>
      <c r="M175" s="3">
        <v>3</v>
      </c>
      <c r="N175" s="10">
        <f t="shared" si="4"/>
        <v>1.4431239388794568</v>
      </c>
      <c r="O175" s="1" t="s">
        <v>395</v>
      </c>
      <c r="P175" s="1" t="s">
        <v>115</v>
      </c>
      <c r="Q175" s="2">
        <v>45807</v>
      </c>
      <c r="R175" s="1" t="s">
        <v>1269</v>
      </c>
      <c r="S175" s="1">
        <v>45</v>
      </c>
      <c r="T175" s="1">
        <v>89</v>
      </c>
      <c r="U175" s="1" t="s">
        <v>46</v>
      </c>
      <c r="V175" s="3">
        <f>tblInventory[[#This Row],[Stock_Quantity]]*tblInventory[[#This Row],[Unit_Price]]</f>
        <v>255</v>
      </c>
      <c r="W175" s="1" t="str">
        <f>IF(tblInventory[[#This Row],[Status]]="Discontinued","INACTIVE",
IF(tblInventory[[#This Row],[Stock_Quantity]] &lt; tblInventory[[#This Row],[Reorder_Level]],"REORDER","OK"))</f>
        <v>OK</v>
      </c>
      <c r="X175" s="1" t="str">
        <f t="shared" ca="1" si="5"/>
        <v>Expired</v>
      </c>
    </row>
    <row r="176" spans="1:24">
      <c r="A176" s="1">
        <v>175</v>
      </c>
      <c r="B176" s="1" t="s">
        <v>1746</v>
      </c>
      <c r="C176" s="1" t="s">
        <v>301</v>
      </c>
      <c r="D176" s="1" t="s">
        <v>69</v>
      </c>
      <c r="E176" s="1" t="s">
        <v>1747</v>
      </c>
      <c r="F176" s="1" t="s">
        <v>1281</v>
      </c>
      <c r="G176" s="6">
        <v>21</v>
      </c>
      <c r="H176" s="8">
        <f>tblInventory[[#This Row],[Stock_Quantity]] * tblInventory[[#This Row],[Unit_Price]]</f>
        <v>65.100000000000009</v>
      </c>
      <c r="I176" s="1">
        <v>87</v>
      </c>
      <c r="J176" s="1">
        <v>67</v>
      </c>
      <c r="K176" s="8">
        <f>tblInventory[[#This Row],[Reorder_Quantity]]*M176</f>
        <v>207.70000000000002</v>
      </c>
      <c r="L176" s="10">
        <f>tblInventory[[#This Row],[Stock_Quantity]] / tblInventory[[#This Row],[Reorder_Quantity]]</f>
        <v>0.31343283582089554</v>
      </c>
      <c r="M176" s="3">
        <v>3.1</v>
      </c>
      <c r="N176" s="10">
        <f t="shared" si="4"/>
        <v>0.35653650254668934</v>
      </c>
      <c r="O176" s="2">
        <v>45717</v>
      </c>
      <c r="P176" s="1" t="s">
        <v>417</v>
      </c>
      <c r="Q176" s="2">
        <v>45848</v>
      </c>
      <c r="R176" s="1" t="s">
        <v>1748</v>
      </c>
      <c r="S176" s="1">
        <v>64</v>
      </c>
      <c r="T176" s="1">
        <v>69</v>
      </c>
      <c r="U176" s="1" t="s">
        <v>24</v>
      </c>
      <c r="V176" s="3">
        <f>tblInventory[[#This Row],[Stock_Quantity]]*tblInventory[[#This Row],[Unit_Price]]</f>
        <v>65.100000000000009</v>
      </c>
      <c r="W176" s="1" t="str">
        <f>IF(tblInventory[[#This Row],[Status]]="Discontinued","INACTIVE",
IF(tblInventory[[#This Row],[Stock_Quantity]] &lt; tblInventory[[#This Row],[Reorder_Level]],"REORDER","OK"))</f>
        <v>INACTIVE</v>
      </c>
      <c r="X176" s="1" t="str">
        <f t="shared" ca="1" si="5"/>
        <v>Expired</v>
      </c>
    </row>
    <row r="177" spans="1:24">
      <c r="A177" s="1">
        <v>176</v>
      </c>
      <c r="B177" s="1" t="s">
        <v>1870</v>
      </c>
      <c r="C177" s="1" t="s">
        <v>301</v>
      </c>
      <c r="D177" s="1" t="s">
        <v>69</v>
      </c>
      <c r="E177" s="1" t="s">
        <v>1871</v>
      </c>
      <c r="F177" s="1" t="s">
        <v>1872</v>
      </c>
      <c r="G177" s="6">
        <v>36</v>
      </c>
      <c r="H177" s="8">
        <f>tblInventory[[#This Row],[Stock_Quantity]] * tblInventory[[#This Row],[Unit_Price]]</f>
        <v>104.39999999999999</v>
      </c>
      <c r="I177" s="1">
        <v>75</v>
      </c>
      <c r="J177" s="1">
        <v>35</v>
      </c>
      <c r="K177" s="8">
        <f>tblInventory[[#This Row],[Reorder_Quantity]]*M177</f>
        <v>101.5</v>
      </c>
      <c r="L177" s="10">
        <f>tblInventory[[#This Row],[Stock_Quantity]] / tblInventory[[#This Row],[Reorder_Quantity]]</f>
        <v>1.0285714285714285</v>
      </c>
      <c r="M177" s="3">
        <v>2.9</v>
      </c>
      <c r="N177" s="10">
        <f t="shared" si="4"/>
        <v>0.61120543293718166</v>
      </c>
      <c r="O177" s="1" t="s">
        <v>1004</v>
      </c>
      <c r="P177" s="1" t="s">
        <v>548</v>
      </c>
      <c r="Q177" s="2">
        <v>45974</v>
      </c>
      <c r="R177" s="1" t="s">
        <v>1873</v>
      </c>
      <c r="S177" s="1">
        <v>26</v>
      </c>
      <c r="T177" s="1">
        <v>41</v>
      </c>
      <c r="U177" s="1" t="s">
        <v>24</v>
      </c>
      <c r="V177" s="3">
        <f>tblInventory[[#This Row],[Stock_Quantity]]*tblInventory[[#This Row],[Unit_Price]]</f>
        <v>104.39999999999999</v>
      </c>
      <c r="W177" s="1" t="str">
        <f>IF(tblInventory[[#This Row],[Status]]="Discontinued","INACTIVE",
IF(tblInventory[[#This Row],[Stock_Quantity]] &lt; tblInventory[[#This Row],[Reorder_Level]],"REORDER","OK"))</f>
        <v>INACTIVE</v>
      </c>
      <c r="X177" s="1" t="str">
        <f t="shared" ca="1" si="5"/>
        <v>Expired</v>
      </c>
    </row>
    <row r="178" spans="1:24">
      <c r="A178" s="1">
        <v>177</v>
      </c>
      <c r="B178" s="1" t="s">
        <v>2183</v>
      </c>
      <c r="C178" s="1" t="s">
        <v>301</v>
      </c>
      <c r="D178" s="1" t="s">
        <v>69</v>
      </c>
      <c r="E178" s="1" t="s">
        <v>2184</v>
      </c>
      <c r="F178" s="1" t="s">
        <v>974</v>
      </c>
      <c r="G178" s="6">
        <v>48</v>
      </c>
      <c r="H178" s="8">
        <f>tblInventory[[#This Row],[Stock_Quantity]] * tblInventory[[#This Row],[Unit_Price]]</f>
        <v>144</v>
      </c>
      <c r="I178" s="1">
        <v>71</v>
      </c>
      <c r="J178" s="1">
        <v>86</v>
      </c>
      <c r="K178" s="8">
        <f>tblInventory[[#This Row],[Reorder_Quantity]]*M178</f>
        <v>258</v>
      </c>
      <c r="L178" s="10">
        <f>tblInventory[[#This Row],[Stock_Quantity]] / tblInventory[[#This Row],[Reorder_Quantity]]</f>
        <v>0.55813953488372092</v>
      </c>
      <c r="M178" s="3">
        <v>3</v>
      </c>
      <c r="N178" s="10">
        <f t="shared" si="4"/>
        <v>0.81494057724957558</v>
      </c>
      <c r="O178" s="1" t="s">
        <v>610</v>
      </c>
      <c r="P178" s="2">
        <v>45329</v>
      </c>
      <c r="Q178" s="2">
        <v>46070</v>
      </c>
      <c r="R178" s="1" t="s">
        <v>2185</v>
      </c>
      <c r="S178" s="1">
        <v>95</v>
      </c>
      <c r="T178" s="1">
        <v>3</v>
      </c>
      <c r="U178" s="1" t="s">
        <v>24</v>
      </c>
      <c r="V178" s="3">
        <f>tblInventory[[#This Row],[Stock_Quantity]]*tblInventory[[#This Row],[Unit_Price]]</f>
        <v>144</v>
      </c>
      <c r="W178" s="1" t="str">
        <f>IF(tblInventory[[#This Row],[Status]]="Discontinued","INACTIVE",
IF(tblInventory[[#This Row],[Stock_Quantity]] &lt; tblInventory[[#This Row],[Reorder_Level]],"REORDER","OK"))</f>
        <v>INACTIVE</v>
      </c>
      <c r="X178" s="1" t="str">
        <f t="shared" ca="1" si="5"/>
        <v>Valid</v>
      </c>
    </row>
    <row r="179" spans="1:24">
      <c r="A179" s="1">
        <v>178</v>
      </c>
      <c r="B179" s="1" t="s">
        <v>502</v>
      </c>
      <c r="C179" s="1" t="s">
        <v>503</v>
      </c>
      <c r="D179" s="1" t="s">
        <v>100</v>
      </c>
      <c r="E179" s="1" t="s">
        <v>504</v>
      </c>
      <c r="F179" s="1" t="s">
        <v>505</v>
      </c>
      <c r="G179" s="6">
        <v>38</v>
      </c>
      <c r="H179" s="8">
        <f>tblInventory[[#This Row],[Stock_Quantity]] * tblInventory[[#This Row],[Unit_Price]]</f>
        <v>228</v>
      </c>
      <c r="I179" s="1">
        <v>93</v>
      </c>
      <c r="J179" s="1">
        <v>61</v>
      </c>
      <c r="K179" s="8">
        <f>tblInventory[[#This Row],[Reorder_Quantity]]*M179</f>
        <v>366</v>
      </c>
      <c r="L179" s="10">
        <f>tblInventory[[#This Row],[Stock_Quantity]] / tblInventory[[#This Row],[Reorder_Quantity]]</f>
        <v>0.62295081967213117</v>
      </c>
      <c r="M179" s="3">
        <v>6</v>
      </c>
      <c r="N179" s="10">
        <f t="shared" si="4"/>
        <v>0.64516129032258063</v>
      </c>
      <c r="O179" s="2">
        <v>45577</v>
      </c>
      <c r="P179" s="1" t="s">
        <v>506</v>
      </c>
      <c r="Q179" s="2">
        <v>45516</v>
      </c>
      <c r="R179" s="1" t="s">
        <v>507</v>
      </c>
      <c r="S179" s="1">
        <v>67</v>
      </c>
      <c r="T179" s="1">
        <v>100</v>
      </c>
      <c r="U179" s="1" t="s">
        <v>46</v>
      </c>
      <c r="V179" s="3">
        <f>tblInventory[[#This Row],[Stock_Quantity]]*tblInventory[[#This Row],[Unit_Price]]</f>
        <v>228</v>
      </c>
      <c r="W179" s="1" t="str">
        <f>IF(tblInventory[[#This Row],[Status]]="Discontinued","INACTIVE",
IF(tblInventory[[#This Row],[Stock_Quantity]] &lt; tblInventory[[#This Row],[Reorder_Level]],"REORDER","OK"))</f>
        <v>REORDER</v>
      </c>
      <c r="X179" s="1" t="str">
        <f t="shared" ca="1" si="5"/>
        <v>Expired</v>
      </c>
    </row>
    <row r="180" spans="1:24">
      <c r="A180" s="1">
        <v>179</v>
      </c>
      <c r="B180" s="1" t="s">
        <v>1508</v>
      </c>
      <c r="C180" s="1" t="s">
        <v>503</v>
      </c>
      <c r="D180" s="1" t="s">
        <v>100</v>
      </c>
      <c r="E180" s="1" t="s">
        <v>1509</v>
      </c>
      <c r="F180" s="1" t="s">
        <v>1510</v>
      </c>
      <c r="G180" s="6">
        <v>33</v>
      </c>
      <c r="H180" s="8">
        <f>tblInventory[[#This Row],[Stock_Quantity]] * tblInventory[[#This Row],[Unit_Price]]</f>
        <v>198</v>
      </c>
      <c r="I180" s="1">
        <v>60</v>
      </c>
      <c r="J180" s="1">
        <v>67</v>
      </c>
      <c r="K180" s="8">
        <f>tblInventory[[#This Row],[Reorder_Quantity]]*M180</f>
        <v>402</v>
      </c>
      <c r="L180" s="10">
        <f>tblInventory[[#This Row],[Stock_Quantity]] / tblInventory[[#This Row],[Reorder_Quantity]]</f>
        <v>0.4925373134328358</v>
      </c>
      <c r="M180" s="3">
        <v>6</v>
      </c>
      <c r="N180" s="10">
        <f t="shared" si="4"/>
        <v>0.56027164685908315</v>
      </c>
      <c r="O180" s="1" t="s">
        <v>653</v>
      </c>
      <c r="P180" s="1" t="s">
        <v>89</v>
      </c>
      <c r="Q180" s="2">
        <v>45869</v>
      </c>
      <c r="R180" s="1" t="s">
        <v>1511</v>
      </c>
      <c r="S180" s="1">
        <v>20</v>
      </c>
      <c r="T180" s="1">
        <v>7</v>
      </c>
      <c r="U180" s="1" t="s">
        <v>24</v>
      </c>
      <c r="V180" s="3">
        <f>tblInventory[[#This Row],[Stock_Quantity]]*tblInventory[[#This Row],[Unit_Price]]</f>
        <v>198</v>
      </c>
      <c r="W180" s="1" t="str">
        <f>IF(tblInventory[[#This Row],[Status]]="Discontinued","INACTIVE",
IF(tblInventory[[#This Row],[Stock_Quantity]] &lt; tblInventory[[#This Row],[Reorder_Level]],"REORDER","OK"))</f>
        <v>INACTIVE</v>
      </c>
      <c r="X180" s="1" t="str">
        <f t="shared" ca="1" si="5"/>
        <v>Expired</v>
      </c>
    </row>
    <row r="181" spans="1:24">
      <c r="A181" s="1">
        <v>180</v>
      </c>
      <c r="B181" s="1" t="s">
        <v>1830</v>
      </c>
      <c r="C181" s="1" t="s">
        <v>503</v>
      </c>
      <c r="D181" s="1" t="s">
        <v>100</v>
      </c>
      <c r="E181" s="1" t="s">
        <v>1831</v>
      </c>
      <c r="F181" s="1" t="s">
        <v>1086</v>
      </c>
      <c r="G181" s="6">
        <v>22</v>
      </c>
      <c r="H181" s="8">
        <f>tblInventory[[#This Row],[Stock_Quantity]] * tblInventory[[#This Row],[Unit_Price]]</f>
        <v>132</v>
      </c>
      <c r="I181" s="1">
        <v>24</v>
      </c>
      <c r="J181" s="1">
        <v>94</v>
      </c>
      <c r="K181" s="8">
        <f>tblInventory[[#This Row],[Reorder_Quantity]]*M181</f>
        <v>564</v>
      </c>
      <c r="L181" s="10">
        <f>tblInventory[[#This Row],[Stock_Quantity]] / tblInventory[[#This Row],[Reorder_Quantity]]</f>
        <v>0.23404255319148937</v>
      </c>
      <c r="M181" s="3">
        <v>6</v>
      </c>
      <c r="N181" s="10">
        <f t="shared" si="4"/>
        <v>0.37351443123938882</v>
      </c>
      <c r="O181" s="1" t="s">
        <v>1299</v>
      </c>
      <c r="P181" s="1" t="s">
        <v>372</v>
      </c>
      <c r="Q181" s="2">
        <v>45668</v>
      </c>
      <c r="R181" s="1" t="s">
        <v>1832</v>
      </c>
      <c r="S181" s="1">
        <v>47</v>
      </c>
      <c r="T181" s="1">
        <v>71</v>
      </c>
      <c r="U181" s="1" t="s">
        <v>46</v>
      </c>
      <c r="V181" s="3">
        <f>tblInventory[[#This Row],[Stock_Quantity]]*tblInventory[[#This Row],[Unit_Price]]</f>
        <v>132</v>
      </c>
      <c r="W181" s="1" t="str">
        <f>IF(tblInventory[[#This Row],[Status]]="Discontinued","INACTIVE",
IF(tblInventory[[#This Row],[Stock_Quantity]] &lt; tblInventory[[#This Row],[Reorder_Level]],"REORDER","OK"))</f>
        <v>REORDER</v>
      </c>
      <c r="X181" s="1" t="str">
        <f t="shared" ca="1" si="5"/>
        <v>Expired</v>
      </c>
    </row>
    <row r="182" spans="1:24">
      <c r="A182" s="1">
        <v>181</v>
      </c>
      <c r="B182" s="1" t="s">
        <v>2826</v>
      </c>
      <c r="C182" s="1" t="s">
        <v>503</v>
      </c>
      <c r="D182" s="1" t="s">
        <v>100</v>
      </c>
      <c r="E182" s="1" t="s">
        <v>2827</v>
      </c>
      <c r="F182" s="1" t="s">
        <v>2828</v>
      </c>
      <c r="G182" s="6">
        <v>84</v>
      </c>
      <c r="H182" s="8">
        <f>tblInventory[[#This Row],[Stock_Quantity]] * tblInventory[[#This Row],[Unit_Price]]</f>
        <v>504</v>
      </c>
      <c r="I182" s="1">
        <v>58</v>
      </c>
      <c r="J182" s="1">
        <v>28</v>
      </c>
      <c r="K182" s="8">
        <f>tblInventory[[#This Row],[Reorder_Quantity]]*M182</f>
        <v>168</v>
      </c>
      <c r="L182" s="10">
        <f>tblInventory[[#This Row],[Stock_Quantity]] / tblInventory[[#This Row],[Reorder_Quantity]]</f>
        <v>3</v>
      </c>
      <c r="M182" s="3">
        <v>6</v>
      </c>
      <c r="N182" s="10">
        <f t="shared" si="4"/>
        <v>1.4261460101867574</v>
      </c>
      <c r="O182" s="1" t="s">
        <v>44</v>
      </c>
      <c r="P182" s="2">
        <v>45749</v>
      </c>
      <c r="Q182" s="2">
        <v>46062</v>
      </c>
      <c r="R182" s="1" t="s">
        <v>2829</v>
      </c>
      <c r="S182" s="1">
        <v>51</v>
      </c>
      <c r="T182" s="1">
        <v>12</v>
      </c>
      <c r="U182" s="1" t="s">
        <v>46</v>
      </c>
      <c r="V182" s="3">
        <f>tblInventory[[#This Row],[Stock_Quantity]]*tblInventory[[#This Row],[Unit_Price]]</f>
        <v>504</v>
      </c>
      <c r="W182" s="1" t="str">
        <f>IF(tblInventory[[#This Row],[Status]]="Discontinued","INACTIVE",
IF(tblInventory[[#This Row],[Stock_Quantity]] &lt; tblInventory[[#This Row],[Reorder_Level]],"REORDER","OK"))</f>
        <v>OK</v>
      </c>
      <c r="X182" s="1" t="str">
        <f t="shared" ca="1" si="5"/>
        <v>Valid</v>
      </c>
    </row>
    <row r="183" spans="1:24">
      <c r="A183" s="1">
        <v>182</v>
      </c>
      <c r="B183" s="1" t="s">
        <v>3070</v>
      </c>
      <c r="C183" s="1" t="s">
        <v>503</v>
      </c>
      <c r="D183" s="1" t="s">
        <v>100</v>
      </c>
      <c r="E183" s="1" t="s">
        <v>3071</v>
      </c>
      <c r="F183" s="1" t="s">
        <v>1331</v>
      </c>
      <c r="G183" s="6">
        <v>74</v>
      </c>
      <c r="H183" s="8">
        <f>tblInventory[[#This Row],[Stock_Quantity]] * tblInventory[[#This Row],[Unit_Price]]</f>
        <v>444</v>
      </c>
      <c r="I183" s="1">
        <v>81</v>
      </c>
      <c r="J183" s="1">
        <v>41</v>
      </c>
      <c r="K183" s="8">
        <f>tblInventory[[#This Row],[Reorder_Quantity]]*M183</f>
        <v>246</v>
      </c>
      <c r="L183" s="10">
        <f>tblInventory[[#This Row],[Stock_Quantity]] / tblInventory[[#This Row],[Reorder_Quantity]]</f>
        <v>1.8048780487804879</v>
      </c>
      <c r="M183" s="3">
        <v>6</v>
      </c>
      <c r="N183" s="10">
        <f t="shared" si="4"/>
        <v>1.2563667232597624</v>
      </c>
      <c r="O183" s="2">
        <v>45779</v>
      </c>
      <c r="P183" s="2">
        <v>45327</v>
      </c>
      <c r="Q183" s="2">
        <v>46344</v>
      </c>
      <c r="R183" s="1" t="s">
        <v>3072</v>
      </c>
      <c r="S183" s="1">
        <v>51</v>
      </c>
      <c r="T183" s="1">
        <v>67</v>
      </c>
      <c r="U183" s="1" t="s">
        <v>46</v>
      </c>
      <c r="V183" s="3">
        <f>tblInventory[[#This Row],[Stock_Quantity]]*tblInventory[[#This Row],[Unit_Price]]</f>
        <v>444</v>
      </c>
      <c r="W183" s="1" t="str">
        <f>IF(tblInventory[[#This Row],[Status]]="Discontinued","INACTIVE",
IF(tblInventory[[#This Row],[Stock_Quantity]] &lt; tblInventory[[#This Row],[Reorder_Level]],"REORDER","OK"))</f>
        <v>REORDER</v>
      </c>
      <c r="X183" s="1" t="str">
        <f t="shared" ca="1" si="5"/>
        <v>Valid</v>
      </c>
    </row>
    <row r="184" spans="1:24">
      <c r="A184" s="1">
        <v>183</v>
      </c>
      <c r="B184" s="1" t="s">
        <v>3376</v>
      </c>
      <c r="C184" s="1" t="s">
        <v>503</v>
      </c>
      <c r="D184" s="1" t="s">
        <v>100</v>
      </c>
      <c r="E184" s="1" t="s">
        <v>3377</v>
      </c>
      <c r="F184" s="1" t="s">
        <v>3378</v>
      </c>
      <c r="G184" s="6">
        <v>12</v>
      </c>
      <c r="H184" s="8">
        <f>tblInventory[[#This Row],[Stock_Quantity]] * tblInventory[[#This Row],[Unit_Price]]</f>
        <v>72</v>
      </c>
      <c r="I184" s="1">
        <v>7</v>
      </c>
      <c r="J184" s="1">
        <v>23</v>
      </c>
      <c r="K184" s="8">
        <f>tblInventory[[#This Row],[Reorder_Quantity]]*M184</f>
        <v>138</v>
      </c>
      <c r="L184" s="10">
        <f>tblInventory[[#This Row],[Stock_Quantity]] / tblInventory[[#This Row],[Reorder_Quantity]]</f>
        <v>0.52173913043478259</v>
      </c>
      <c r="M184" s="3">
        <v>6</v>
      </c>
      <c r="N184" s="10">
        <f t="shared" si="4"/>
        <v>0.2037351443123939</v>
      </c>
      <c r="O184" s="2">
        <v>45810</v>
      </c>
      <c r="P184" s="1" t="s">
        <v>566</v>
      </c>
      <c r="Q184" s="2">
        <v>46443</v>
      </c>
      <c r="R184" s="1" t="s">
        <v>3379</v>
      </c>
      <c r="S184" s="1">
        <v>72</v>
      </c>
      <c r="T184" s="1">
        <v>16</v>
      </c>
      <c r="U184" s="1" t="s">
        <v>24</v>
      </c>
      <c r="V184" s="3">
        <f>tblInventory[[#This Row],[Stock_Quantity]]*tblInventory[[#This Row],[Unit_Price]]</f>
        <v>72</v>
      </c>
      <c r="W184" s="1" t="str">
        <f>IF(tblInventory[[#This Row],[Status]]="Discontinued","INACTIVE",
IF(tblInventory[[#This Row],[Stock_Quantity]] &lt; tblInventory[[#This Row],[Reorder_Level]],"REORDER","OK"))</f>
        <v>INACTIVE</v>
      </c>
      <c r="X184" s="1" t="str">
        <f t="shared" ca="1" si="5"/>
        <v>Valid</v>
      </c>
    </row>
    <row r="185" spans="1:24">
      <c r="A185" s="1">
        <v>184</v>
      </c>
      <c r="B185" s="1" t="s">
        <v>777</v>
      </c>
      <c r="C185" s="1" t="s">
        <v>778</v>
      </c>
      <c r="D185" s="1" t="s">
        <v>69</v>
      </c>
      <c r="E185" s="1" t="s">
        <v>779</v>
      </c>
      <c r="F185" s="1" t="s">
        <v>35</v>
      </c>
      <c r="G185" s="6">
        <v>47</v>
      </c>
      <c r="H185" s="8">
        <f>tblInventory[[#This Row],[Stock_Quantity]] * tblInventory[[#This Row],[Unit_Price]]</f>
        <v>117.5</v>
      </c>
      <c r="I185" s="1">
        <v>2</v>
      </c>
      <c r="J185" s="1">
        <v>76</v>
      </c>
      <c r="K185" s="8">
        <f>tblInventory[[#This Row],[Reorder_Quantity]]*M185</f>
        <v>190</v>
      </c>
      <c r="L185" s="10">
        <f>tblInventory[[#This Row],[Stock_Quantity]] / tblInventory[[#This Row],[Reorder_Quantity]]</f>
        <v>0.61842105263157898</v>
      </c>
      <c r="M185" s="3">
        <v>2.5</v>
      </c>
      <c r="N185" s="10">
        <f t="shared" si="4"/>
        <v>0.79796264855687604</v>
      </c>
      <c r="O185" s="1" t="s">
        <v>688</v>
      </c>
      <c r="P185" s="1" t="s">
        <v>21</v>
      </c>
      <c r="Q185" s="2">
        <v>45659</v>
      </c>
      <c r="R185" s="1" t="s">
        <v>780</v>
      </c>
      <c r="S185" s="1">
        <v>48</v>
      </c>
      <c r="T185" s="1">
        <v>36</v>
      </c>
      <c r="U185" s="1" t="s">
        <v>24</v>
      </c>
      <c r="V185" s="3">
        <f>tblInventory[[#This Row],[Stock_Quantity]]*tblInventory[[#This Row],[Unit_Price]]</f>
        <v>117.5</v>
      </c>
      <c r="W185" s="1" t="str">
        <f>IF(tblInventory[[#This Row],[Status]]="Discontinued","INACTIVE",
IF(tblInventory[[#This Row],[Stock_Quantity]] &lt; tblInventory[[#This Row],[Reorder_Level]],"REORDER","OK"))</f>
        <v>INACTIVE</v>
      </c>
      <c r="X185" s="1" t="str">
        <f t="shared" ca="1" si="5"/>
        <v>Expired</v>
      </c>
    </row>
    <row r="186" spans="1:24">
      <c r="A186" s="1">
        <v>185</v>
      </c>
      <c r="B186" s="1" t="s">
        <v>1348</v>
      </c>
      <c r="C186" s="1" t="s">
        <v>778</v>
      </c>
      <c r="D186" s="1" t="s">
        <v>69</v>
      </c>
      <c r="E186" s="1" t="s">
        <v>1349</v>
      </c>
      <c r="F186" s="1" t="s">
        <v>1350</v>
      </c>
      <c r="G186" s="6">
        <v>52</v>
      </c>
      <c r="H186" s="8">
        <f>tblInventory[[#This Row],[Stock_Quantity]] * tblInventory[[#This Row],[Unit_Price]]</f>
        <v>124.8</v>
      </c>
      <c r="I186" s="1">
        <v>64</v>
      </c>
      <c r="J186" s="1">
        <v>54</v>
      </c>
      <c r="K186" s="8">
        <f>tblInventory[[#This Row],[Reorder_Quantity]]*M186</f>
        <v>129.6</v>
      </c>
      <c r="L186" s="10">
        <f>tblInventory[[#This Row],[Stock_Quantity]] / tblInventory[[#This Row],[Reorder_Quantity]]</f>
        <v>0.96296296296296291</v>
      </c>
      <c r="M186" s="3">
        <v>2.4</v>
      </c>
      <c r="N186" s="10">
        <f t="shared" si="4"/>
        <v>0.88285229202037352</v>
      </c>
      <c r="O186" s="1" t="s">
        <v>322</v>
      </c>
      <c r="P186" s="2">
        <v>45544</v>
      </c>
      <c r="Q186" s="2">
        <v>45827</v>
      </c>
      <c r="R186" s="1" t="s">
        <v>1351</v>
      </c>
      <c r="S186" s="1">
        <v>21</v>
      </c>
      <c r="T186" s="1">
        <v>55</v>
      </c>
      <c r="U186" s="1" t="s">
        <v>38</v>
      </c>
      <c r="V186" s="3">
        <f>tblInventory[[#This Row],[Stock_Quantity]]*tblInventory[[#This Row],[Unit_Price]]</f>
        <v>124.8</v>
      </c>
      <c r="W186" s="1" t="str">
        <f>IF(tblInventory[[#This Row],[Status]]="Discontinued","INACTIVE",
IF(tblInventory[[#This Row],[Stock_Quantity]] &lt; tblInventory[[#This Row],[Reorder_Level]],"REORDER","OK"))</f>
        <v>REORDER</v>
      </c>
      <c r="X186" s="1" t="str">
        <f t="shared" ca="1" si="5"/>
        <v>Expired</v>
      </c>
    </row>
    <row r="187" spans="1:24">
      <c r="A187" s="1">
        <v>186</v>
      </c>
      <c r="B187" s="1" t="s">
        <v>1921</v>
      </c>
      <c r="C187" s="1" t="s">
        <v>778</v>
      </c>
      <c r="D187" s="1" t="s">
        <v>69</v>
      </c>
      <c r="E187" s="1" t="s">
        <v>1922</v>
      </c>
      <c r="F187" s="1" t="s">
        <v>608</v>
      </c>
      <c r="G187" s="6">
        <v>28</v>
      </c>
      <c r="H187" s="8">
        <f>tblInventory[[#This Row],[Stock_Quantity]] * tblInventory[[#This Row],[Unit_Price]]</f>
        <v>68.600000000000009</v>
      </c>
      <c r="I187" s="1">
        <v>90</v>
      </c>
      <c r="J187" s="1">
        <v>70</v>
      </c>
      <c r="K187" s="8">
        <f>tblInventory[[#This Row],[Reorder_Quantity]]*M187</f>
        <v>171.5</v>
      </c>
      <c r="L187" s="10">
        <f>tblInventory[[#This Row],[Stock_Quantity]] / tblInventory[[#This Row],[Reorder_Quantity]]</f>
        <v>0.4</v>
      </c>
      <c r="M187" s="3">
        <v>2.4500000000000002</v>
      </c>
      <c r="N187" s="10">
        <f t="shared" si="4"/>
        <v>0.47538200339558573</v>
      </c>
      <c r="O187" s="2">
        <v>45423</v>
      </c>
      <c r="P187" s="1" t="s">
        <v>165</v>
      </c>
      <c r="Q187" s="2">
        <v>45989</v>
      </c>
      <c r="R187" s="1" t="s">
        <v>1923</v>
      </c>
      <c r="S187" s="1">
        <v>76</v>
      </c>
      <c r="T187" s="1">
        <v>78</v>
      </c>
      <c r="U187" s="1" t="s">
        <v>46</v>
      </c>
      <c r="V187" s="3">
        <f>tblInventory[[#This Row],[Stock_Quantity]]*tblInventory[[#This Row],[Unit_Price]]</f>
        <v>68.600000000000009</v>
      </c>
      <c r="W187" s="1" t="str">
        <f>IF(tblInventory[[#This Row],[Status]]="Discontinued","INACTIVE",
IF(tblInventory[[#This Row],[Stock_Quantity]] &lt; tblInventory[[#This Row],[Reorder_Level]],"REORDER","OK"))</f>
        <v>REORDER</v>
      </c>
      <c r="X187" s="1" t="str">
        <f t="shared" ca="1" si="5"/>
        <v>Valid</v>
      </c>
    </row>
    <row r="188" spans="1:24">
      <c r="A188" s="1">
        <v>187</v>
      </c>
      <c r="B188" s="1" t="s">
        <v>2484</v>
      </c>
      <c r="C188" s="1" t="s">
        <v>778</v>
      </c>
      <c r="D188" s="1" t="s">
        <v>69</v>
      </c>
      <c r="E188" s="1" t="s">
        <v>2485</v>
      </c>
      <c r="F188" s="1" t="s">
        <v>1110</v>
      </c>
      <c r="G188" s="6">
        <v>39</v>
      </c>
      <c r="H188" s="8">
        <f>tblInventory[[#This Row],[Stock_Quantity]] * tblInventory[[#This Row],[Unit_Price]]</f>
        <v>97.5</v>
      </c>
      <c r="I188" s="1">
        <v>80</v>
      </c>
      <c r="J188" s="1">
        <v>68</v>
      </c>
      <c r="K188" s="8">
        <f>tblInventory[[#This Row],[Reorder_Quantity]]*M188</f>
        <v>170</v>
      </c>
      <c r="L188" s="10">
        <f>tblInventory[[#This Row],[Stock_Quantity]] / tblInventory[[#This Row],[Reorder_Quantity]]</f>
        <v>0.57352941176470584</v>
      </c>
      <c r="M188" s="3">
        <v>2.5</v>
      </c>
      <c r="N188" s="10">
        <f t="shared" si="4"/>
        <v>0.66213921901528017</v>
      </c>
      <c r="O188" s="1" t="s">
        <v>1061</v>
      </c>
      <c r="P188" s="2">
        <v>45451</v>
      </c>
      <c r="Q188" s="2">
        <v>46163</v>
      </c>
      <c r="R188" s="1" t="s">
        <v>2486</v>
      </c>
      <c r="S188" s="1">
        <v>46</v>
      </c>
      <c r="T188" s="1">
        <v>54</v>
      </c>
      <c r="U188" s="1" t="s">
        <v>24</v>
      </c>
      <c r="V188" s="3">
        <f>tblInventory[[#This Row],[Stock_Quantity]]*tblInventory[[#This Row],[Unit_Price]]</f>
        <v>97.5</v>
      </c>
      <c r="W188" s="1" t="str">
        <f>IF(tblInventory[[#This Row],[Status]]="Discontinued","INACTIVE",
IF(tblInventory[[#This Row],[Stock_Quantity]] &lt; tblInventory[[#This Row],[Reorder_Level]],"REORDER","OK"))</f>
        <v>INACTIVE</v>
      </c>
      <c r="X188" s="1" t="str">
        <f t="shared" ca="1" si="5"/>
        <v>Valid</v>
      </c>
    </row>
    <row r="189" spans="1:24">
      <c r="A189" s="1">
        <v>188</v>
      </c>
      <c r="B189" s="1" t="s">
        <v>2623</v>
      </c>
      <c r="C189" s="1" t="s">
        <v>778</v>
      </c>
      <c r="D189" s="1" t="s">
        <v>69</v>
      </c>
      <c r="E189" s="1" t="s">
        <v>2624</v>
      </c>
      <c r="F189" s="1" t="s">
        <v>999</v>
      </c>
      <c r="G189" s="6">
        <v>60</v>
      </c>
      <c r="H189" s="8">
        <f>tblInventory[[#This Row],[Stock_Quantity]] * tblInventory[[#This Row],[Unit_Price]]</f>
        <v>147</v>
      </c>
      <c r="I189" s="1">
        <v>1</v>
      </c>
      <c r="J189" s="1">
        <v>42</v>
      </c>
      <c r="K189" s="8">
        <f>tblInventory[[#This Row],[Reorder_Quantity]]*M189</f>
        <v>102.9</v>
      </c>
      <c r="L189" s="10">
        <f>tblInventory[[#This Row],[Stock_Quantity]] / tblInventory[[#This Row],[Reorder_Quantity]]</f>
        <v>1.4285714285714286</v>
      </c>
      <c r="M189" s="3">
        <v>2.4500000000000002</v>
      </c>
      <c r="N189" s="10">
        <f t="shared" si="4"/>
        <v>1.0186757215619695</v>
      </c>
      <c r="O189" s="1" t="s">
        <v>128</v>
      </c>
      <c r="P189" s="1" t="s">
        <v>396</v>
      </c>
      <c r="Q189" s="2">
        <v>46060</v>
      </c>
      <c r="R189" s="1" t="s">
        <v>2625</v>
      </c>
      <c r="S189" s="1">
        <v>42</v>
      </c>
      <c r="T189" s="1">
        <v>91</v>
      </c>
      <c r="U189" s="1" t="s">
        <v>46</v>
      </c>
      <c r="V189" s="3">
        <f>tblInventory[[#This Row],[Stock_Quantity]]*tblInventory[[#This Row],[Unit_Price]]</f>
        <v>147</v>
      </c>
      <c r="W189" s="1" t="str">
        <f>IF(tblInventory[[#This Row],[Status]]="Discontinued","INACTIVE",
IF(tblInventory[[#This Row],[Stock_Quantity]] &lt; tblInventory[[#This Row],[Reorder_Level]],"REORDER","OK"))</f>
        <v>OK</v>
      </c>
      <c r="X189" s="1" t="str">
        <f t="shared" ca="1" si="5"/>
        <v>Valid</v>
      </c>
    </row>
    <row r="190" spans="1:24">
      <c r="A190" s="1">
        <v>189</v>
      </c>
      <c r="B190" s="1" t="s">
        <v>2669</v>
      </c>
      <c r="C190" s="1" t="s">
        <v>778</v>
      </c>
      <c r="D190" s="1" t="s">
        <v>69</v>
      </c>
      <c r="E190" s="1" t="s">
        <v>2670</v>
      </c>
      <c r="F190" s="1" t="s">
        <v>2671</v>
      </c>
      <c r="G190" s="6">
        <v>69</v>
      </c>
      <c r="H190" s="8">
        <f>tblInventory[[#This Row],[Stock_Quantity]] * tblInventory[[#This Row],[Unit_Price]]</f>
        <v>175.95</v>
      </c>
      <c r="I190" s="1">
        <v>98</v>
      </c>
      <c r="J190" s="1">
        <v>89</v>
      </c>
      <c r="K190" s="8">
        <f>tblInventory[[#This Row],[Reorder_Quantity]]*M190</f>
        <v>226.95</v>
      </c>
      <c r="L190" s="10">
        <f>tblInventory[[#This Row],[Stock_Quantity]] / tblInventory[[#This Row],[Reorder_Quantity]]</f>
        <v>0.7752808988764045</v>
      </c>
      <c r="M190" s="3">
        <v>2.5499999999999998</v>
      </c>
      <c r="N190" s="10">
        <f t="shared" si="4"/>
        <v>1.1714770797962648</v>
      </c>
      <c r="O190" s="1" t="s">
        <v>620</v>
      </c>
      <c r="P190" s="2">
        <v>45539</v>
      </c>
      <c r="Q190" s="2">
        <v>46220</v>
      </c>
      <c r="R190" s="1" t="s">
        <v>2672</v>
      </c>
      <c r="S190" s="1">
        <v>29</v>
      </c>
      <c r="T190" s="1">
        <v>34</v>
      </c>
      <c r="U190" s="1" t="s">
        <v>24</v>
      </c>
      <c r="V190" s="3">
        <f>tblInventory[[#This Row],[Stock_Quantity]]*tblInventory[[#This Row],[Unit_Price]]</f>
        <v>175.95</v>
      </c>
      <c r="W190" s="1" t="str">
        <f>IF(tblInventory[[#This Row],[Status]]="Discontinued","INACTIVE",
IF(tblInventory[[#This Row],[Stock_Quantity]] &lt; tblInventory[[#This Row],[Reorder_Level]],"REORDER","OK"))</f>
        <v>INACTIVE</v>
      </c>
      <c r="X190" s="1" t="str">
        <f t="shared" ca="1" si="5"/>
        <v>Valid</v>
      </c>
    </row>
    <row r="191" spans="1:24">
      <c r="A191" s="1">
        <v>190</v>
      </c>
      <c r="B191" s="1" t="s">
        <v>3308</v>
      </c>
      <c r="C191" s="1" t="s">
        <v>778</v>
      </c>
      <c r="D191" s="1" t="s">
        <v>69</v>
      </c>
      <c r="E191" s="1" t="s">
        <v>3309</v>
      </c>
      <c r="F191" s="1" t="s">
        <v>1728</v>
      </c>
      <c r="G191" s="6">
        <v>70</v>
      </c>
      <c r="H191" s="8">
        <f>tblInventory[[#This Row],[Stock_Quantity]] * tblInventory[[#This Row],[Unit_Price]]</f>
        <v>175</v>
      </c>
      <c r="I191" s="1">
        <v>66</v>
      </c>
      <c r="J191" s="1">
        <v>74</v>
      </c>
      <c r="K191" s="8">
        <f>tblInventory[[#This Row],[Reorder_Quantity]]*M191</f>
        <v>185</v>
      </c>
      <c r="L191" s="10">
        <f>tblInventory[[#This Row],[Stock_Quantity]] / tblInventory[[#This Row],[Reorder_Quantity]]</f>
        <v>0.94594594594594594</v>
      </c>
      <c r="M191" s="3">
        <v>2.5</v>
      </c>
      <c r="N191" s="10">
        <f t="shared" si="4"/>
        <v>1.1884550084889645</v>
      </c>
      <c r="O191" s="2">
        <v>45607</v>
      </c>
      <c r="P191" s="2">
        <v>45603</v>
      </c>
      <c r="Q191" s="2">
        <v>46448</v>
      </c>
      <c r="R191" s="1" t="s">
        <v>3310</v>
      </c>
      <c r="S191" s="1">
        <v>47</v>
      </c>
      <c r="T191" s="1">
        <v>77</v>
      </c>
      <c r="U191" s="1" t="s">
        <v>46</v>
      </c>
      <c r="V191" s="3">
        <f>tblInventory[[#This Row],[Stock_Quantity]]*tblInventory[[#This Row],[Unit_Price]]</f>
        <v>175</v>
      </c>
      <c r="W191" s="1" t="str">
        <f>IF(tblInventory[[#This Row],[Status]]="Discontinued","INACTIVE",
IF(tblInventory[[#This Row],[Stock_Quantity]] &lt; tblInventory[[#This Row],[Reorder_Level]],"REORDER","OK"))</f>
        <v>OK</v>
      </c>
      <c r="X191" s="1" t="str">
        <f t="shared" ca="1" si="5"/>
        <v>Valid</v>
      </c>
    </row>
    <row r="192" spans="1:24">
      <c r="A192" s="1">
        <v>191</v>
      </c>
      <c r="B192" s="1" t="s">
        <v>168</v>
      </c>
      <c r="C192" s="1" t="s">
        <v>169</v>
      </c>
      <c r="D192" s="1" t="s">
        <v>49</v>
      </c>
      <c r="E192" s="1" t="s">
        <v>170</v>
      </c>
      <c r="F192" s="1" t="s">
        <v>171</v>
      </c>
      <c r="G192" s="6">
        <v>88</v>
      </c>
      <c r="H192" s="8">
        <f>tblInventory[[#This Row],[Stock_Quantity]] * tblInventory[[#This Row],[Unit_Price]]</f>
        <v>88</v>
      </c>
      <c r="I192" s="1">
        <v>46</v>
      </c>
      <c r="J192" s="1">
        <v>55</v>
      </c>
      <c r="K192" s="8">
        <f>tblInventory[[#This Row],[Reorder_Quantity]]*M192</f>
        <v>55</v>
      </c>
      <c r="L192" s="10">
        <f>tblInventory[[#This Row],[Stock_Quantity]] / tblInventory[[#This Row],[Reorder_Quantity]]</f>
        <v>1.6</v>
      </c>
      <c r="M192" s="3">
        <v>1</v>
      </c>
      <c r="N192" s="10">
        <f t="shared" si="4"/>
        <v>1.4940577249575553</v>
      </c>
      <c r="O192" s="2">
        <v>45539</v>
      </c>
      <c r="P192" s="2">
        <v>45446</v>
      </c>
      <c r="Q192" s="2">
        <v>45636</v>
      </c>
      <c r="R192" s="1" t="s">
        <v>172</v>
      </c>
      <c r="S192" s="1">
        <v>73</v>
      </c>
      <c r="T192" s="1">
        <v>63</v>
      </c>
      <c r="U192" s="1" t="s">
        <v>46</v>
      </c>
      <c r="V192" s="3">
        <f>tblInventory[[#This Row],[Stock_Quantity]]*tblInventory[[#This Row],[Unit_Price]]</f>
        <v>88</v>
      </c>
      <c r="W192" s="1" t="str">
        <f>IF(tblInventory[[#This Row],[Status]]="Discontinued","INACTIVE",
IF(tblInventory[[#This Row],[Stock_Quantity]] &lt; tblInventory[[#This Row],[Reorder_Level]],"REORDER","OK"))</f>
        <v>OK</v>
      </c>
      <c r="X192" s="1" t="str">
        <f t="shared" ca="1" si="5"/>
        <v>Expired</v>
      </c>
    </row>
    <row r="193" spans="1:24">
      <c r="A193" s="1">
        <v>192</v>
      </c>
      <c r="B193" s="1" t="s">
        <v>2132</v>
      </c>
      <c r="C193" s="1" t="s">
        <v>169</v>
      </c>
      <c r="D193" s="1" t="s">
        <v>49</v>
      </c>
      <c r="E193" s="1" t="s">
        <v>2133</v>
      </c>
      <c r="F193" s="1" t="s">
        <v>931</v>
      </c>
      <c r="G193" s="6">
        <v>12</v>
      </c>
      <c r="H193" s="8">
        <f>tblInventory[[#This Row],[Stock_Quantity]] * tblInventory[[#This Row],[Unit_Price]]</f>
        <v>12</v>
      </c>
      <c r="I193" s="1">
        <v>95</v>
      </c>
      <c r="J193" s="1">
        <v>49</v>
      </c>
      <c r="K193" s="8">
        <f>tblInventory[[#This Row],[Reorder_Quantity]]*M193</f>
        <v>49</v>
      </c>
      <c r="L193" s="10">
        <f>tblInventory[[#This Row],[Stock_Quantity]] / tblInventory[[#This Row],[Reorder_Quantity]]</f>
        <v>0.24489795918367346</v>
      </c>
      <c r="M193" s="3">
        <v>1</v>
      </c>
      <c r="N193" s="10">
        <f t="shared" si="4"/>
        <v>0.2037351443123939</v>
      </c>
      <c r="O193" s="2">
        <v>45541</v>
      </c>
      <c r="P193" s="1" t="s">
        <v>1310</v>
      </c>
      <c r="Q193" s="2">
        <v>46055</v>
      </c>
      <c r="R193" s="1" t="s">
        <v>2134</v>
      </c>
      <c r="S193" s="1">
        <v>25</v>
      </c>
      <c r="T193" s="1">
        <v>23</v>
      </c>
      <c r="U193" s="1" t="s">
        <v>38</v>
      </c>
      <c r="V193" s="3">
        <f>tblInventory[[#This Row],[Stock_Quantity]]*tblInventory[[#This Row],[Unit_Price]]</f>
        <v>12</v>
      </c>
      <c r="W193" s="1" t="str">
        <f>IF(tblInventory[[#This Row],[Status]]="Discontinued","INACTIVE",
IF(tblInventory[[#This Row],[Stock_Quantity]] &lt; tblInventory[[#This Row],[Reorder_Level]],"REORDER","OK"))</f>
        <v>REORDER</v>
      </c>
      <c r="X193" s="1" t="str">
        <f t="shared" ca="1" si="5"/>
        <v>Valid</v>
      </c>
    </row>
    <row r="194" spans="1:24">
      <c r="A194" s="1">
        <v>193</v>
      </c>
      <c r="B194" s="1" t="s">
        <v>2200</v>
      </c>
      <c r="C194" s="1" t="s">
        <v>169</v>
      </c>
      <c r="D194" s="1" t="s">
        <v>49</v>
      </c>
      <c r="E194" s="1" t="s">
        <v>2201</v>
      </c>
      <c r="F194" s="1" t="s">
        <v>138</v>
      </c>
      <c r="G194" s="6">
        <v>62</v>
      </c>
      <c r="H194" s="8">
        <f>tblInventory[[#This Row],[Stock_Quantity]] * tblInventory[[#This Row],[Unit_Price]]</f>
        <v>62</v>
      </c>
      <c r="I194" s="1">
        <v>79</v>
      </c>
      <c r="J194" s="1">
        <v>95</v>
      </c>
      <c r="K194" s="8">
        <f>tblInventory[[#This Row],[Reorder_Quantity]]*M194</f>
        <v>95</v>
      </c>
      <c r="L194" s="10">
        <f>tblInventory[[#This Row],[Stock_Quantity]] / tblInventory[[#This Row],[Reorder_Quantity]]</f>
        <v>0.65263157894736845</v>
      </c>
      <c r="M194" s="3">
        <v>1</v>
      </c>
      <c r="N194" s="10">
        <f t="shared" ref="N194:N257" si="6">G194 / 58.9</f>
        <v>1.0526315789473684</v>
      </c>
      <c r="O194" s="1" t="s">
        <v>323</v>
      </c>
      <c r="P194" s="2">
        <v>45450</v>
      </c>
      <c r="Q194" s="2">
        <v>46075</v>
      </c>
      <c r="R194" s="1" t="s">
        <v>2203</v>
      </c>
      <c r="S194" s="1">
        <v>34</v>
      </c>
      <c r="T194" s="1">
        <v>12</v>
      </c>
      <c r="U194" s="1" t="s">
        <v>46</v>
      </c>
      <c r="V194" s="3">
        <f>tblInventory[[#This Row],[Stock_Quantity]]*tblInventory[[#This Row],[Unit_Price]]</f>
        <v>62</v>
      </c>
      <c r="W194" s="1" t="str">
        <f>IF(tblInventory[[#This Row],[Status]]="Discontinued","INACTIVE",
IF(tblInventory[[#This Row],[Stock_Quantity]] &lt; tblInventory[[#This Row],[Reorder_Level]],"REORDER","OK"))</f>
        <v>REORDER</v>
      </c>
      <c r="X194" s="1" t="str">
        <f t="shared" ref="X194:X257" ca="1" si="7">IF(Q194&lt;TODAY(),"Expired","Valid")</f>
        <v>Valid</v>
      </c>
    </row>
    <row r="195" spans="1:24">
      <c r="A195" s="1">
        <v>194</v>
      </c>
      <c r="B195" s="1" t="s">
        <v>2626</v>
      </c>
      <c r="C195" s="1" t="s">
        <v>169</v>
      </c>
      <c r="D195" s="1" t="s">
        <v>49</v>
      </c>
      <c r="E195" s="1" t="s">
        <v>2627</v>
      </c>
      <c r="F195" s="1" t="s">
        <v>608</v>
      </c>
      <c r="G195" s="6">
        <v>90</v>
      </c>
      <c r="H195" s="8">
        <f>tblInventory[[#This Row],[Stock_Quantity]] * tblInventory[[#This Row],[Unit_Price]]</f>
        <v>81</v>
      </c>
      <c r="I195" s="1">
        <v>1</v>
      </c>
      <c r="J195" s="1">
        <v>40</v>
      </c>
      <c r="K195" s="8">
        <f>tblInventory[[#This Row],[Reorder_Quantity]]*M195</f>
        <v>36</v>
      </c>
      <c r="L195" s="10">
        <f>tblInventory[[#This Row],[Stock_Quantity]] / tblInventory[[#This Row],[Reorder_Quantity]]</f>
        <v>2.25</v>
      </c>
      <c r="M195" s="3">
        <v>0.9</v>
      </c>
      <c r="N195" s="10">
        <f t="shared" si="6"/>
        <v>1.5280135823429541</v>
      </c>
      <c r="O195" s="1" t="s">
        <v>986</v>
      </c>
      <c r="P195" s="2">
        <v>45962</v>
      </c>
      <c r="Q195" s="2">
        <v>46088</v>
      </c>
      <c r="R195" s="1" t="s">
        <v>2628</v>
      </c>
      <c r="S195" s="1">
        <v>52</v>
      </c>
      <c r="T195" s="1">
        <v>19</v>
      </c>
      <c r="U195" s="1" t="s">
        <v>24</v>
      </c>
      <c r="V195" s="3">
        <f>tblInventory[[#This Row],[Stock_Quantity]]*tblInventory[[#This Row],[Unit_Price]]</f>
        <v>81</v>
      </c>
      <c r="W195" s="1" t="str">
        <f>IF(tblInventory[[#This Row],[Status]]="Discontinued","INACTIVE",
IF(tblInventory[[#This Row],[Stock_Quantity]] &lt; tblInventory[[#This Row],[Reorder_Level]],"REORDER","OK"))</f>
        <v>INACTIVE</v>
      </c>
      <c r="X195" s="1" t="str">
        <f t="shared" ca="1" si="7"/>
        <v>Valid</v>
      </c>
    </row>
    <row r="196" spans="1:24">
      <c r="A196" s="1">
        <v>195</v>
      </c>
      <c r="B196" s="1" t="s">
        <v>2729</v>
      </c>
      <c r="C196" s="1" t="s">
        <v>169</v>
      </c>
      <c r="D196" s="1" t="s">
        <v>49</v>
      </c>
      <c r="E196" s="1" t="s">
        <v>2730</v>
      </c>
      <c r="F196" s="1" t="s">
        <v>692</v>
      </c>
      <c r="G196" s="6">
        <v>69</v>
      </c>
      <c r="H196" s="8">
        <f>tblInventory[[#This Row],[Stock_Quantity]] * tblInventory[[#This Row],[Unit_Price]]</f>
        <v>4591.95</v>
      </c>
      <c r="I196" s="1">
        <v>21</v>
      </c>
      <c r="J196" s="1">
        <v>68</v>
      </c>
      <c r="K196" s="8">
        <f>tblInventory[[#This Row],[Reorder_Quantity]]*M196</f>
        <v>4525.3999999999996</v>
      </c>
      <c r="L196" s="10">
        <f>tblInventory[[#This Row],[Stock_Quantity]] / tblInventory[[#This Row],[Reorder_Quantity]]</f>
        <v>1.0147058823529411</v>
      </c>
      <c r="M196" s="3">
        <v>66.55</v>
      </c>
      <c r="N196" s="10">
        <f t="shared" si="6"/>
        <v>1.1714770797962648</v>
      </c>
      <c r="O196" s="1" t="s">
        <v>666</v>
      </c>
      <c r="P196" s="1" t="s">
        <v>377</v>
      </c>
      <c r="Q196" s="2">
        <v>46150</v>
      </c>
      <c r="R196" s="1" t="s">
        <v>2731</v>
      </c>
      <c r="S196" s="1">
        <v>36</v>
      </c>
      <c r="T196" s="1">
        <v>35</v>
      </c>
      <c r="U196" s="1" t="s">
        <v>24</v>
      </c>
      <c r="V196" s="3">
        <f>tblInventory[[#This Row],[Stock_Quantity]]*tblInventory[[#This Row],[Unit_Price]]</f>
        <v>4591.95</v>
      </c>
      <c r="W196" s="1" t="str">
        <f>IF(tblInventory[[#This Row],[Status]]="Discontinued","INACTIVE",
IF(tblInventory[[#This Row],[Stock_Quantity]] &lt; tblInventory[[#This Row],[Reorder_Level]],"REORDER","OK"))</f>
        <v>INACTIVE</v>
      </c>
      <c r="X196" s="1" t="str">
        <f t="shared" ca="1" si="7"/>
        <v>Valid</v>
      </c>
    </row>
    <row r="197" spans="1:24">
      <c r="A197" s="1">
        <v>196</v>
      </c>
      <c r="B197" s="1" t="s">
        <v>3064</v>
      </c>
      <c r="C197" s="1" t="s">
        <v>169</v>
      </c>
      <c r="D197" s="1" t="s">
        <v>49</v>
      </c>
      <c r="E197" s="1" t="s">
        <v>3065</v>
      </c>
      <c r="F197" s="1" t="s">
        <v>2291</v>
      </c>
      <c r="G197" s="6">
        <v>24</v>
      </c>
      <c r="H197" s="8">
        <f>tblInventory[[#This Row],[Stock_Quantity]] * tblInventory[[#This Row],[Unit_Price]]</f>
        <v>24</v>
      </c>
      <c r="I197" s="1">
        <v>32</v>
      </c>
      <c r="J197" s="1">
        <v>17</v>
      </c>
      <c r="K197" s="8">
        <f>tblInventory[[#This Row],[Reorder_Quantity]]*M197</f>
        <v>17</v>
      </c>
      <c r="L197" s="10">
        <f>tblInventory[[#This Row],[Stock_Quantity]] / tblInventory[[#This Row],[Reorder_Quantity]]</f>
        <v>1.411764705882353</v>
      </c>
      <c r="M197" s="3">
        <v>1</v>
      </c>
      <c r="N197" s="10">
        <f t="shared" si="6"/>
        <v>0.40747028862478779</v>
      </c>
      <c r="O197" s="1" t="s">
        <v>800</v>
      </c>
      <c r="P197" s="1" t="s">
        <v>548</v>
      </c>
      <c r="Q197" s="2">
        <v>46342</v>
      </c>
      <c r="R197" s="1" t="s">
        <v>3066</v>
      </c>
      <c r="S197" s="1">
        <v>55</v>
      </c>
      <c r="T197" s="1">
        <v>72</v>
      </c>
      <c r="U197" s="1" t="s">
        <v>24</v>
      </c>
      <c r="V197" s="3">
        <f>tblInventory[[#This Row],[Stock_Quantity]]*tblInventory[[#This Row],[Unit_Price]]</f>
        <v>24</v>
      </c>
      <c r="W197" s="1" t="str">
        <f>IF(tblInventory[[#This Row],[Status]]="Discontinued","INACTIVE",
IF(tblInventory[[#This Row],[Stock_Quantity]] &lt; tblInventory[[#This Row],[Reorder_Level]],"REORDER","OK"))</f>
        <v>INACTIVE</v>
      </c>
      <c r="X197" s="1" t="str">
        <f t="shared" ca="1" si="7"/>
        <v>Valid</v>
      </c>
    </row>
    <row r="198" spans="1:24">
      <c r="A198" s="1">
        <v>197</v>
      </c>
      <c r="B198" s="1" t="s">
        <v>3120</v>
      </c>
      <c r="C198" s="1" t="s">
        <v>169</v>
      </c>
      <c r="D198" s="1" t="s">
        <v>49</v>
      </c>
      <c r="E198" s="1" t="s">
        <v>3121</v>
      </c>
      <c r="F198" s="1" t="s">
        <v>284</v>
      </c>
      <c r="G198" s="6">
        <v>83</v>
      </c>
      <c r="H198" s="8">
        <f>tblInventory[[#This Row],[Stock_Quantity]] * tblInventory[[#This Row],[Unit_Price]]</f>
        <v>83</v>
      </c>
      <c r="I198" s="1">
        <v>61</v>
      </c>
      <c r="J198" s="1">
        <v>4</v>
      </c>
      <c r="K198" s="8">
        <f>tblInventory[[#This Row],[Reorder_Quantity]]*M198</f>
        <v>4</v>
      </c>
      <c r="L198" s="10">
        <f>tblInventory[[#This Row],[Stock_Quantity]] / tblInventory[[#This Row],[Reorder_Quantity]]</f>
        <v>20.75</v>
      </c>
      <c r="M198" s="3">
        <v>1</v>
      </c>
      <c r="N198" s="10">
        <f t="shared" si="6"/>
        <v>1.4091680814940577</v>
      </c>
      <c r="O198" s="1" t="s">
        <v>1031</v>
      </c>
      <c r="P198" s="2">
        <v>45423</v>
      </c>
      <c r="Q198" s="2">
        <v>46124</v>
      </c>
      <c r="R198" s="1" t="s">
        <v>3122</v>
      </c>
      <c r="S198" s="1">
        <v>35</v>
      </c>
      <c r="T198" s="1">
        <v>7</v>
      </c>
      <c r="U198" s="1" t="s">
        <v>38</v>
      </c>
      <c r="V198" s="3">
        <f>tblInventory[[#This Row],[Stock_Quantity]]*tblInventory[[#This Row],[Unit_Price]]</f>
        <v>83</v>
      </c>
      <c r="W198" s="1" t="str">
        <f>IF(tblInventory[[#This Row],[Status]]="Discontinued","INACTIVE",
IF(tblInventory[[#This Row],[Stock_Quantity]] &lt; tblInventory[[#This Row],[Reorder_Level]],"REORDER","OK"))</f>
        <v>OK</v>
      </c>
      <c r="X198" s="1" t="str">
        <f t="shared" ca="1" si="7"/>
        <v>Valid</v>
      </c>
    </row>
    <row r="199" spans="1:24">
      <c r="A199" s="1">
        <v>198</v>
      </c>
      <c r="B199" s="1" t="s">
        <v>3678</v>
      </c>
      <c r="C199" s="1" t="s">
        <v>169</v>
      </c>
      <c r="D199" s="1" t="s">
        <v>49</v>
      </c>
      <c r="E199" s="1" t="s">
        <v>3679</v>
      </c>
      <c r="F199" s="1" t="s">
        <v>2413</v>
      </c>
      <c r="G199" s="6">
        <v>94</v>
      </c>
      <c r="H199" s="8">
        <f>tblInventory[[#This Row],[Stock_Quantity]] * tblInventory[[#This Row],[Unit_Price]]</f>
        <v>84.600000000000009</v>
      </c>
      <c r="I199" s="1">
        <v>90</v>
      </c>
      <c r="J199" s="1">
        <v>12</v>
      </c>
      <c r="K199" s="8">
        <f>tblInventory[[#This Row],[Reorder_Quantity]]*M199</f>
        <v>10.8</v>
      </c>
      <c r="L199" s="10">
        <f>tblInventory[[#This Row],[Stock_Quantity]] / tblInventory[[#This Row],[Reorder_Quantity]]</f>
        <v>7.833333333333333</v>
      </c>
      <c r="M199" s="3">
        <v>0.9</v>
      </c>
      <c r="N199" s="10">
        <f t="shared" si="6"/>
        <v>1.5959252971137521</v>
      </c>
      <c r="O199" s="2">
        <v>45361</v>
      </c>
      <c r="P199" s="1" t="s">
        <v>394</v>
      </c>
      <c r="Q199" s="2">
        <v>46452</v>
      </c>
      <c r="R199" s="1" t="s">
        <v>3680</v>
      </c>
      <c r="S199" s="1">
        <v>98</v>
      </c>
      <c r="T199" s="1">
        <v>71</v>
      </c>
      <c r="U199" s="1" t="s">
        <v>46</v>
      </c>
      <c r="V199" s="3">
        <f>tblInventory[[#This Row],[Stock_Quantity]]*tblInventory[[#This Row],[Unit_Price]]</f>
        <v>84.600000000000009</v>
      </c>
      <c r="W199" s="1" t="str">
        <f>IF(tblInventory[[#This Row],[Status]]="Discontinued","INACTIVE",
IF(tblInventory[[#This Row],[Stock_Quantity]] &lt; tblInventory[[#This Row],[Reorder_Level]],"REORDER","OK"))</f>
        <v>OK</v>
      </c>
      <c r="X199" s="1" t="str">
        <f t="shared" ca="1" si="7"/>
        <v>Valid</v>
      </c>
    </row>
    <row r="200" spans="1:24">
      <c r="A200" s="1">
        <v>199</v>
      </c>
      <c r="B200" s="1" t="s">
        <v>742</v>
      </c>
      <c r="C200" s="1" t="s">
        <v>743</v>
      </c>
      <c r="D200" s="1" t="s">
        <v>61</v>
      </c>
      <c r="E200" s="1" t="s">
        <v>744</v>
      </c>
      <c r="F200" s="1" t="s">
        <v>142</v>
      </c>
      <c r="G200" s="6">
        <v>91</v>
      </c>
      <c r="H200" s="8">
        <f>tblInventory[[#This Row],[Stock_Quantity]] * tblInventory[[#This Row],[Unit_Price]]</f>
        <v>209.29999999999998</v>
      </c>
      <c r="I200" s="1">
        <v>82</v>
      </c>
      <c r="J200" s="1">
        <v>58</v>
      </c>
      <c r="K200" s="8">
        <f>tblInventory[[#This Row],[Reorder_Quantity]]*M200</f>
        <v>133.39999999999998</v>
      </c>
      <c r="L200" s="10">
        <f>tblInventory[[#This Row],[Stock_Quantity]] / tblInventory[[#This Row],[Reorder_Quantity]]</f>
        <v>1.5689655172413792</v>
      </c>
      <c r="M200" s="3">
        <v>2.2999999999999998</v>
      </c>
      <c r="N200" s="10">
        <f t="shared" si="6"/>
        <v>1.5449915110356538</v>
      </c>
      <c r="O200" s="1" t="s">
        <v>745</v>
      </c>
      <c r="P200" s="1" t="s">
        <v>305</v>
      </c>
      <c r="Q200" s="2">
        <v>45682</v>
      </c>
      <c r="R200" s="1" t="s">
        <v>746</v>
      </c>
      <c r="S200" s="1">
        <v>43</v>
      </c>
      <c r="T200" s="1">
        <v>45</v>
      </c>
      <c r="U200" s="1" t="s">
        <v>24</v>
      </c>
      <c r="V200" s="3">
        <f>tblInventory[[#This Row],[Stock_Quantity]]*tblInventory[[#This Row],[Unit_Price]]</f>
        <v>209.29999999999998</v>
      </c>
      <c r="W200" s="1" t="str">
        <f>IF(tblInventory[[#This Row],[Status]]="Discontinued","INACTIVE",
IF(tblInventory[[#This Row],[Stock_Quantity]] &lt; tblInventory[[#This Row],[Reorder_Level]],"REORDER","OK"))</f>
        <v>INACTIVE</v>
      </c>
      <c r="X200" s="1" t="str">
        <f t="shared" ca="1" si="7"/>
        <v>Expired</v>
      </c>
    </row>
    <row r="201" spans="1:24">
      <c r="A201" s="1">
        <v>200</v>
      </c>
      <c r="B201" s="1" t="s">
        <v>1127</v>
      </c>
      <c r="C201" s="1" t="s">
        <v>743</v>
      </c>
      <c r="D201" s="1" t="s">
        <v>61</v>
      </c>
      <c r="E201" s="1" t="s">
        <v>1128</v>
      </c>
      <c r="F201" s="1" t="s">
        <v>1129</v>
      </c>
      <c r="G201" s="6">
        <v>79</v>
      </c>
      <c r="H201" s="8">
        <f>tblInventory[[#This Row],[Stock_Quantity]] * tblInventory[[#This Row],[Unit_Price]]</f>
        <v>181.7</v>
      </c>
      <c r="I201" s="1">
        <v>31</v>
      </c>
      <c r="J201" s="1">
        <v>66</v>
      </c>
      <c r="K201" s="8">
        <f>tblInventory[[#This Row],[Reorder_Quantity]]*M201</f>
        <v>151.79999999999998</v>
      </c>
      <c r="L201" s="10">
        <f>tblInventory[[#This Row],[Stock_Quantity]] / tblInventory[[#This Row],[Reorder_Quantity]]</f>
        <v>1.196969696969697</v>
      </c>
      <c r="M201" s="3">
        <v>2.2999999999999998</v>
      </c>
      <c r="N201" s="10">
        <f t="shared" si="6"/>
        <v>1.3412563667232598</v>
      </c>
      <c r="O201" s="2">
        <v>45569</v>
      </c>
      <c r="P201" s="1" t="s">
        <v>226</v>
      </c>
      <c r="Q201" s="2">
        <v>45771</v>
      </c>
      <c r="R201" s="1" t="s">
        <v>1130</v>
      </c>
      <c r="S201" s="1">
        <v>92</v>
      </c>
      <c r="T201" s="1">
        <v>13</v>
      </c>
      <c r="U201" s="1" t="s">
        <v>24</v>
      </c>
      <c r="V201" s="3">
        <f>tblInventory[[#This Row],[Stock_Quantity]]*tblInventory[[#This Row],[Unit_Price]]</f>
        <v>181.7</v>
      </c>
      <c r="W201" s="1" t="str">
        <f>IF(tblInventory[[#This Row],[Status]]="Discontinued","INACTIVE",
IF(tblInventory[[#This Row],[Stock_Quantity]] &lt; tblInventory[[#This Row],[Reorder_Level]],"REORDER","OK"))</f>
        <v>INACTIVE</v>
      </c>
      <c r="X201" s="1" t="str">
        <f t="shared" ca="1" si="7"/>
        <v>Expired</v>
      </c>
    </row>
    <row r="202" spans="1:24">
      <c r="A202" s="1">
        <v>201</v>
      </c>
      <c r="B202" s="1" t="s">
        <v>1136</v>
      </c>
      <c r="C202" s="1" t="s">
        <v>743</v>
      </c>
      <c r="D202" s="1" t="s">
        <v>61</v>
      </c>
      <c r="E202" s="1" t="s">
        <v>1137</v>
      </c>
      <c r="F202" s="1" t="s">
        <v>1138</v>
      </c>
      <c r="G202" s="6">
        <v>46</v>
      </c>
      <c r="H202" s="8">
        <f>tblInventory[[#This Row],[Stock_Quantity]] * tblInventory[[#This Row],[Unit_Price]]</f>
        <v>105.8</v>
      </c>
      <c r="I202" s="1">
        <v>51</v>
      </c>
      <c r="J202" s="1">
        <v>92</v>
      </c>
      <c r="K202" s="8">
        <f>tblInventory[[#This Row],[Reorder_Quantity]]*M202</f>
        <v>211.6</v>
      </c>
      <c r="L202" s="10">
        <f>tblInventory[[#This Row],[Stock_Quantity]] / tblInventory[[#This Row],[Reorder_Quantity]]</f>
        <v>0.5</v>
      </c>
      <c r="M202" s="3">
        <v>2.2999999999999998</v>
      </c>
      <c r="N202" s="10">
        <f t="shared" si="6"/>
        <v>0.78098471986417661</v>
      </c>
      <c r="O202" s="2">
        <v>45478</v>
      </c>
      <c r="P202" s="1" t="s">
        <v>855</v>
      </c>
      <c r="Q202" s="2">
        <v>45773</v>
      </c>
      <c r="R202" s="1" t="s">
        <v>1139</v>
      </c>
      <c r="S202" s="1">
        <v>47</v>
      </c>
      <c r="T202" s="1">
        <v>25</v>
      </c>
      <c r="U202" s="1" t="s">
        <v>24</v>
      </c>
      <c r="V202" s="3">
        <f>tblInventory[[#This Row],[Stock_Quantity]]*tblInventory[[#This Row],[Unit_Price]]</f>
        <v>105.8</v>
      </c>
      <c r="W202" s="1" t="str">
        <f>IF(tblInventory[[#This Row],[Status]]="Discontinued","INACTIVE",
IF(tblInventory[[#This Row],[Stock_Quantity]] &lt; tblInventory[[#This Row],[Reorder_Level]],"REORDER","OK"))</f>
        <v>INACTIVE</v>
      </c>
      <c r="X202" s="1" t="str">
        <f t="shared" ca="1" si="7"/>
        <v>Expired</v>
      </c>
    </row>
    <row r="203" spans="1:24">
      <c r="A203" s="1">
        <v>202</v>
      </c>
      <c r="B203" s="1" t="s">
        <v>2176</v>
      </c>
      <c r="C203" s="1" t="s">
        <v>743</v>
      </c>
      <c r="D203" s="1" t="s">
        <v>61</v>
      </c>
      <c r="E203" s="1" t="s">
        <v>2177</v>
      </c>
      <c r="F203" s="1" t="s">
        <v>703</v>
      </c>
      <c r="G203" s="6">
        <v>96</v>
      </c>
      <c r="H203" s="8">
        <f>tblInventory[[#This Row],[Stock_Quantity]] * tblInventory[[#This Row],[Unit_Price]]</f>
        <v>220.79999999999998</v>
      </c>
      <c r="I203" s="1">
        <v>51</v>
      </c>
      <c r="J203" s="1">
        <v>40</v>
      </c>
      <c r="K203" s="8">
        <f>tblInventory[[#This Row],[Reorder_Quantity]]*M203</f>
        <v>92</v>
      </c>
      <c r="L203" s="10">
        <f>tblInventory[[#This Row],[Stock_Quantity]] / tblInventory[[#This Row],[Reorder_Quantity]]</f>
        <v>2.4</v>
      </c>
      <c r="M203" s="3">
        <v>2.2999999999999998</v>
      </c>
      <c r="N203" s="10">
        <f t="shared" si="6"/>
        <v>1.6298811544991512</v>
      </c>
      <c r="O203" s="1" t="s">
        <v>466</v>
      </c>
      <c r="P203" s="2">
        <v>45387</v>
      </c>
      <c r="Q203" s="2">
        <v>46068</v>
      </c>
      <c r="R203" s="1" t="s">
        <v>2178</v>
      </c>
      <c r="S203" s="1">
        <v>61</v>
      </c>
      <c r="T203" s="1">
        <v>4</v>
      </c>
      <c r="U203" s="1" t="s">
        <v>24</v>
      </c>
      <c r="V203" s="3">
        <f>tblInventory[[#This Row],[Stock_Quantity]]*tblInventory[[#This Row],[Unit_Price]]</f>
        <v>220.79999999999998</v>
      </c>
      <c r="W203" s="1" t="str">
        <f>IF(tblInventory[[#This Row],[Status]]="Discontinued","INACTIVE",
IF(tblInventory[[#This Row],[Stock_Quantity]] &lt; tblInventory[[#This Row],[Reorder_Level]],"REORDER","OK"))</f>
        <v>INACTIVE</v>
      </c>
      <c r="X203" s="1" t="str">
        <f t="shared" ca="1" si="7"/>
        <v>Valid</v>
      </c>
    </row>
    <row r="204" spans="1:24">
      <c r="A204" s="1">
        <v>203</v>
      </c>
      <c r="B204" s="1" t="s">
        <v>2179</v>
      </c>
      <c r="C204" s="1" t="s">
        <v>743</v>
      </c>
      <c r="D204" s="1" t="s">
        <v>61</v>
      </c>
      <c r="E204" s="1" t="s">
        <v>2180</v>
      </c>
      <c r="F204" s="1" t="s">
        <v>2181</v>
      </c>
      <c r="G204" s="6">
        <v>69</v>
      </c>
      <c r="H204" s="8">
        <f>tblInventory[[#This Row],[Stock_Quantity]] * tblInventory[[#This Row],[Unit_Price]]</f>
        <v>158.69999999999999</v>
      </c>
      <c r="I204" s="1">
        <v>17</v>
      </c>
      <c r="J204" s="1">
        <v>27</v>
      </c>
      <c r="K204" s="8">
        <f>tblInventory[[#This Row],[Reorder_Quantity]]*M204</f>
        <v>62.099999999999994</v>
      </c>
      <c r="L204" s="10">
        <f>tblInventory[[#This Row],[Stock_Quantity]] / tblInventory[[#This Row],[Reorder_Quantity]]</f>
        <v>2.5555555555555554</v>
      </c>
      <c r="M204" s="3">
        <v>2.2999999999999998</v>
      </c>
      <c r="N204" s="10">
        <f t="shared" si="6"/>
        <v>1.1714770797962648</v>
      </c>
      <c r="O204" s="1" t="s">
        <v>1162</v>
      </c>
      <c r="P204" s="1" t="s">
        <v>1400</v>
      </c>
      <c r="Q204" s="2">
        <v>46069</v>
      </c>
      <c r="R204" s="1" t="s">
        <v>2182</v>
      </c>
      <c r="S204" s="1">
        <v>79</v>
      </c>
      <c r="T204" s="1">
        <v>75</v>
      </c>
      <c r="U204" s="1" t="s">
        <v>38</v>
      </c>
      <c r="V204" s="3">
        <f>tblInventory[[#This Row],[Stock_Quantity]]*tblInventory[[#This Row],[Unit_Price]]</f>
        <v>158.69999999999999</v>
      </c>
      <c r="W204" s="1" t="str">
        <f>IF(tblInventory[[#This Row],[Status]]="Discontinued","INACTIVE",
IF(tblInventory[[#This Row],[Stock_Quantity]] &lt; tblInventory[[#This Row],[Reorder_Level]],"REORDER","OK"))</f>
        <v>OK</v>
      </c>
      <c r="X204" s="1" t="str">
        <f t="shared" ca="1" si="7"/>
        <v>Valid</v>
      </c>
    </row>
    <row r="205" spans="1:24">
      <c r="A205" s="1">
        <v>204</v>
      </c>
      <c r="B205" s="1" t="s">
        <v>3170</v>
      </c>
      <c r="C205" s="1" t="s">
        <v>743</v>
      </c>
      <c r="D205" s="1" t="s">
        <v>61</v>
      </c>
      <c r="E205" s="1" t="s">
        <v>3171</v>
      </c>
      <c r="F205" s="1" t="s">
        <v>347</v>
      </c>
      <c r="G205" s="6">
        <v>25</v>
      </c>
      <c r="H205" s="8">
        <f>tblInventory[[#This Row],[Stock_Quantity]] * tblInventory[[#This Row],[Unit_Price]]</f>
        <v>57.499999999999993</v>
      </c>
      <c r="I205" s="1">
        <v>97</v>
      </c>
      <c r="J205" s="1">
        <v>63</v>
      </c>
      <c r="K205" s="8">
        <f>tblInventory[[#This Row],[Reorder_Quantity]]*M205</f>
        <v>144.89999999999998</v>
      </c>
      <c r="L205" s="10">
        <f>tblInventory[[#This Row],[Stock_Quantity]] / tblInventory[[#This Row],[Reorder_Quantity]]</f>
        <v>0.3968253968253968</v>
      </c>
      <c r="M205" s="3">
        <v>2.2999999999999998</v>
      </c>
      <c r="N205" s="10">
        <f t="shared" si="6"/>
        <v>0.42444821731748728</v>
      </c>
      <c r="O205" s="1" t="s">
        <v>518</v>
      </c>
      <c r="P205" s="1" t="s">
        <v>151</v>
      </c>
      <c r="Q205" s="2">
        <v>46376</v>
      </c>
      <c r="R205" s="1" t="s">
        <v>3172</v>
      </c>
      <c r="S205" s="1">
        <v>72</v>
      </c>
      <c r="T205" s="1">
        <v>23</v>
      </c>
      <c r="U205" s="1" t="s">
        <v>24</v>
      </c>
      <c r="V205" s="3">
        <f>tblInventory[[#This Row],[Stock_Quantity]]*tblInventory[[#This Row],[Unit_Price]]</f>
        <v>57.499999999999993</v>
      </c>
      <c r="W205" s="1" t="str">
        <f>IF(tblInventory[[#This Row],[Status]]="Discontinued","INACTIVE",
IF(tblInventory[[#This Row],[Stock_Quantity]] &lt; tblInventory[[#This Row],[Reorder_Level]],"REORDER","OK"))</f>
        <v>INACTIVE</v>
      </c>
      <c r="X205" s="1" t="str">
        <f t="shared" ca="1" si="7"/>
        <v>Valid</v>
      </c>
    </row>
    <row r="206" spans="1:24">
      <c r="A206" s="1">
        <v>205</v>
      </c>
      <c r="B206" s="1" t="s">
        <v>3299</v>
      </c>
      <c r="C206" s="1" t="s">
        <v>743</v>
      </c>
      <c r="D206" s="1" t="s">
        <v>61</v>
      </c>
      <c r="E206" s="1" t="s">
        <v>3300</v>
      </c>
      <c r="F206" s="1" t="s">
        <v>1138</v>
      </c>
      <c r="G206" s="6">
        <v>19</v>
      </c>
      <c r="H206" s="8">
        <f>tblInventory[[#This Row],[Stock_Quantity]] * tblInventory[[#This Row],[Unit_Price]]</f>
        <v>43.699999999999996</v>
      </c>
      <c r="I206" s="1">
        <v>80</v>
      </c>
      <c r="J206" s="1">
        <v>87</v>
      </c>
      <c r="K206" s="8">
        <f>tblInventory[[#This Row],[Reorder_Quantity]]*M206</f>
        <v>200.1</v>
      </c>
      <c r="L206" s="10">
        <f>tblInventory[[#This Row],[Stock_Quantity]] / tblInventory[[#This Row],[Reorder_Quantity]]</f>
        <v>0.21839080459770116</v>
      </c>
      <c r="M206" s="3">
        <v>2.2999999999999998</v>
      </c>
      <c r="N206" s="10">
        <f t="shared" si="6"/>
        <v>0.32258064516129031</v>
      </c>
      <c r="O206" s="2">
        <v>45606</v>
      </c>
      <c r="P206" s="1" t="s">
        <v>389</v>
      </c>
      <c r="Q206" s="2">
        <v>46418</v>
      </c>
      <c r="R206" s="1" t="s">
        <v>3301</v>
      </c>
      <c r="S206" s="1">
        <v>33</v>
      </c>
      <c r="T206" s="1">
        <v>38</v>
      </c>
      <c r="U206" s="1" t="s">
        <v>38</v>
      </c>
      <c r="V206" s="3">
        <f>tblInventory[[#This Row],[Stock_Quantity]]*tblInventory[[#This Row],[Unit_Price]]</f>
        <v>43.699999999999996</v>
      </c>
      <c r="W206" s="1" t="str">
        <f>IF(tblInventory[[#This Row],[Status]]="Discontinued","INACTIVE",
IF(tblInventory[[#This Row],[Stock_Quantity]] &lt; tblInventory[[#This Row],[Reorder_Level]],"REORDER","OK"))</f>
        <v>REORDER</v>
      </c>
      <c r="X206" s="1" t="str">
        <f t="shared" ca="1" si="7"/>
        <v>Valid</v>
      </c>
    </row>
    <row r="207" spans="1:24">
      <c r="A207" s="1">
        <v>206</v>
      </c>
      <c r="B207" s="1" t="s">
        <v>3321</v>
      </c>
      <c r="C207" s="1" t="s">
        <v>743</v>
      </c>
      <c r="D207" s="1" t="s">
        <v>61</v>
      </c>
      <c r="E207" s="1" t="s">
        <v>3322</v>
      </c>
      <c r="F207" s="1" t="s">
        <v>500</v>
      </c>
      <c r="G207" s="6">
        <v>53</v>
      </c>
      <c r="H207" s="8">
        <f>tblInventory[[#This Row],[Stock_Quantity]] * tblInventory[[#This Row],[Unit_Price]]</f>
        <v>121.89999999999999</v>
      </c>
      <c r="I207" s="1">
        <v>20</v>
      </c>
      <c r="J207" s="1">
        <v>75</v>
      </c>
      <c r="K207" s="8">
        <f>tblInventory[[#This Row],[Reorder_Quantity]]*M207</f>
        <v>172.5</v>
      </c>
      <c r="L207" s="10">
        <f>tblInventory[[#This Row],[Stock_Quantity]] / tblInventory[[#This Row],[Reorder_Quantity]]</f>
        <v>0.70666666666666667</v>
      </c>
      <c r="M207" s="3">
        <v>2.2999999999999998</v>
      </c>
      <c r="N207" s="10">
        <f t="shared" si="6"/>
        <v>0.89983022071307306</v>
      </c>
      <c r="O207" s="2">
        <v>45632</v>
      </c>
      <c r="P207" s="2">
        <v>45301</v>
      </c>
      <c r="Q207" s="2">
        <v>46570</v>
      </c>
      <c r="R207" s="1" t="s">
        <v>3323</v>
      </c>
      <c r="S207" s="1">
        <v>83</v>
      </c>
      <c r="T207" s="1">
        <v>77</v>
      </c>
      <c r="U207" s="1" t="s">
        <v>38</v>
      </c>
      <c r="V207" s="3">
        <f>tblInventory[[#This Row],[Stock_Quantity]]*tblInventory[[#This Row],[Unit_Price]]</f>
        <v>121.89999999999999</v>
      </c>
      <c r="W207" s="1" t="str">
        <f>IF(tblInventory[[#This Row],[Status]]="Discontinued","INACTIVE",
IF(tblInventory[[#This Row],[Stock_Quantity]] &lt; tblInventory[[#This Row],[Reorder_Level]],"REORDER","OK"))</f>
        <v>OK</v>
      </c>
      <c r="X207" s="1" t="str">
        <f t="shared" ca="1" si="7"/>
        <v>Valid</v>
      </c>
    </row>
    <row r="208" spans="1:24">
      <c r="A208" s="1">
        <v>207</v>
      </c>
      <c r="B208" s="1" t="s">
        <v>3562</v>
      </c>
      <c r="C208" s="1" t="s">
        <v>743</v>
      </c>
      <c r="D208" s="1" t="s">
        <v>61</v>
      </c>
      <c r="E208" s="1" t="s">
        <v>3563</v>
      </c>
      <c r="F208" s="1" t="s">
        <v>2567</v>
      </c>
      <c r="G208" s="6">
        <v>97</v>
      </c>
      <c r="H208" s="8">
        <f>tblInventory[[#This Row],[Stock_Quantity]] * tblInventory[[#This Row],[Unit_Price]]</f>
        <v>223.1</v>
      </c>
      <c r="I208" s="1">
        <v>32</v>
      </c>
      <c r="J208" s="1">
        <v>43</v>
      </c>
      <c r="K208" s="8">
        <f>tblInventory[[#This Row],[Reorder_Quantity]]*M208</f>
        <v>98.899999999999991</v>
      </c>
      <c r="L208" s="10">
        <f>tblInventory[[#This Row],[Stock_Quantity]] / tblInventory[[#This Row],[Reorder_Quantity]]</f>
        <v>2.2558139534883721</v>
      </c>
      <c r="M208" s="3">
        <v>2.2999999999999998</v>
      </c>
      <c r="N208" s="10">
        <f t="shared" si="6"/>
        <v>1.6468590831918506</v>
      </c>
      <c r="O208" s="2">
        <v>45453</v>
      </c>
      <c r="P208" s="2">
        <v>45356</v>
      </c>
      <c r="Q208" s="2">
        <v>46503</v>
      </c>
      <c r="R208" s="1" t="s">
        <v>3564</v>
      </c>
      <c r="S208" s="1">
        <v>82</v>
      </c>
      <c r="T208" s="1">
        <v>98</v>
      </c>
      <c r="U208" s="1" t="s">
        <v>46</v>
      </c>
      <c r="V208" s="3">
        <f>tblInventory[[#This Row],[Stock_Quantity]]*tblInventory[[#This Row],[Unit_Price]]</f>
        <v>223.1</v>
      </c>
      <c r="W208" s="1" t="str">
        <f>IF(tblInventory[[#This Row],[Status]]="Discontinued","INACTIVE",
IF(tblInventory[[#This Row],[Stock_Quantity]] &lt; tblInventory[[#This Row],[Reorder_Level]],"REORDER","OK"))</f>
        <v>OK</v>
      </c>
      <c r="X208" s="1" t="str">
        <f t="shared" ca="1" si="7"/>
        <v>Valid</v>
      </c>
    </row>
    <row r="209" spans="1:24">
      <c r="A209" s="1">
        <v>208</v>
      </c>
      <c r="B209" s="1" t="s">
        <v>398</v>
      </c>
      <c r="C209" s="1" t="s">
        <v>399</v>
      </c>
      <c r="D209" s="1" t="s">
        <v>49</v>
      </c>
      <c r="E209" s="1" t="s">
        <v>400</v>
      </c>
      <c r="F209" s="1" t="s">
        <v>401</v>
      </c>
      <c r="G209" s="6">
        <v>51</v>
      </c>
      <c r="H209" s="8">
        <f>tblInventory[[#This Row],[Stock_Quantity]] * tblInventory[[#This Row],[Unit_Price]]</f>
        <v>76.5</v>
      </c>
      <c r="I209" s="1">
        <v>60</v>
      </c>
      <c r="J209" s="1">
        <v>98</v>
      </c>
      <c r="K209" s="8">
        <f>tblInventory[[#This Row],[Reorder_Quantity]]*M209</f>
        <v>147</v>
      </c>
      <c r="L209" s="10">
        <f>tblInventory[[#This Row],[Stock_Quantity]] / tblInventory[[#This Row],[Reorder_Quantity]]</f>
        <v>0.52040816326530615</v>
      </c>
      <c r="M209" s="3">
        <v>1.5</v>
      </c>
      <c r="N209" s="10">
        <f t="shared" si="6"/>
        <v>0.86587436332767409</v>
      </c>
      <c r="O209" s="2">
        <v>45296</v>
      </c>
      <c r="P209" s="2">
        <v>45638</v>
      </c>
      <c r="Q209" s="2">
        <v>45614</v>
      </c>
      <c r="R209" s="1" t="s">
        <v>403</v>
      </c>
      <c r="S209" s="1">
        <v>44</v>
      </c>
      <c r="T209" s="1">
        <v>95</v>
      </c>
      <c r="U209" s="1" t="s">
        <v>24</v>
      </c>
      <c r="V209" s="3">
        <f>tblInventory[[#This Row],[Stock_Quantity]]*tblInventory[[#This Row],[Unit_Price]]</f>
        <v>76.5</v>
      </c>
      <c r="W209" s="1" t="str">
        <f>IF(tblInventory[[#This Row],[Status]]="Discontinued","INACTIVE",
IF(tblInventory[[#This Row],[Stock_Quantity]] &lt; tblInventory[[#This Row],[Reorder_Level]],"REORDER","OK"))</f>
        <v>INACTIVE</v>
      </c>
      <c r="X209" s="1" t="str">
        <f t="shared" ca="1" si="7"/>
        <v>Expired</v>
      </c>
    </row>
    <row r="210" spans="1:24">
      <c r="A210" s="1">
        <v>209</v>
      </c>
      <c r="B210" s="1" t="s">
        <v>1312</v>
      </c>
      <c r="C210" s="1" t="s">
        <v>399</v>
      </c>
      <c r="D210" s="1" t="s">
        <v>49</v>
      </c>
      <c r="E210" s="1" t="s">
        <v>1313</v>
      </c>
      <c r="F210" s="1" t="s">
        <v>1314</v>
      </c>
      <c r="G210" s="6">
        <v>67</v>
      </c>
      <c r="H210" s="8">
        <f>tblInventory[[#This Row],[Stock_Quantity]] * tblInventory[[#This Row],[Unit_Price]]</f>
        <v>100.5</v>
      </c>
      <c r="I210" s="1">
        <v>68</v>
      </c>
      <c r="J210" s="1">
        <v>50</v>
      </c>
      <c r="K210" s="8">
        <f>tblInventory[[#This Row],[Reorder_Quantity]]*M210</f>
        <v>75</v>
      </c>
      <c r="L210" s="10">
        <f>tblInventory[[#This Row],[Stock_Quantity]] / tblInventory[[#This Row],[Reorder_Quantity]]</f>
        <v>1.34</v>
      </c>
      <c r="M210" s="3">
        <v>1.5</v>
      </c>
      <c r="N210" s="10">
        <f t="shared" si="6"/>
        <v>1.137521222410866</v>
      </c>
      <c r="O210" s="1" t="s">
        <v>409</v>
      </c>
      <c r="P210" s="1" t="s">
        <v>1285</v>
      </c>
      <c r="Q210" s="2">
        <v>45936</v>
      </c>
      <c r="R210" s="1" t="s">
        <v>1315</v>
      </c>
      <c r="S210" s="1">
        <v>67</v>
      </c>
      <c r="T210" s="1">
        <v>82</v>
      </c>
      <c r="U210" s="1" t="s">
        <v>24</v>
      </c>
      <c r="V210" s="3">
        <f>tblInventory[[#This Row],[Stock_Quantity]]*tblInventory[[#This Row],[Unit_Price]]</f>
        <v>100.5</v>
      </c>
      <c r="W210" s="1" t="str">
        <f>IF(tblInventory[[#This Row],[Status]]="Discontinued","INACTIVE",
IF(tblInventory[[#This Row],[Stock_Quantity]] &lt; tblInventory[[#This Row],[Reorder_Level]],"REORDER","OK"))</f>
        <v>INACTIVE</v>
      </c>
      <c r="X210" s="1" t="str">
        <f t="shared" ca="1" si="7"/>
        <v>Expired</v>
      </c>
    </row>
    <row r="211" spans="1:24">
      <c r="A211" s="1">
        <v>210</v>
      </c>
      <c r="B211" s="1" t="s">
        <v>1572</v>
      </c>
      <c r="C211" s="1" t="s">
        <v>399</v>
      </c>
      <c r="D211" s="1" t="s">
        <v>49</v>
      </c>
      <c r="E211" s="1" t="s">
        <v>1573</v>
      </c>
      <c r="F211" s="1" t="s">
        <v>619</v>
      </c>
      <c r="G211" s="6">
        <v>92</v>
      </c>
      <c r="H211" s="8">
        <f>tblInventory[[#This Row],[Stock_Quantity]] * tblInventory[[#This Row],[Unit_Price]]</f>
        <v>147.20000000000002</v>
      </c>
      <c r="I211" s="1">
        <v>39</v>
      </c>
      <c r="J211" s="1">
        <v>50</v>
      </c>
      <c r="K211" s="8">
        <f>tblInventory[[#This Row],[Reorder_Quantity]]*M211</f>
        <v>80</v>
      </c>
      <c r="L211" s="10">
        <f>tblInventory[[#This Row],[Stock_Quantity]] / tblInventory[[#This Row],[Reorder_Quantity]]</f>
        <v>1.84</v>
      </c>
      <c r="M211" s="3">
        <v>1.6</v>
      </c>
      <c r="N211" s="10">
        <f t="shared" si="6"/>
        <v>1.5619694397283532</v>
      </c>
      <c r="O211" s="1" t="s">
        <v>1444</v>
      </c>
      <c r="P211" s="2">
        <v>45485</v>
      </c>
      <c r="Q211" s="2">
        <v>45887</v>
      </c>
      <c r="R211" s="1" t="s">
        <v>1574</v>
      </c>
      <c r="S211" s="1">
        <v>30</v>
      </c>
      <c r="T211" s="1">
        <v>41</v>
      </c>
      <c r="U211" s="1" t="s">
        <v>38</v>
      </c>
      <c r="V211" s="3">
        <f>tblInventory[[#This Row],[Stock_Quantity]]*tblInventory[[#This Row],[Unit_Price]]</f>
        <v>147.20000000000002</v>
      </c>
      <c r="W211" s="1" t="str">
        <f>IF(tblInventory[[#This Row],[Status]]="Discontinued","INACTIVE",
IF(tblInventory[[#This Row],[Stock_Quantity]] &lt; tblInventory[[#This Row],[Reorder_Level]],"REORDER","OK"))</f>
        <v>OK</v>
      </c>
      <c r="X211" s="1" t="str">
        <f t="shared" ca="1" si="7"/>
        <v>Expired</v>
      </c>
    </row>
    <row r="212" spans="1:24">
      <c r="A212" s="1">
        <v>211</v>
      </c>
      <c r="B212" s="1" t="s">
        <v>2091</v>
      </c>
      <c r="C212" s="1" t="s">
        <v>399</v>
      </c>
      <c r="D212" s="1" t="s">
        <v>49</v>
      </c>
      <c r="E212" s="1" t="s">
        <v>2092</v>
      </c>
      <c r="F212" s="1" t="s">
        <v>927</v>
      </c>
      <c r="G212" s="6">
        <v>18</v>
      </c>
      <c r="H212" s="8">
        <f>tblInventory[[#This Row],[Stock_Quantity]] * tblInventory[[#This Row],[Unit_Price]]</f>
        <v>26.099999999999998</v>
      </c>
      <c r="I212" s="1">
        <v>50</v>
      </c>
      <c r="J212" s="1">
        <v>77</v>
      </c>
      <c r="K212" s="8">
        <f>tblInventory[[#This Row],[Reorder_Quantity]]*M212</f>
        <v>111.64999999999999</v>
      </c>
      <c r="L212" s="10">
        <f>tblInventory[[#This Row],[Stock_Quantity]] / tblInventory[[#This Row],[Reorder_Quantity]]</f>
        <v>0.23376623376623376</v>
      </c>
      <c r="M212" s="3">
        <v>1.45</v>
      </c>
      <c r="N212" s="10">
        <f t="shared" si="6"/>
        <v>0.30560271646859083</v>
      </c>
      <c r="O212" s="2">
        <v>45362</v>
      </c>
      <c r="P212" s="1" t="s">
        <v>357</v>
      </c>
      <c r="Q212" s="2">
        <v>46042</v>
      </c>
      <c r="R212" s="1" t="s">
        <v>2093</v>
      </c>
      <c r="S212" s="1">
        <v>44</v>
      </c>
      <c r="T212" s="1">
        <v>19</v>
      </c>
      <c r="U212" s="1" t="s">
        <v>46</v>
      </c>
      <c r="V212" s="3">
        <f>tblInventory[[#This Row],[Stock_Quantity]]*tblInventory[[#This Row],[Unit_Price]]</f>
        <v>26.099999999999998</v>
      </c>
      <c r="W212" s="1" t="str">
        <f>IF(tblInventory[[#This Row],[Status]]="Discontinued","INACTIVE",
IF(tblInventory[[#This Row],[Stock_Quantity]] &lt; tblInventory[[#This Row],[Reorder_Level]],"REORDER","OK"))</f>
        <v>REORDER</v>
      </c>
      <c r="X212" s="1" t="str">
        <f t="shared" ca="1" si="7"/>
        <v>Valid</v>
      </c>
    </row>
    <row r="213" spans="1:24">
      <c r="A213" s="1">
        <v>212</v>
      </c>
      <c r="B213" s="1" t="s">
        <v>2723</v>
      </c>
      <c r="C213" s="1" t="s">
        <v>399</v>
      </c>
      <c r="D213" s="1" t="s">
        <v>49</v>
      </c>
      <c r="E213" s="1" t="s">
        <v>2724</v>
      </c>
      <c r="F213" s="1" t="s">
        <v>2036</v>
      </c>
      <c r="G213" s="6">
        <v>80</v>
      </c>
      <c r="H213" s="8">
        <f>tblInventory[[#This Row],[Stock_Quantity]] * tblInventory[[#This Row],[Unit_Price]]</f>
        <v>120</v>
      </c>
      <c r="I213" s="1">
        <v>91</v>
      </c>
      <c r="J213" s="1">
        <v>36</v>
      </c>
      <c r="K213" s="8">
        <f>tblInventory[[#This Row],[Reorder_Quantity]]*M213</f>
        <v>54</v>
      </c>
      <c r="L213" s="10">
        <f>tblInventory[[#This Row],[Stock_Quantity]] / tblInventory[[#This Row],[Reorder_Quantity]]</f>
        <v>2.2222222222222223</v>
      </c>
      <c r="M213" s="3">
        <v>1.5</v>
      </c>
      <c r="N213" s="10">
        <f t="shared" si="6"/>
        <v>1.3582342954159592</v>
      </c>
      <c r="O213" s="1" t="s">
        <v>530</v>
      </c>
      <c r="P213" s="2">
        <v>45511</v>
      </c>
      <c r="Q213" s="2">
        <v>46089</v>
      </c>
      <c r="R213" s="1" t="s">
        <v>2725</v>
      </c>
      <c r="S213" s="1">
        <v>81</v>
      </c>
      <c r="T213" s="1">
        <v>74</v>
      </c>
      <c r="U213" s="1" t="s">
        <v>46</v>
      </c>
      <c r="V213" s="3">
        <f>tblInventory[[#This Row],[Stock_Quantity]]*tblInventory[[#This Row],[Unit_Price]]</f>
        <v>120</v>
      </c>
      <c r="W213" s="1" t="str">
        <f>IF(tblInventory[[#This Row],[Status]]="Discontinued","INACTIVE",
IF(tblInventory[[#This Row],[Stock_Quantity]] &lt; tblInventory[[#This Row],[Reorder_Level]],"REORDER","OK"))</f>
        <v>REORDER</v>
      </c>
      <c r="X213" s="1" t="str">
        <f t="shared" ca="1" si="7"/>
        <v>Valid</v>
      </c>
    </row>
    <row r="214" spans="1:24">
      <c r="A214" s="1">
        <v>213</v>
      </c>
      <c r="B214" s="1" t="s">
        <v>3191</v>
      </c>
      <c r="C214" s="1" t="s">
        <v>399</v>
      </c>
      <c r="D214" s="1" t="s">
        <v>49</v>
      </c>
      <c r="E214" s="1" t="s">
        <v>3192</v>
      </c>
      <c r="F214" s="1" t="s">
        <v>1289</v>
      </c>
      <c r="G214" s="6">
        <v>74</v>
      </c>
      <c r="H214" s="8">
        <f>tblInventory[[#This Row],[Stock_Quantity]] * tblInventory[[#This Row],[Unit_Price]]</f>
        <v>111</v>
      </c>
      <c r="I214" s="1">
        <v>37</v>
      </c>
      <c r="J214" s="1">
        <v>57</v>
      </c>
      <c r="K214" s="8">
        <f>tblInventory[[#This Row],[Reorder_Quantity]]*M214</f>
        <v>85.5</v>
      </c>
      <c r="L214" s="10">
        <f>tblInventory[[#This Row],[Stock_Quantity]] / tblInventory[[#This Row],[Reorder_Quantity]]</f>
        <v>1.2982456140350878</v>
      </c>
      <c r="M214" s="3">
        <v>1.5</v>
      </c>
      <c r="N214" s="10">
        <f t="shared" si="6"/>
        <v>1.2563667232597624</v>
      </c>
      <c r="O214" s="1" t="s">
        <v>165</v>
      </c>
      <c r="P214" s="2">
        <v>45385</v>
      </c>
      <c r="Q214" s="2">
        <v>46383</v>
      </c>
      <c r="R214" s="1" t="s">
        <v>3193</v>
      </c>
      <c r="S214" s="1">
        <v>91</v>
      </c>
      <c r="T214" s="1">
        <v>18</v>
      </c>
      <c r="U214" s="1" t="s">
        <v>46</v>
      </c>
      <c r="V214" s="3">
        <f>tblInventory[[#This Row],[Stock_Quantity]]*tblInventory[[#This Row],[Unit_Price]]</f>
        <v>111</v>
      </c>
      <c r="W214" s="1" t="str">
        <f>IF(tblInventory[[#This Row],[Status]]="Discontinued","INACTIVE",
IF(tblInventory[[#This Row],[Stock_Quantity]] &lt; tblInventory[[#This Row],[Reorder_Level]],"REORDER","OK"))</f>
        <v>OK</v>
      </c>
      <c r="X214" s="1" t="str">
        <f t="shared" ca="1" si="7"/>
        <v>Valid</v>
      </c>
    </row>
    <row r="215" spans="1:24">
      <c r="A215" s="1">
        <v>214</v>
      </c>
      <c r="B215" s="1" t="s">
        <v>3587</v>
      </c>
      <c r="C215" s="1" t="s">
        <v>399</v>
      </c>
      <c r="D215" s="1" t="s">
        <v>49</v>
      </c>
      <c r="E215" s="1" t="s">
        <v>3588</v>
      </c>
      <c r="F215" s="1" t="s">
        <v>727</v>
      </c>
      <c r="G215" s="6">
        <v>61</v>
      </c>
      <c r="H215" s="8">
        <f>tblInventory[[#This Row],[Stock_Quantity]] * tblInventory[[#This Row],[Unit_Price]]</f>
        <v>91.5</v>
      </c>
      <c r="I215" s="1">
        <v>81</v>
      </c>
      <c r="J215" s="1">
        <v>99</v>
      </c>
      <c r="K215" s="8">
        <f>tblInventory[[#This Row],[Reorder_Quantity]]*M215</f>
        <v>148.5</v>
      </c>
      <c r="L215" s="10">
        <f>tblInventory[[#This Row],[Stock_Quantity]] / tblInventory[[#This Row],[Reorder_Quantity]]</f>
        <v>0.61616161616161613</v>
      </c>
      <c r="M215" s="3">
        <v>1.5</v>
      </c>
      <c r="N215" s="10">
        <f t="shared" si="6"/>
        <v>1.0356536502546689</v>
      </c>
      <c r="O215" s="1" t="s">
        <v>496</v>
      </c>
      <c r="P215" s="1" t="s">
        <v>1563</v>
      </c>
      <c r="Q215" s="2">
        <v>46482</v>
      </c>
      <c r="R215" s="1" t="s">
        <v>3589</v>
      </c>
      <c r="S215" s="1">
        <v>26</v>
      </c>
      <c r="T215" s="1">
        <v>76</v>
      </c>
      <c r="U215" s="1" t="s">
        <v>24</v>
      </c>
      <c r="V215" s="3">
        <f>tblInventory[[#This Row],[Stock_Quantity]]*tblInventory[[#This Row],[Unit_Price]]</f>
        <v>91.5</v>
      </c>
      <c r="W215" s="1" t="str">
        <f>IF(tblInventory[[#This Row],[Status]]="Discontinued","INACTIVE",
IF(tblInventory[[#This Row],[Stock_Quantity]] &lt; tblInventory[[#This Row],[Reorder_Level]],"REORDER","OK"))</f>
        <v>INACTIVE</v>
      </c>
      <c r="X215" s="1" t="str">
        <f t="shared" ca="1" si="7"/>
        <v>Valid</v>
      </c>
    </row>
    <row r="216" spans="1:24">
      <c r="A216" s="1">
        <v>215</v>
      </c>
      <c r="B216" s="1" t="s">
        <v>737</v>
      </c>
      <c r="C216" s="1" t="s">
        <v>738</v>
      </c>
      <c r="D216" s="1" t="s">
        <v>17</v>
      </c>
      <c r="E216" s="1" t="s">
        <v>739</v>
      </c>
      <c r="F216" s="1" t="s">
        <v>740</v>
      </c>
      <c r="G216" s="6">
        <v>40</v>
      </c>
      <c r="H216" s="8">
        <f>tblInventory[[#This Row],[Stock_Quantity]] * tblInventory[[#This Row],[Unit_Price]]</f>
        <v>128</v>
      </c>
      <c r="I216" s="1">
        <v>38</v>
      </c>
      <c r="J216" s="1">
        <v>32</v>
      </c>
      <c r="K216" s="8">
        <f>tblInventory[[#This Row],[Reorder_Quantity]]*M216</f>
        <v>102.4</v>
      </c>
      <c r="L216" s="10">
        <f>tblInventory[[#This Row],[Stock_Quantity]] / tblInventory[[#This Row],[Reorder_Quantity]]</f>
        <v>1.25</v>
      </c>
      <c r="M216" s="3">
        <v>3.2</v>
      </c>
      <c r="N216" s="10">
        <f t="shared" si="6"/>
        <v>0.6791171477079796</v>
      </c>
      <c r="O216" s="1" t="s">
        <v>428</v>
      </c>
      <c r="P216" s="2">
        <v>45510</v>
      </c>
      <c r="Q216" s="2">
        <v>45681</v>
      </c>
      <c r="R216" s="1" t="s">
        <v>741</v>
      </c>
      <c r="S216" s="1">
        <v>21</v>
      </c>
      <c r="T216" s="1">
        <v>45</v>
      </c>
      <c r="U216" s="1" t="s">
        <v>38</v>
      </c>
      <c r="V216" s="3">
        <f>tblInventory[[#This Row],[Stock_Quantity]]*tblInventory[[#This Row],[Unit_Price]]</f>
        <v>128</v>
      </c>
      <c r="W216" s="1" t="str">
        <f>IF(tblInventory[[#This Row],[Status]]="Discontinued","INACTIVE",
IF(tblInventory[[#This Row],[Stock_Quantity]] &lt; tblInventory[[#This Row],[Reorder_Level]],"REORDER","OK"))</f>
        <v>OK</v>
      </c>
      <c r="X216" s="1" t="str">
        <f t="shared" ca="1" si="7"/>
        <v>Expired</v>
      </c>
    </row>
    <row r="217" spans="1:24">
      <c r="A217" s="1">
        <v>216</v>
      </c>
      <c r="B217" s="1" t="s">
        <v>1446</v>
      </c>
      <c r="C217" s="1" t="s">
        <v>738</v>
      </c>
      <c r="D217" s="1" t="s">
        <v>49</v>
      </c>
      <c r="E217" s="1" t="s">
        <v>1447</v>
      </c>
      <c r="F217" s="1" t="s">
        <v>1448</v>
      </c>
      <c r="G217" s="6">
        <v>52</v>
      </c>
      <c r="H217" s="8">
        <f>tblInventory[[#This Row],[Stock_Quantity]] * tblInventory[[#This Row],[Unit_Price]]</f>
        <v>130</v>
      </c>
      <c r="I217" s="1">
        <v>22</v>
      </c>
      <c r="J217" s="1">
        <v>37</v>
      </c>
      <c r="K217" s="8">
        <f>tblInventory[[#This Row],[Reorder_Quantity]]*M217</f>
        <v>92.5</v>
      </c>
      <c r="L217" s="10">
        <f>tblInventory[[#This Row],[Stock_Quantity]] / tblInventory[[#This Row],[Reorder_Quantity]]</f>
        <v>1.4054054054054055</v>
      </c>
      <c r="M217" s="3">
        <v>2.5</v>
      </c>
      <c r="N217" s="10">
        <f t="shared" si="6"/>
        <v>0.88285229202037352</v>
      </c>
      <c r="O217" s="1" t="s">
        <v>246</v>
      </c>
      <c r="P217" s="2">
        <v>45572</v>
      </c>
      <c r="Q217" s="2">
        <v>45852</v>
      </c>
      <c r="R217" s="1" t="s">
        <v>1449</v>
      </c>
      <c r="S217" s="1">
        <v>56</v>
      </c>
      <c r="T217" s="1">
        <v>44</v>
      </c>
      <c r="U217" s="1" t="s">
        <v>46</v>
      </c>
      <c r="V217" s="3">
        <f>tblInventory[[#This Row],[Stock_Quantity]]*tblInventory[[#This Row],[Unit_Price]]</f>
        <v>130</v>
      </c>
      <c r="W217" s="1" t="str">
        <f>IF(tblInventory[[#This Row],[Status]]="Discontinued","INACTIVE",
IF(tblInventory[[#This Row],[Stock_Quantity]] &lt; tblInventory[[#This Row],[Reorder_Level]],"REORDER","OK"))</f>
        <v>OK</v>
      </c>
      <c r="X217" s="1" t="str">
        <f t="shared" ca="1" si="7"/>
        <v>Expired</v>
      </c>
    </row>
    <row r="218" spans="1:24">
      <c r="A218" s="1">
        <v>217</v>
      </c>
      <c r="B218" s="1" t="s">
        <v>1703</v>
      </c>
      <c r="C218" s="1" t="s">
        <v>738</v>
      </c>
      <c r="D218" s="1" t="s">
        <v>49</v>
      </c>
      <c r="E218" s="1" t="s">
        <v>1704</v>
      </c>
      <c r="F218" s="1" t="s">
        <v>931</v>
      </c>
      <c r="G218" s="6">
        <v>19</v>
      </c>
      <c r="H218" s="8">
        <f>tblInventory[[#This Row],[Stock_Quantity]] * tblInventory[[#This Row],[Unit_Price]]</f>
        <v>46.550000000000004</v>
      </c>
      <c r="I218" s="1">
        <v>73</v>
      </c>
      <c r="J218" s="1">
        <v>60</v>
      </c>
      <c r="K218" s="8">
        <f>tblInventory[[#This Row],[Reorder_Quantity]]*M218</f>
        <v>147</v>
      </c>
      <c r="L218" s="10">
        <f>tblInventory[[#This Row],[Stock_Quantity]] / tblInventory[[#This Row],[Reorder_Quantity]]</f>
        <v>0.31666666666666665</v>
      </c>
      <c r="M218" s="3">
        <v>2.4500000000000002</v>
      </c>
      <c r="N218" s="10">
        <f t="shared" si="6"/>
        <v>0.32258064516129031</v>
      </c>
      <c r="O218" s="2">
        <v>45629</v>
      </c>
      <c r="P218" s="2">
        <v>45604</v>
      </c>
      <c r="Q218" s="2">
        <v>45924</v>
      </c>
      <c r="R218" s="1" t="s">
        <v>1705</v>
      </c>
      <c r="S218" s="1">
        <v>70</v>
      </c>
      <c r="T218" s="1">
        <v>48</v>
      </c>
      <c r="U218" s="1" t="s">
        <v>38</v>
      </c>
      <c r="V218" s="3">
        <f>tblInventory[[#This Row],[Stock_Quantity]]*tblInventory[[#This Row],[Unit_Price]]</f>
        <v>46.550000000000004</v>
      </c>
      <c r="W218" s="1" t="str">
        <f>IF(tblInventory[[#This Row],[Status]]="Discontinued","INACTIVE",
IF(tblInventory[[#This Row],[Stock_Quantity]] &lt; tblInventory[[#This Row],[Reorder_Level]],"REORDER","OK"))</f>
        <v>REORDER</v>
      </c>
      <c r="X218" s="1" t="str">
        <f t="shared" ca="1" si="7"/>
        <v>Expired</v>
      </c>
    </row>
    <row r="219" spans="1:24">
      <c r="A219" s="1">
        <v>218</v>
      </c>
      <c r="B219" s="1" t="s">
        <v>2024</v>
      </c>
      <c r="C219" s="1" t="s">
        <v>738</v>
      </c>
      <c r="D219" s="1" t="s">
        <v>49</v>
      </c>
      <c r="E219" s="1" t="s">
        <v>2025</v>
      </c>
      <c r="F219" s="1" t="s">
        <v>687</v>
      </c>
      <c r="G219" s="6">
        <v>87</v>
      </c>
      <c r="H219" s="8">
        <f>tblInventory[[#This Row],[Stock_Quantity]] * tblInventory[[#This Row],[Unit_Price]]</f>
        <v>217.5</v>
      </c>
      <c r="I219" s="1">
        <v>91</v>
      </c>
      <c r="J219" s="1">
        <v>94</v>
      </c>
      <c r="K219" s="8">
        <f>tblInventory[[#This Row],[Reorder_Quantity]]*M219</f>
        <v>235</v>
      </c>
      <c r="L219" s="10">
        <f>tblInventory[[#This Row],[Stock_Quantity]] / tblInventory[[#This Row],[Reorder_Quantity]]</f>
        <v>0.92553191489361697</v>
      </c>
      <c r="M219" s="3">
        <v>2.5</v>
      </c>
      <c r="N219" s="10">
        <f t="shared" si="6"/>
        <v>1.4770797962648556</v>
      </c>
      <c r="O219" s="2">
        <v>45389</v>
      </c>
      <c r="P219" s="1" t="s">
        <v>892</v>
      </c>
      <c r="Q219" s="2">
        <v>46021</v>
      </c>
      <c r="R219" s="1" t="s">
        <v>2026</v>
      </c>
      <c r="S219" s="1">
        <v>47</v>
      </c>
      <c r="T219" s="1">
        <v>4</v>
      </c>
      <c r="U219" s="1" t="s">
        <v>24</v>
      </c>
      <c r="V219" s="3">
        <f>tblInventory[[#This Row],[Stock_Quantity]]*tblInventory[[#This Row],[Unit_Price]]</f>
        <v>217.5</v>
      </c>
      <c r="W219" s="1" t="str">
        <f>IF(tblInventory[[#This Row],[Status]]="Discontinued","INACTIVE",
IF(tblInventory[[#This Row],[Stock_Quantity]] &lt; tblInventory[[#This Row],[Reorder_Level]],"REORDER","OK"))</f>
        <v>INACTIVE</v>
      </c>
      <c r="X219" s="1" t="str">
        <f t="shared" ca="1" si="7"/>
        <v>Valid</v>
      </c>
    </row>
    <row r="220" spans="1:24">
      <c r="A220" s="1">
        <v>219</v>
      </c>
      <c r="B220" s="1" t="s">
        <v>2056</v>
      </c>
      <c r="C220" s="1" t="s">
        <v>738</v>
      </c>
      <c r="D220" s="1" t="s">
        <v>49</v>
      </c>
      <c r="E220" s="1" t="s">
        <v>2057</v>
      </c>
      <c r="F220" s="1" t="s">
        <v>804</v>
      </c>
      <c r="G220" s="6">
        <v>86</v>
      </c>
      <c r="H220" s="8">
        <f>tblInventory[[#This Row],[Stock_Quantity]] * tblInventory[[#This Row],[Unit_Price]]</f>
        <v>215</v>
      </c>
      <c r="I220" s="1">
        <v>66</v>
      </c>
      <c r="J220" s="1">
        <v>24</v>
      </c>
      <c r="K220" s="8">
        <f>tblInventory[[#This Row],[Reorder_Quantity]]*M220</f>
        <v>60</v>
      </c>
      <c r="L220" s="10">
        <f>tblInventory[[#This Row],[Stock_Quantity]] / tblInventory[[#This Row],[Reorder_Quantity]]</f>
        <v>3.5833333333333335</v>
      </c>
      <c r="M220" s="3">
        <v>2.5</v>
      </c>
      <c r="N220" s="10">
        <f t="shared" si="6"/>
        <v>1.4601018675721562</v>
      </c>
      <c r="O220" s="1" t="s">
        <v>495</v>
      </c>
      <c r="P220" s="2">
        <v>45749</v>
      </c>
      <c r="Q220" s="2">
        <v>46266</v>
      </c>
      <c r="R220" s="1" t="s">
        <v>2058</v>
      </c>
      <c r="S220" s="1">
        <v>30</v>
      </c>
      <c r="T220" s="1">
        <v>6</v>
      </c>
      <c r="U220" s="1" t="s">
        <v>24</v>
      </c>
      <c r="V220" s="3">
        <f>tblInventory[[#This Row],[Stock_Quantity]]*tblInventory[[#This Row],[Unit_Price]]</f>
        <v>215</v>
      </c>
      <c r="W220" s="1" t="str">
        <f>IF(tblInventory[[#This Row],[Status]]="Discontinued","INACTIVE",
IF(tblInventory[[#This Row],[Stock_Quantity]] &lt; tblInventory[[#This Row],[Reorder_Level]],"REORDER","OK"))</f>
        <v>INACTIVE</v>
      </c>
      <c r="X220" s="1" t="str">
        <f t="shared" ca="1" si="7"/>
        <v>Valid</v>
      </c>
    </row>
    <row r="221" spans="1:24">
      <c r="A221" s="1">
        <v>220</v>
      </c>
      <c r="B221" s="1" t="s">
        <v>2251</v>
      </c>
      <c r="C221" s="1" t="s">
        <v>738</v>
      </c>
      <c r="D221" s="1" t="s">
        <v>49</v>
      </c>
      <c r="E221" s="1" t="s">
        <v>2252</v>
      </c>
      <c r="F221" s="1" t="s">
        <v>190</v>
      </c>
      <c r="G221" s="6">
        <v>48</v>
      </c>
      <c r="H221" s="8">
        <f>tblInventory[[#This Row],[Stock_Quantity]] * tblInventory[[#This Row],[Unit_Price]]</f>
        <v>122.39999999999999</v>
      </c>
      <c r="I221" s="1">
        <v>27</v>
      </c>
      <c r="J221" s="1">
        <v>73</v>
      </c>
      <c r="K221" s="8">
        <f>tblInventory[[#This Row],[Reorder_Quantity]]*M221</f>
        <v>186.14999999999998</v>
      </c>
      <c r="L221" s="10">
        <f>tblInventory[[#This Row],[Stock_Quantity]] / tblInventory[[#This Row],[Reorder_Quantity]]</f>
        <v>0.65753424657534243</v>
      </c>
      <c r="M221" s="3">
        <v>2.5499999999999998</v>
      </c>
      <c r="N221" s="10">
        <f t="shared" si="6"/>
        <v>0.81494057724957558</v>
      </c>
      <c r="O221" s="1" t="s">
        <v>178</v>
      </c>
      <c r="P221" s="2">
        <v>45630</v>
      </c>
      <c r="Q221" s="2">
        <v>46298</v>
      </c>
      <c r="R221" s="1" t="s">
        <v>2253</v>
      </c>
      <c r="S221" s="1">
        <v>52</v>
      </c>
      <c r="T221" s="1">
        <v>97</v>
      </c>
      <c r="U221" s="1" t="s">
        <v>24</v>
      </c>
      <c r="V221" s="3">
        <f>tblInventory[[#This Row],[Stock_Quantity]]*tblInventory[[#This Row],[Unit_Price]]</f>
        <v>122.39999999999999</v>
      </c>
      <c r="W221" s="1" t="str">
        <f>IF(tblInventory[[#This Row],[Status]]="Discontinued","INACTIVE",
IF(tblInventory[[#This Row],[Stock_Quantity]] &lt; tblInventory[[#This Row],[Reorder_Level]],"REORDER","OK"))</f>
        <v>INACTIVE</v>
      </c>
      <c r="X221" s="1" t="str">
        <f t="shared" ca="1" si="7"/>
        <v>Valid</v>
      </c>
    </row>
    <row r="222" spans="1:24">
      <c r="A222" s="1">
        <v>221</v>
      </c>
      <c r="B222" s="1" t="s">
        <v>2261</v>
      </c>
      <c r="C222" s="1" t="s">
        <v>738</v>
      </c>
      <c r="D222" s="1" t="s">
        <v>49</v>
      </c>
      <c r="E222" s="1" t="s">
        <v>2262</v>
      </c>
      <c r="F222" s="1" t="s">
        <v>614</v>
      </c>
      <c r="G222" s="6">
        <v>95</v>
      </c>
      <c r="H222" s="8">
        <f>tblInventory[[#This Row],[Stock_Quantity]] * tblInventory[[#This Row],[Unit_Price]]</f>
        <v>235.6</v>
      </c>
      <c r="I222" s="1">
        <v>66</v>
      </c>
      <c r="J222" s="1">
        <v>69</v>
      </c>
      <c r="K222" s="8">
        <f>tblInventory[[#This Row],[Reorder_Quantity]]*M222</f>
        <v>171.12</v>
      </c>
      <c r="L222" s="10">
        <f>tblInventory[[#This Row],[Stock_Quantity]] / tblInventory[[#This Row],[Reorder_Quantity]]</f>
        <v>1.3768115942028984</v>
      </c>
      <c r="M222" s="3">
        <v>2.48</v>
      </c>
      <c r="N222" s="10">
        <f t="shared" si="6"/>
        <v>1.6129032258064517</v>
      </c>
      <c r="O222" s="2">
        <v>45510</v>
      </c>
      <c r="P222" s="1" t="s">
        <v>219</v>
      </c>
      <c r="Q222" s="2">
        <v>46094</v>
      </c>
      <c r="R222" s="1" t="s">
        <v>2263</v>
      </c>
      <c r="S222" s="1">
        <v>92</v>
      </c>
      <c r="T222" s="1">
        <v>72</v>
      </c>
      <c r="U222" s="1" t="s">
        <v>38</v>
      </c>
      <c r="V222" s="3">
        <f>tblInventory[[#This Row],[Stock_Quantity]]*tblInventory[[#This Row],[Unit_Price]]</f>
        <v>235.6</v>
      </c>
      <c r="W222" s="1" t="str">
        <f>IF(tblInventory[[#This Row],[Status]]="Discontinued","INACTIVE",
IF(tblInventory[[#This Row],[Stock_Quantity]] &lt; tblInventory[[#This Row],[Reorder_Level]],"REORDER","OK"))</f>
        <v>OK</v>
      </c>
      <c r="X222" s="1" t="str">
        <f t="shared" ca="1" si="7"/>
        <v>Valid</v>
      </c>
    </row>
    <row r="223" spans="1:24">
      <c r="A223" s="1">
        <v>222</v>
      </c>
      <c r="B223" s="1" t="s">
        <v>2293</v>
      </c>
      <c r="C223" s="1" t="s">
        <v>738</v>
      </c>
      <c r="D223" s="1" t="s">
        <v>49</v>
      </c>
      <c r="E223" s="1" t="s">
        <v>2294</v>
      </c>
      <c r="F223" s="1" t="s">
        <v>547</v>
      </c>
      <c r="G223" s="6">
        <v>34</v>
      </c>
      <c r="H223" s="8">
        <f>tblInventory[[#This Row],[Stock_Quantity]] * tblInventory[[#This Row],[Unit_Price]]</f>
        <v>85</v>
      </c>
      <c r="I223" s="1">
        <v>92</v>
      </c>
      <c r="J223" s="1">
        <v>26</v>
      </c>
      <c r="K223" s="8">
        <f>tblInventory[[#This Row],[Reorder_Quantity]]*M223</f>
        <v>65</v>
      </c>
      <c r="L223" s="10">
        <f>tblInventory[[#This Row],[Stock_Quantity]] / tblInventory[[#This Row],[Reorder_Quantity]]</f>
        <v>1.3076923076923077</v>
      </c>
      <c r="M223" s="3">
        <v>2.5</v>
      </c>
      <c r="N223" s="10">
        <f t="shared" si="6"/>
        <v>0.57724957555178269</v>
      </c>
      <c r="O223" s="2">
        <v>45300</v>
      </c>
      <c r="P223" s="2">
        <v>45569</v>
      </c>
      <c r="Q223" s="2">
        <v>46104</v>
      </c>
      <c r="R223" s="1" t="s">
        <v>2295</v>
      </c>
      <c r="S223" s="1">
        <v>28</v>
      </c>
      <c r="T223" s="1">
        <v>71</v>
      </c>
      <c r="U223" s="1" t="s">
        <v>46</v>
      </c>
      <c r="V223" s="3">
        <f>tblInventory[[#This Row],[Stock_Quantity]]*tblInventory[[#This Row],[Unit_Price]]</f>
        <v>85</v>
      </c>
      <c r="W223" s="1" t="str">
        <f>IF(tblInventory[[#This Row],[Status]]="Discontinued","INACTIVE",
IF(tblInventory[[#This Row],[Stock_Quantity]] &lt; tblInventory[[#This Row],[Reorder_Level]],"REORDER","OK"))</f>
        <v>REORDER</v>
      </c>
      <c r="X223" s="1" t="str">
        <f t="shared" ca="1" si="7"/>
        <v>Valid</v>
      </c>
    </row>
    <row r="224" spans="1:24">
      <c r="A224" s="1">
        <v>223</v>
      </c>
      <c r="B224" s="1" t="s">
        <v>2360</v>
      </c>
      <c r="C224" s="1" t="s">
        <v>738</v>
      </c>
      <c r="D224" s="1" t="s">
        <v>49</v>
      </c>
      <c r="E224" s="1" t="s">
        <v>2361</v>
      </c>
      <c r="F224" s="1" t="s">
        <v>2362</v>
      </c>
      <c r="G224" s="6">
        <v>77</v>
      </c>
      <c r="H224" s="8">
        <f>tblInventory[[#This Row],[Stock_Quantity]] * tblInventory[[#This Row],[Unit_Price]]</f>
        <v>192.5</v>
      </c>
      <c r="I224" s="1">
        <v>54</v>
      </c>
      <c r="J224" s="1">
        <v>10</v>
      </c>
      <c r="K224" s="8">
        <f>tblInventory[[#This Row],[Reorder_Quantity]]*M224</f>
        <v>25</v>
      </c>
      <c r="L224" s="10">
        <f>tblInventory[[#This Row],[Stock_Quantity]] / tblInventory[[#This Row],[Reorder_Quantity]]</f>
        <v>7.7</v>
      </c>
      <c r="M224" s="3">
        <v>2.5</v>
      </c>
      <c r="N224" s="10">
        <f t="shared" si="6"/>
        <v>1.3073005093378609</v>
      </c>
      <c r="O224" s="1" t="s">
        <v>812</v>
      </c>
      <c r="P224" s="2">
        <v>45332</v>
      </c>
      <c r="Q224" s="2">
        <v>46125</v>
      </c>
      <c r="R224" s="1" t="s">
        <v>2363</v>
      </c>
      <c r="S224" s="1">
        <v>64</v>
      </c>
      <c r="T224" s="1">
        <v>73</v>
      </c>
      <c r="U224" s="1" t="s">
        <v>46</v>
      </c>
      <c r="V224" s="3">
        <f>tblInventory[[#This Row],[Stock_Quantity]]*tblInventory[[#This Row],[Unit_Price]]</f>
        <v>192.5</v>
      </c>
      <c r="W224" s="1" t="str">
        <f>IF(tblInventory[[#This Row],[Status]]="Discontinued","INACTIVE",
IF(tblInventory[[#This Row],[Stock_Quantity]] &lt; tblInventory[[#This Row],[Reorder_Level]],"REORDER","OK"))</f>
        <v>OK</v>
      </c>
      <c r="X224" s="1" t="str">
        <f t="shared" ca="1" si="7"/>
        <v>Valid</v>
      </c>
    </row>
    <row r="225" spans="1:24">
      <c r="A225" s="1">
        <v>224</v>
      </c>
      <c r="B225" s="1" t="s">
        <v>2382</v>
      </c>
      <c r="C225" s="1" t="s">
        <v>738</v>
      </c>
      <c r="D225" s="1" t="s">
        <v>49</v>
      </c>
      <c r="E225" s="1" t="s">
        <v>2383</v>
      </c>
      <c r="F225" s="1" t="s">
        <v>1662</v>
      </c>
      <c r="G225" s="6">
        <v>33</v>
      </c>
      <c r="H225" s="8">
        <f>tblInventory[[#This Row],[Stock_Quantity]] * tblInventory[[#This Row],[Unit_Price]]</f>
        <v>82.5</v>
      </c>
      <c r="I225" s="1">
        <v>89</v>
      </c>
      <c r="J225" s="1">
        <v>15</v>
      </c>
      <c r="K225" s="8">
        <f>tblInventory[[#This Row],[Reorder_Quantity]]*M225</f>
        <v>37.5</v>
      </c>
      <c r="L225" s="10">
        <f>tblInventory[[#This Row],[Stock_Quantity]] / tblInventory[[#This Row],[Reorder_Quantity]]</f>
        <v>2.2000000000000002</v>
      </c>
      <c r="M225" s="3">
        <v>2.5</v>
      </c>
      <c r="N225" s="10">
        <f t="shared" si="6"/>
        <v>0.56027164685908315</v>
      </c>
      <c r="O225" s="1" t="s">
        <v>396</v>
      </c>
      <c r="P225" s="1" t="s">
        <v>65</v>
      </c>
      <c r="Q225" s="2">
        <v>46132</v>
      </c>
      <c r="R225" s="1" t="s">
        <v>2384</v>
      </c>
      <c r="S225" s="1">
        <v>90</v>
      </c>
      <c r="T225" s="1">
        <v>52</v>
      </c>
      <c r="U225" s="1" t="s">
        <v>24</v>
      </c>
      <c r="V225" s="3">
        <f>tblInventory[[#This Row],[Stock_Quantity]]*tblInventory[[#This Row],[Unit_Price]]</f>
        <v>82.5</v>
      </c>
      <c r="W225" s="1" t="str">
        <f>IF(tblInventory[[#This Row],[Status]]="Discontinued","INACTIVE",
IF(tblInventory[[#This Row],[Stock_Quantity]] &lt; tblInventory[[#This Row],[Reorder_Level]],"REORDER","OK"))</f>
        <v>INACTIVE</v>
      </c>
      <c r="X225" s="1" t="str">
        <f t="shared" ca="1" si="7"/>
        <v>Valid</v>
      </c>
    </row>
    <row r="226" spans="1:24">
      <c r="A226" s="1">
        <v>225</v>
      </c>
      <c r="B226" s="1" t="s">
        <v>2396</v>
      </c>
      <c r="C226" s="1" t="s">
        <v>738</v>
      </c>
      <c r="D226" s="1" t="s">
        <v>49</v>
      </c>
      <c r="E226" s="1" t="s">
        <v>2397</v>
      </c>
      <c r="F226" s="1" t="s">
        <v>1326</v>
      </c>
      <c r="G226" s="6">
        <v>66</v>
      </c>
      <c r="H226" s="8">
        <f>tblInventory[[#This Row],[Stock_Quantity]] * tblInventory[[#This Row],[Unit_Price]]</f>
        <v>165</v>
      </c>
      <c r="I226" s="1">
        <v>31</v>
      </c>
      <c r="J226" s="1">
        <v>18</v>
      </c>
      <c r="K226" s="8">
        <f>tblInventory[[#This Row],[Reorder_Quantity]]*M226</f>
        <v>45</v>
      </c>
      <c r="L226" s="10">
        <f>tblInventory[[#This Row],[Stock_Quantity]] / tblInventory[[#This Row],[Reorder_Quantity]]</f>
        <v>3.6666666666666665</v>
      </c>
      <c r="M226" s="3">
        <v>2.5</v>
      </c>
      <c r="N226" s="10">
        <f t="shared" si="6"/>
        <v>1.1205432937181663</v>
      </c>
      <c r="O226" s="2">
        <v>45447</v>
      </c>
      <c r="P226" s="1" t="s">
        <v>144</v>
      </c>
      <c r="Q226" s="2">
        <v>46136</v>
      </c>
      <c r="R226" s="1" t="s">
        <v>2398</v>
      </c>
      <c r="S226" s="1">
        <v>85</v>
      </c>
      <c r="T226" s="1">
        <v>39</v>
      </c>
      <c r="U226" s="1" t="s">
        <v>38</v>
      </c>
      <c r="V226" s="3">
        <f>tblInventory[[#This Row],[Stock_Quantity]]*tblInventory[[#This Row],[Unit_Price]]</f>
        <v>165</v>
      </c>
      <c r="W226" s="1" t="str">
        <f>IF(tblInventory[[#This Row],[Status]]="Discontinued","INACTIVE",
IF(tblInventory[[#This Row],[Stock_Quantity]] &lt; tblInventory[[#This Row],[Reorder_Level]],"REORDER","OK"))</f>
        <v>OK</v>
      </c>
      <c r="X226" s="1" t="str">
        <f t="shared" ca="1" si="7"/>
        <v>Valid</v>
      </c>
    </row>
    <row r="227" spans="1:24">
      <c r="A227" s="1">
        <v>226</v>
      </c>
      <c r="B227" s="1" t="s">
        <v>2463</v>
      </c>
      <c r="C227" s="1" t="s">
        <v>738</v>
      </c>
      <c r="D227" s="1" t="s">
        <v>49</v>
      </c>
      <c r="E227" s="1" t="s">
        <v>2464</v>
      </c>
      <c r="F227" s="1" t="s">
        <v>35</v>
      </c>
      <c r="G227" s="6">
        <v>63</v>
      </c>
      <c r="H227" s="8">
        <f>tblInventory[[#This Row],[Stock_Quantity]] * tblInventory[[#This Row],[Unit_Price]]</f>
        <v>157.5</v>
      </c>
      <c r="I227" s="1">
        <v>62</v>
      </c>
      <c r="J227" s="1">
        <v>98</v>
      </c>
      <c r="K227" s="8">
        <f>tblInventory[[#This Row],[Reorder_Quantity]]*M227</f>
        <v>245</v>
      </c>
      <c r="L227" s="10">
        <f>tblInventory[[#This Row],[Stock_Quantity]] / tblInventory[[#This Row],[Reorder_Quantity]]</f>
        <v>0.6428571428571429</v>
      </c>
      <c r="M227" s="3">
        <v>2.5</v>
      </c>
      <c r="N227" s="10">
        <f t="shared" si="6"/>
        <v>1.069609507640068</v>
      </c>
      <c r="O227" s="1" t="s">
        <v>185</v>
      </c>
      <c r="P227" s="1" t="s">
        <v>519</v>
      </c>
      <c r="Q227" s="2">
        <v>46157</v>
      </c>
      <c r="R227" s="1" t="s">
        <v>2465</v>
      </c>
      <c r="S227" s="1">
        <v>62</v>
      </c>
      <c r="T227" s="1">
        <v>45</v>
      </c>
      <c r="U227" s="1" t="s">
        <v>38</v>
      </c>
      <c r="V227" s="3">
        <f>tblInventory[[#This Row],[Stock_Quantity]]*tblInventory[[#This Row],[Unit_Price]]</f>
        <v>157.5</v>
      </c>
      <c r="W227" s="1" t="str">
        <f>IF(tblInventory[[#This Row],[Status]]="Discontinued","INACTIVE",
IF(tblInventory[[#This Row],[Stock_Quantity]] &lt; tblInventory[[#This Row],[Reorder_Level]],"REORDER","OK"))</f>
        <v>OK</v>
      </c>
      <c r="X227" s="1" t="str">
        <f t="shared" ca="1" si="7"/>
        <v>Valid</v>
      </c>
    </row>
    <row r="228" spans="1:24">
      <c r="A228" s="1">
        <v>227</v>
      </c>
      <c r="B228" s="1" t="s">
        <v>2474</v>
      </c>
      <c r="C228" s="1" t="s">
        <v>738</v>
      </c>
      <c r="D228" s="1" t="s">
        <v>49</v>
      </c>
      <c r="E228" s="1" t="s">
        <v>2475</v>
      </c>
      <c r="F228" s="1" t="s">
        <v>964</v>
      </c>
      <c r="G228" s="6">
        <v>57</v>
      </c>
      <c r="H228" s="8">
        <f>tblInventory[[#This Row],[Stock_Quantity]] * tblInventory[[#This Row],[Unit_Price]]</f>
        <v>142.5</v>
      </c>
      <c r="I228" s="1">
        <v>25</v>
      </c>
      <c r="J228" s="1">
        <v>98</v>
      </c>
      <c r="K228" s="8">
        <f>tblInventory[[#This Row],[Reorder_Quantity]]*M228</f>
        <v>245</v>
      </c>
      <c r="L228" s="10">
        <f>tblInventory[[#This Row],[Stock_Quantity]] / tblInventory[[#This Row],[Reorder_Quantity]]</f>
        <v>0.58163265306122447</v>
      </c>
      <c r="M228" s="3">
        <v>2.5</v>
      </c>
      <c r="N228" s="10">
        <f t="shared" si="6"/>
        <v>0.967741935483871</v>
      </c>
      <c r="O228" s="1" t="s">
        <v>116</v>
      </c>
      <c r="P228" s="1" t="s">
        <v>622</v>
      </c>
      <c r="Q228" s="2">
        <v>46160</v>
      </c>
      <c r="R228" s="1" t="s">
        <v>2476</v>
      </c>
      <c r="S228" s="1">
        <v>78</v>
      </c>
      <c r="T228" s="1">
        <v>37</v>
      </c>
      <c r="U228" s="1" t="s">
        <v>46</v>
      </c>
      <c r="V228" s="3">
        <f>tblInventory[[#This Row],[Stock_Quantity]]*tblInventory[[#This Row],[Unit_Price]]</f>
        <v>142.5</v>
      </c>
      <c r="W228" s="1" t="str">
        <f>IF(tblInventory[[#This Row],[Status]]="Discontinued","INACTIVE",
IF(tblInventory[[#This Row],[Stock_Quantity]] &lt; tblInventory[[#This Row],[Reorder_Level]],"REORDER","OK"))</f>
        <v>OK</v>
      </c>
      <c r="X228" s="1" t="str">
        <f t="shared" ca="1" si="7"/>
        <v>Valid</v>
      </c>
    </row>
    <row r="229" spans="1:24">
      <c r="A229" s="1">
        <v>228</v>
      </c>
      <c r="B229" s="1" t="s">
        <v>3051</v>
      </c>
      <c r="C229" s="1" t="s">
        <v>738</v>
      </c>
      <c r="D229" s="1" t="s">
        <v>49</v>
      </c>
      <c r="E229" s="1" t="s">
        <v>3052</v>
      </c>
      <c r="F229" s="1" t="s">
        <v>341</v>
      </c>
      <c r="G229" s="6">
        <v>57</v>
      </c>
      <c r="H229" s="8">
        <f>tblInventory[[#This Row],[Stock_Quantity]] * tblInventory[[#This Row],[Unit_Price]]</f>
        <v>142.5</v>
      </c>
      <c r="I229" s="1">
        <v>43</v>
      </c>
      <c r="J229" s="1">
        <v>46</v>
      </c>
      <c r="K229" s="8">
        <f>tblInventory[[#This Row],[Reorder_Quantity]]*M229</f>
        <v>115</v>
      </c>
      <c r="L229" s="10">
        <f>tblInventory[[#This Row],[Stock_Quantity]] / tblInventory[[#This Row],[Reorder_Quantity]]</f>
        <v>1.2391304347826086</v>
      </c>
      <c r="M229" s="3">
        <v>2.5</v>
      </c>
      <c r="N229" s="10">
        <f t="shared" si="6"/>
        <v>0.967741935483871</v>
      </c>
      <c r="O229" s="1" t="s">
        <v>1310</v>
      </c>
      <c r="P229" s="2">
        <v>45303</v>
      </c>
      <c r="Q229" s="2">
        <v>46367</v>
      </c>
      <c r="R229" s="1" t="s">
        <v>3053</v>
      </c>
      <c r="S229" s="1">
        <v>87</v>
      </c>
      <c r="T229" s="1">
        <v>88</v>
      </c>
      <c r="U229" s="1" t="s">
        <v>24</v>
      </c>
      <c r="V229" s="3">
        <f>tblInventory[[#This Row],[Stock_Quantity]]*tblInventory[[#This Row],[Unit_Price]]</f>
        <v>142.5</v>
      </c>
      <c r="W229" s="1" t="str">
        <f>IF(tblInventory[[#This Row],[Status]]="Discontinued","INACTIVE",
IF(tblInventory[[#This Row],[Stock_Quantity]] &lt; tblInventory[[#This Row],[Reorder_Level]],"REORDER","OK"))</f>
        <v>INACTIVE</v>
      </c>
      <c r="X229" s="1" t="str">
        <f t="shared" ca="1" si="7"/>
        <v>Valid</v>
      </c>
    </row>
    <row r="230" spans="1:24">
      <c r="A230" s="1">
        <v>229</v>
      </c>
      <c r="B230" s="1" t="s">
        <v>3497</v>
      </c>
      <c r="C230" s="1" t="s">
        <v>738</v>
      </c>
      <c r="D230" s="1" t="s">
        <v>49</v>
      </c>
      <c r="E230" s="1" t="s">
        <v>3498</v>
      </c>
      <c r="F230" s="1" t="s">
        <v>381</v>
      </c>
      <c r="G230" s="6">
        <v>95</v>
      </c>
      <c r="H230" s="8">
        <f>tblInventory[[#This Row],[Stock_Quantity]] * tblInventory[[#This Row],[Unit_Price]]</f>
        <v>237.5</v>
      </c>
      <c r="I230" s="1">
        <v>6</v>
      </c>
      <c r="J230" s="1">
        <v>59</v>
      </c>
      <c r="K230" s="8">
        <f>tblInventory[[#This Row],[Reorder_Quantity]]*M230</f>
        <v>147.5</v>
      </c>
      <c r="L230" s="10">
        <f>tblInventory[[#This Row],[Stock_Quantity]] / tblInventory[[#This Row],[Reorder_Quantity]]</f>
        <v>1.6101694915254237</v>
      </c>
      <c r="M230" s="3">
        <v>2.5</v>
      </c>
      <c r="N230" s="10">
        <f t="shared" si="6"/>
        <v>1.6129032258064517</v>
      </c>
      <c r="O230" s="1" t="s">
        <v>480</v>
      </c>
      <c r="P230" s="1" t="s">
        <v>665</v>
      </c>
      <c r="Q230" s="2">
        <v>46511</v>
      </c>
      <c r="R230" s="1" t="s">
        <v>3499</v>
      </c>
      <c r="S230" s="1">
        <v>49</v>
      </c>
      <c r="T230" s="1">
        <v>77</v>
      </c>
      <c r="U230" s="1" t="s">
        <v>46</v>
      </c>
      <c r="V230" s="3">
        <f>tblInventory[[#This Row],[Stock_Quantity]]*tblInventory[[#This Row],[Unit_Price]]</f>
        <v>237.5</v>
      </c>
      <c r="W230" s="1" t="str">
        <f>IF(tblInventory[[#This Row],[Status]]="Discontinued","INACTIVE",
IF(tblInventory[[#This Row],[Stock_Quantity]] &lt; tblInventory[[#This Row],[Reorder_Level]],"REORDER","OK"))</f>
        <v>OK</v>
      </c>
      <c r="X230" s="1" t="str">
        <f t="shared" ca="1" si="7"/>
        <v>Valid</v>
      </c>
    </row>
    <row r="231" spans="1:24">
      <c r="A231" s="1">
        <v>230</v>
      </c>
      <c r="B231" s="1" t="s">
        <v>879</v>
      </c>
      <c r="C231" s="1" t="s">
        <v>880</v>
      </c>
      <c r="D231" s="1" t="s">
        <v>69</v>
      </c>
      <c r="E231" s="1" t="s">
        <v>881</v>
      </c>
      <c r="F231" s="1" t="s">
        <v>882</v>
      </c>
      <c r="G231" s="6">
        <v>88</v>
      </c>
      <c r="H231" s="8">
        <f>tblInventory[[#This Row],[Stock_Quantity]] * tblInventory[[#This Row],[Unit_Price]]</f>
        <v>792</v>
      </c>
      <c r="I231" s="1">
        <v>74</v>
      </c>
      <c r="J231" s="1">
        <v>97</v>
      </c>
      <c r="K231" s="8">
        <f>tblInventory[[#This Row],[Reorder_Quantity]]*M231</f>
        <v>873</v>
      </c>
      <c r="L231" s="10">
        <f>tblInventory[[#This Row],[Stock_Quantity]] / tblInventory[[#This Row],[Reorder_Quantity]]</f>
        <v>0.90721649484536082</v>
      </c>
      <c r="M231" s="3">
        <v>9</v>
      </c>
      <c r="N231" s="10">
        <f t="shared" si="6"/>
        <v>1.4940577249575553</v>
      </c>
      <c r="O231" s="1" t="s">
        <v>150</v>
      </c>
      <c r="P231" s="1" t="s">
        <v>143</v>
      </c>
      <c r="Q231" s="2">
        <v>45712</v>
      </c>
      <c r="R231" s="1" t="s">
        <v>883</v>
      </c>
      <c r="S231" s="1">
        <v>79</v>
      </c>
      <c r="T231" s="1">
        <v>5</v>
      </c>
      <c r="U231" s="1" t="s">
        <v>46</v>
      </c>
      <c r="V231" s="3">
        <f>tblInventory[[#This Row],[Stock_Quantity]]*tblInventory[[#This Row],[Unit_Price]]</f>
        <v>792</v>
      </c>
      <c r="W231" s="1" t="str">
        <f>IF(tblInventory[[#This Row],[Status]]="Discontinued","INACTIVE",
IF(tblInventory[[#This Row],[Stock_Quantity]] &lt; tblInventory[[#This Row],[Reorder_Level]],"REORDER","OK"))</f>
        <v>OK</v>
      </c>
      <c r="X231" s="1" t="str">
        <f t="shared" ca="1" si="7"/>
        <v>Expired</v>
      </c>
    </row>
    <row r="232" spans="1:24">
      <c r="A232" s="1">
        <v>231</v>
      </c>
      <c r="B232" s="1" t="s">
        <v>972</v>
      </c>
      <c r="C232" s="1" t="s">
        <v>880</v>
      </c>
      <c r="D232" s="1" t="s">
        <v>69</v>
      </c>
      <c r="E232" s="1" t="s">
        <v>973</v>
      </c>
      <c r="F232" s="1" t="s">
        <v>974</v>
      </c>
      <c r="G232" s="6">
        <v>40</v>
      </c>
      <c r="H232" s="8">
        <f>tblInventory[[#This Row],[Stock_Quantity]] * tblInventory[[#This Row],[Unit_Price]]</f>
        <v>360</v>
      </c>
      <c r="I232" s="1">
        <v>81</v>
      </c>
      <c r="J232" s="1">
        <v>40</v>
      </c>
      <c r="K232" s="8">
        <f>tblInventory[[#This Row],[Reorder_Quantity]]*M232</f>
        <v>360</v>
      </c>
      <c r="L232" s="10">
        <f>tblInventory[[#This Row],[Stock_Quantity]] / tblInventory[[#This Row],[Reorder_Quantity]]</f>
        <v>1</v>
      </c>
      <c r="M232" s="3">
        <v>9</v>
      </c>
      <c r="N232" s="10">
        <f t="shared" si="6"/>
        <v>0.6791171477079796</v>
      </c>
      <c r="O232" s="2">
        <v>45545</v>
      </c>
      <c r="P232" s="1" t="s">
        <v>786</v>
      </c>
      <c r="Q232" s="2">
        <v>45733</v>
      </c>
      <c r="R232" s="1" t="s">
        <v>975</v>
      </c>
      <c r="S232" s="1">
        <v>40</v>
      </c>
      <c r="T232" s="1">
        <v>48</v>
      </c>
      <c r="U232" s="1" t="s">
        <v>38</v>
      </c>
      <c r="V232" s="3">
        <f>tblInventory[[#This Row],[Stock_Quantity]]*tblInventory[[#This Row],[Unit_Price]]</f>
        <v>360</v>
      </c>
      <c r="W232" s="1" t="str">
        <f>IF(tblInventory[[#This Row],[Status]]="Discontinued","INACTIVE",
IF(tblInventory[[#This Row],[Stock_Quantity]] &lt; tblInventory[[#This Row],[Reorder_Level]],"REORDER","OK"))</f>
        <v>REORDER</v>
      </c>
      <c r="X232" s="1" t="str">
        <f t="shared" ca="1" si="7"/>
        <v>Expired</v>
      </c>
    </row>
    <row r="233" spans="1:24">
      <c r="A233" s="1">
        <v>232</v>
      </c>
      <c r="B233" s="1" t="s">
        <v>1610</v>
      </c>
      <c r="C233" s="1" t="s">
        <v>880</v>
      </c>
      <c r="D233" s="1" t="s">
        <v>69</v>
      </c>
      <c r="E233" s="1" t="s">
        <v>1611</v>
      </c>
      <c r="F233" s="1" t="s">
        <v>1517</v>
      </c>
      <c r="G233" s="6">
        <v>68</v>
      </c>
      <c r="H233" s="8">
        <f>tblInventory[[#This Row],[Stock_Quantity]] * tblInventory[[#This Row],[Unit_Price]]</f>
        <v>605.20000000000005</v>
      </c>
      <c r="I233" s="1">
        <v>60</v>
      </c>
      <c r="J233" s="1">
        <v>21</v>
      </c>
      <c r="K233" s="8">
        <f>tblInventory[[#This Row],[Reorder_Quantity]]*M233</f>
        <v>186.9</v>
      </c>
      <c r="L233" s="10">
        <f>tblInventory[[#This Row],[Stock_Quantity]] / tblInventory[[#This Row],[Reorder_Quantity]]</f>
        <v>3.2380952380952381</v>
      </c>
      <c r="M233" s="3">
        <v>8.9</v>
      </c>
      <c r="N233" s="10">
        <f t="shared" si="6"/>
        <v>1.1544991511035654</v>
      </c>
      <c r="O233" s="1" t="s">
        <v>122</v>
      </c>
      <c r="P233" s="2">
        <v>45332</v>
      </c>
      <c r="Q233" s="2">
        <v>45898</v>
      </c>
      <c r="R233" s="1" t="s">
        <v>1612</v>
      </c>
      <c r="S233" s="1">
        <v>79</v>
      </c>
      <c r="T233" s="1">
        <v>46</v>
      </c>
      <c r="U233" s="1" t="s">
        <v>46</v>
      </c>
      <c r="V233" s="3">
        <f>tblInventory[[#This Row],[Stock_Quantity]]*tblInventory[[#This Row],[Unit_Price]]</f>
        <v>605.20000000000005</v>
      </c>
      <c r="W233" s="1" t="str">
        <f>IF(tblInventory[[#This Row],[Status]]="Discontinued","INACTIVE",
IF(tblInventory[[#This Row],[Stock_Quantity]] &lt; tblInventory[[#This Row],[Reorder_Level]],"REORDER","OK"))</f>
        <v>OK</v>
      </c>
      <c r="X233" s="1" t="str">
        <f t="shared" ca="1" si="7"/>
        <v>Expired</v>
      </c>
    </row>
    <row r="234" spans="1:24">
      <c r="A234" s="1">
        <v>233</v>
      </c>
      <c r="B234" s="1" t="s">
        <v>1826</v>
      </c>
      <c r="C234" s="1" t="s">
        <v>880</v>
      </c>
      <c r="D234" s="1" t="s">
        <v>69</v>
      </c>
      <c r="E234" s="1" t="s">
        <v>1827</v>
      </c>
      <c r="F234" s="1" t="s">
        <v>1828</v>
      </c>
      <c r="G234" s="6">
        <v>21</v>
      </c>
      <c r="H234" s="8">
        <f>tblInventory[[#This Row],[Stock_Quantity]] * tblInventory[[#This Row],[Unit_Price]]</f>
        <v>189</v>
      </c>
      <c r="I234" s="1">
        <v>28</v>
      </c>
      <c r="J234" s="1">
        <v>72</v>
      </c>
      <c r="K234" s="8">
        <f>tblInventory[[#This Row],[Reorder_Quantity]]*M234</f>
        <v>648</v>
      </c>
      <c r="L234" s="10">
        <f>tblInventory[[#This Row],[Stock_Quantity]] / tblInventory[[#This Row],[Reorder_Quantity]]</f>
        <v>0.29166666666666669</v>
      </c>
      <c r="M234" s="3">
        <v>9</v>
      </c>
      <c r="N234" s="10">
        <f t="shared" si="6"/>
        <v>0.35653650254668934</v>
      </c>
      <c r="O234" s="1" t="s">
        <v>342</v>
      </c>
      <c r="P234" s="1" t="s">
        <v>560</v>
      </c>
      <c r="Q234" s="2">
        <v>45961</v>
      </c>
      <c r="R234" s="1" t="s">
        <v>1829</v>
      </c>
      <c r="S234" s="1">
        <v>69</v>
      </c>
      <c r="T234" s="1">
        <v>51</v>
      </c>
      <c r="U234" s="1" t="s">
        <v>38</v>
      </c>
      <c r="V234" s="3">
        <f>tblInventory[[#This Row],[Stock_Quantity]]*tblInventory[[#This Row],[Unit_Price]]</f>
        <v>189</v>
      </c>
      <c r="W234" s="1" t="str">
        <f>IF(tblInventory[[#This Row],[Status]]="Discontinued","INACTIVE",
IF(tblInventory[[#This Row],[Stock_Quantity]] &lt; tblInventory[[#This Row],[Reorder_Level]],"REORDER","OK"))</f>
        <v>REORDER</v>
      </c>
      <c r="X234" s="1" t="str">
        <f t="shared" ca="1" si="7"/>
        <v>Expired</v>
      </c>
    </row>
    <row r="235" spans="1:24">
      <c r="A235" s="1">
        <v>234</v>
      </c>
      <c r="B235" s="1" t="s">
        <v>1867</v>
      </c>
      <c r="C235" s="1" t="s">
        <v>880</v>
      </c>
      <c r="D235" s="1" t="s">
        <v>69</v>
      </c>
      <c r="E235" s="1" t="s">
        <v>1868</v>
      </c>
      <c r="F235" s="1" t="s">
        <v>81</v>
      </c>
      <c r="G235" s="6">
        <v>31</v>
      </c>
      <c r="H235" s="8">
        <f>tblInventory[[#This Row],[Stock_Quantity]] * tblInventory[[#This Row],[Unit_Price]]</f>
        <v>279</v>
      </c>
      <c r="I235" s="1">
        <v>65</v>
      </c>
      <c r="J235" s="1">
        <v>94</v>
      </c>
      <c r="K235" s="8">
        <f>tblInventory[[#This Row],[Reorder_Quantity]]*M235</f>
        <v>846</v>
      </c>
      <c r="L235" s="10">
        <f>tblInventory[[#This Row],[Stock_Quantity]] / tblInventory[[#This Row],[Reorder_Quantity]]</f>
        <v>0.32978723404255317</v>
      </c>
      <c r="M235" s="3">
        <v>9</v>
      </c>
      <c r="N235" s="10">
        <f t="shared" si="6"/>
        <v>0.52631578947368418</v>
      </c>
      <c r="O235" s="2">
        <v>45363</v>
      </c>
      <c r="P235" s="1" t="s">
        <v>358</v>
      </c>
      <c r="Q235" s="2">
        <v>46002</v>
      </c>
      <c r="R235" s="1" t="s">
        <v>1869</v>
      </c>
      <c r="S235" s="1">
        <v>63</v>
      </c>
      <c r="T235" s="1">
        <v>7</v>
      </c>
      <c r="U235" s="1" t="s">
        <v>38</v>
      </c>
      <c r="V235" s="3">
        <f>tblInventory[[#This Row],[Stock_Quantity]]*tblInventory[[#This Row],[Unit_Price]]</f>
        <v>279</v>
      </c>
      <c r="W235" s="1" t="str">
        <f>IF(tblInventory[[#This Row],[Status]]="Discontinued","INACTIVE",
IF(tblInventory[[#This Row],[Stock_Quantity]] &lt; tblInventory[[#This Row],[Reorder_Level]],"REORDER","OK"))</f>
        <v>REORDER</v>
      </c>
      <c r="X235" s="1" t="str">
        <f t="shared" ca="1" si="7"/>
        <v>Valid</v>
      </c>
    </row>
    <row r="236" spans="1:24">
      <c r="A236" s="1">
        <v>235</v>
      </c>
      <c r="B236" s="1" t="s">
        <v>2229</v>
      </c>
      <c r="C236" s="1" t="s">
        <v>880</v>
      </c>
      <c r="D236" s="1" t="s">
        <v>69</v>
      </c>
      <c r="E236" s="1" t="s">
        <v>2230</v>
      </c>
      <c r="F236" s="1" t="s">
        <v>2231</v>
      </c>
      <c r="G236" s="6">
        <v>85</v>
      </c>
      <c r="H236" s="8">
        <f>tblInventory[[#This Row],[Stock_Quantity]] * tblInventory[[#This Row],[Unit_Price]]</f>
        <v>756.5</v>
      </c>
      <c r="I236" s="1">
        <v>28</v>
      </c>
      <c r="J236" s="1">
        <v>32</v>
      </c>
      <c r="K236" s="8">
        <f>tblInventory[[#This Row],[Reorder_Quantity]]*M236</f>
        <v>284.8</v>
      </c>
      <c r="L236" s="10">
        <f>tblInventory[[#This Row],[Stock_Quantity]] / tblInventory[[#This Row],[Reorder_Quantity]]</f>
        <v>2.65625</v>
      </c>
      <c r="M236" s="3">
        <v>8.9</v>
      </c>
      <c r="N236" s="10">
        <f t="shared" si="6"/>
        <v>1.4431239388794568</v>
      </c>
      <c r="O236" s="1" t="s">
        <v>682</v>
      </c>
      <c r="P236" s="1" t="s">
        <v>1060</v>
      </c>
      <c r="Q236" s="2">
        <v>46084</v>
      </c>
      <c r="R236" s="1" t="s">
        <v>2232</v>
      </c>
      <c r="S236" s="1">
        <v>57</v>
      </c>
      <c r="T236" s="1">
        <v>41</v>
      </c>
      <c r="U236" s="1" t="s">
        <v>38</v>
      </c>
      <c r="V236" s="3">
        <f>tblInventory[[#This Row],[Stock_Quantity]]*tblInventory[[#This Row],[Unit_Price]]</f>
        <v>756.5</v>
      </c>
      <c r="W236" s="1" t="str">
        <f>IF(tblInventory[[#This Row],[Status]]="Discontinued","INACTIVE",
IF(tblInventory[[#This Row],[Stock_Quantity]] &lt; tblInventory[[#This Row],[Reorder_Level]],"REORDER","OK"))</f>
        <v>OK</v>
      </c>
      <c r="X236" s="1" t="str">
        <f t="shared" ca="1" si="7"/>
        <v>Valid</v>
      </c>
    </row>
    <row r="237" spans="1:24">
      <c r="A237" s="1">
        <v>236</v>
      </c>
      <c r="B237" s="1" t="s">
        <v>2955</v>
      </c>
      <c r="C237" s="1" t="s">
        <v>880</v>
      </c>
      <c r="D237" s="1" t="s">
        <v>69</v>
      </c>
      <c r="E237" s="1" t="s">
        <v>2956</v>
      </c>
      <c r="F237" s="1" t="s">
        <v>2590</v>
      </c>
      <c r="G237" s="6">
        <v>70</v>
      </c>
      <c r="H237" s="8">
        <f>tblInventory[[#This Row],[Stock_Quantity]] * tblInventory[[#This Row],[Unit_Price]]</f>
        <v>630</v>
      </c>
      <c r="I237" s="1">
        <v>96</v>
      </c>
      <c r="J237" s="1">
        <v>35</v>
      </c>
      <c r="K237" s="8">
        <f>tblInventory[[#This Row],[Reorder_Quantity]]*M237</f>
        <v>315</v>
      </c>
      <c r="L237" s="10">
        <f>tblInventory[[#This Row],[Stock_Quantity]] / tblInventory[[#This Row],[Reorder_Quantity]]</f>
        <v>2</v>
      </c>
      <c r="M237" s="3">
        <v>9</v>
      </c>
      <c r="N237" s="10">
        <f t="shared" si="6"/>
        <v>1.1884550084889645</v>
      </c>
      <c r="O237" s="2">
        <v>45871</v>
      </c>
      <c r="P237" s="1" t="s">
        <v>197</v>
      </c>
      <c r="Q237" s="2">
        <v>46366</v>
      </c>
      <c r="R237" s="1" t="s">
        <v>2957</v>
      </c>
      <c r="S237" s="1">
        <v>63</v>
      </c>
      <c r="T237" s="1">
        <v>84</v>
      </c>
      <c r="U237" s="1" t="s">
        <v>38</v>
      </c>
      <c r="V237" s="3">
        <f>tblInventory[[#This Row],[Stock_Quantity]]*tblInventory[[#This Row],[Unit_Price]]</f>
        <v>630</v>
      </c>
      <c r="W237" s="1" t="str">
        <f>IF(tblInventory[[#This Row],[Status]]="Discontinued","INACTIVE",
IF(tblInventory[[#This Row],[Stock_Quantity]] &lt; tblInventory[[#This Row],[Reorder_Level]],"REORDER","OK"))</f>
        <v>REORDER</v>
      </c>
      <c r="X237" s="1" t="str">
        <f t="shared" ca="1" si="7"/>
        <v>Valid</v>
      </c>
    </row>
    <row r="238" spans="1:24">
      <c r="A238" s="1">
        <v>237</v>
      </c>
      <c r="B238" s="1" t="s">
        <v>3262</v>
      </c>
      <c r="C238" s="1" t="s">
        <v>880</v>
      </c>
      <c r="D238" s="1" t="s">
        <v>69</v>
      </c>
      <c r="E238" s="1" t="s">
        <v>3263</v>
      </c>
      <c r="F238" s="1" t="s">
        <v>1272</v>
      </c>
      <c r="G238" s="6">
        <v>86</v>
      </c>
      <c r="H238" s="8">
        <f>tblInventory[[#This Row],[Stock_Quantity]] * tblInventory[[#This Row],[Unit_Price]]</f>
        <v>774</v>
      </c>
      <c r="I238" s="1">
        <v>23</v>
      </c>
      <c r="J238" s="1">
        <v>1</v>
      </c>
      <c r="K238" s="8">
        <f>tblInventory[[#This Row],[Reorder_Quantity]]*M238</f>
        <v>9</v>
      </c>
      <c r="L238" s="10">
        <f>tblInventory[[#This Row],[Stock_Quantity]] / tblInventory[[#This Row],[Reorder_Quantity]]</f>
        <v>86</v>
      </c>
      <c r="M238" s="3">
        <v>9</v>
      </c>
      <c r="N238" s="10">
        <f t="shared" si="6"/>
        <v>1.4601018675721562</v>
      </c>
      <c r="O238" s="1" t="s">
        <v>65</v>
      </c>
      <c r="P238" s="1" t="s">
        <v>134</v>
      </c>
      <c r="Q238" s="2">
        <v>46406</v>
      </c>
      <c r="R238" s="1" t="s">
        <v>3264</v>
      </c>
      <c r="S238" s="1">
        <v>100</v>
      </c>
      <c r="T238" s="1">
        <v>86</v>
      </c>
      <c r="U238" s="1" t="s">
        <v>38</v>
      </c>
      <c r="V238" s="3">
        <f>tblInventory[[#This Row],[Stock_Quantity]]*tblInventory[[#This Row],[Unit_Price]]</f>
        <v>774</v>
      </c>
      <c r="W238" s="1" t="str">
        <f>IF(tblInventory[[#This Row],[Status]]="Discontinued","INACTIVE",
IF(tblInventory[[#This Row],[Stock_Quantity]] &lt; tblInventory[[#This Row],[Reorder_Level]],"REORDER","OK"))</f>
        <v>OK</v>
      </c>
      <c r="X238" s="1" t="str">
        <f t="shared" ca="1" si="7"/>
        <v>Valid</v>
      </c>
    </row>
    <row r="239" spans="1:24">
      <c r="A239" s="1">
        <v>238</v>
      </c>
      <c r="B239" s="1" t="s">
        <v>3632</v>
      </c>
      <c r="C239" s="1" t="s">
        <v>880</v>
      </c>
      <c r="D239" s="1" t="s">
        <v>69</v>
      </c>
      <c r="E239" s="1" t="s">
        <v>3633</v>
      </c>
      <c r="F239" s="1" t="s">
        <v>2778</v>
      </c>
      <c r="G239" s="6">
        <v>36</v>
      </c>
      <c r="H239" s="8">
        <f>tblInventory[[#This Row],[Stock_Quantity]] * tblInventory[[#This Row],[Unit_Price]]</f>
        <v>324</v>
      </c>
      <c r="I239" s="1">
        <v>77</v>
      </c>
      <c r="J239" s="1">
        <v>49</v>
      </c>
      <c r="K239" s="8">
        <f>tblInventory[[#This Row],[Reorder_Quantity]]*M239</f>
        <v>441</v>
      </c>
      <c r="L239" s="10">
        <f>tblInventory[[#This Row],[Stock_Quantity]] / tblInventory[[#This Row],[Reorder_Quantity]]</f>
        <v>0.73469387755102045</v>
      </c>
      <c r="M239" s="3">
        <v>9</v>
      </c>
      <c r="N239" s="10">
        <f t="shared" si="6"/>
        <v>0.61120543293718166</v>
      </c>
      <c r="O239" s="2">
        <v>45569</v>
      </c>
      <c r="P239" s="1" t="s">
        <v>394</v>
      </c>
      <c r="Q239" s="2">
        <v>46526</v>
      </c>
      <c r="R239" s="1" t="s">
        <v>3634</v>
      </c>
      <c r="S239" s="1">
        <v>30</v>
      </c>
      <c r="T239" s="1">
        <v>84</v>
      </c>
      <c r="U239" s="1" t="s">
        <v>46</v>
      </c>
      <c r="V239" s="3">
        <f>tblInventory[[#This Row],[Stock_Quantity]]*tblInventory[[#This Row],[Unit_Price]]</f>
        <v>324</v>
      </c>
      <c r="W239" s="1" t="str">
        <f>IF(tblInventory[[#This Row],[Status]]="Discontinued","INACTIVE",
IF(tblInventory[[#This Row],[Stock_Quantity]] &lt; tblInventory[[#This Row],[Reorder_Level]],"REORDER","OK"))</f>
        <v>REORDER</v>
      </c>
      <c r="X239" s="1" t="str">
        <f t="shared" ca="1" si="7"/>
        <v>Valid</v>
      </c>
    </row>
    <row r="240" spans="1:24">
      <c r="A240" s="1">
        <v>239</v>
      </c>
      <c r="B240" s="1" t="s">
        <v>3674</v>
      </c>
      <c r="C240" s="1" t="s">
        <v>880</v>
      </c>
      <c r="D240" s="1" t="s">
        <v>69</v>
      </c>
      <c r="E240" s="1" t="s">
        <v>3675</v>
      </c>
      <c r="F240" s="1" t="s">
        <v>3676</v>
      </c>
      <c r="G240" s="6">
        <v>60</v>
      </c>
      <c r="H240" s="8">
        <f>tblInventory[[#This Row],[Stock_Quantity]] * tblInventory[[#This Row],[Unit_Price]]</f>
        <v>540</v>
      </c>
      <c r="I240" s="1">
        <v>9</v>
      </c>
      <c r="J240" s="1">
        <v>89</v>
      </c>
      <c r="K240" s="8">
        <f>tblInventory[[#This Row],[Reorder_Quantity]]*M240</f>
        <v>801</v>
      </c>
      <c r="L240" s="10">
        <f>tblInventory[[#This Row],[Stock_Quantity]] / tblInventory[[#This Row],[Reorder_Quantity]]</f>
        <v>0.6741573033707865</v>
      </c>
      <c r="M240" s="3">
        <v>9</v>
      </c>
      <c r="N240" s="10">
        <f t="shared" si="6"/>
        <v>1.0186757215619695</v>
      </c>
      <c r="O240" s="2">
        <v>45297</v>
      </c>
      <c r="P240" s="2">
        <v>45328</v>
      </c>
      <c r="Q240" s="2">
        <v>46424</v>
      </c>
      <c r="R240" s="1" t="s">
        <v>3677</v>
      </c>
      <c r="S240" s="1">
        <v>95</v>
      </c>
      <c r="T240" s="1">
        <v>63</v>
      </c>
      <c r="U240" s="1" t="s">
        <v>46</v>
      </c>
      <c r="V240" s="3">
        <f>tblInventory[[#This Row],[Stock_Quantity]]*tblInventory[[#This Row],[Unit_Price]]</f>
        <v>540</v>
      </c>
      <c r="W240" s="1" t="str">
        <f>IF(tblInventory[[#This Row],[Status]]="Discontinued","INACTIVE",
IF(tblInventory[[#This Row],[Stock_Quantity]] &lt; tblInventory[[#This Row],[Reorder_Level]],"REORDER","OK"))</f>
        <v>OK</v>
      </c>
      <c r="X240" s="1" t="str">
        <f t="shared" ca="1" si="7"/>
        <v>Valid</v>
      </c>
    </row>
    <row r="241" spans="1:24">
      <c r="A241" s="1">
        <v>240</v>
      </c>
      <c r="B241" s="1" t="s">
        <v>569</v>
      </c>
      <c r="C241" s="1" t="s">
        <v>570</v>
      </c>
      <c r="D241" s="1" t="s">
        <v>69</v>
      </c>
      <c r="E241" s="1" t="s">
        <v>571</v>
      </c>
      <c r="F241" s="1" t="s">
        <v>572</v>
      </c>
      <c r="G241" s="6">
        <v>53</v>
      </c>
      <c r="H241" s="8">
        <f>tblInventory[[#This Row],[Stock_Quantity]] * tblInventory[[#This Row],[Unit_Price]]</f>
        <v>477</v>
      </c>
      <c r="I241" s="1">
        <v>63</v>
      </c>
      <c r="J241" s="1">
        <v>2</v>
      </c>
      <c r="K241" s="8">
        <f>tblInventory[[#This Row],[Reorder_Quantity]]*M241</f>
        <v>18</v>
      </c>
      <c r="L241" s="10">
        <f>tblInventory[[#This Row],[Stock_Quantity]] / tblInventory[[#This Row],[Reorder_Quantity]]</f>
        <v>26.5</v>
      </c>
      <c r="M241" s="3">
        <v>9</v>
      </c>
      <c r="N241" s="10">
        <f t="shared" si="6"/>
        <v>0.89983022071307306</v>
      </c>
      <c r="O241" s="2">
        <v>45330</v>
      </c>
      <c r="P241" s="2">
        <v>45636</v>
      </c>
      <c r="Q241" s="2">
        <v>45646</v>
      </c>
      <c r="R241" s="1" t="s">
        <v>573</v>
      </c>
      <c r="S241" s="1">
        <v>56</v>
      </c>
      <c r="T241" s="1">
        <v>95</v>
      </c>
      <c r="U241" s="1" t="s">
        <v>46</v>
      </c>
      <c r="V241" s="3">
        <f>tblInventory[[#This Row],[Stock_Quantity]]*tblInventory[[#This Row],[Unit_Price]]</f>
        <v>477</v>
      </c>
      <c r="W241" s="1" t="str">
        <f>IF(tblInventory[[#This Row],[Status]]="Discontinued","INACTIVE",
IF(tblInventory[[#This Row],[Stock_Quantity]] &lt; tblInventory[[#This Row],[Reorder_Level]],"REORDER","OK"))</f>
        <v>REORDER</v>
      </c>
      <c r="X241" s="1" t="str">
        <f t="shared" ca="1" si="7"/>
        <v>Expired</v>
      </c>
    </row>
    <row r="242" spans="1:24">
      <c r="A242" s="1">
        <v>241</v>
      </c>
      <c r="B242" s="1" t="s">
        <v>1249</v>
      </c>
      <c r="C242" s="1" t="s">
        <v>570</v>
      </c>
      <c r="D242" s="1" t="s">
        <v>69</v>
      </c>
      <c r="E242" s="1" t="s">
        <v>1250</v>
      </c>
      <c r="F242" s="1" t="s">
        <v>970</v>
      </c>
      <c r="G242" s="6">
        <v>76</v>
      </c>
      <c r="H242" s="8">
        <f>tblInventory[[#This Row],[Stock_Quantity]] * tblInventory[[#This Row],[Unit_Price]]</f>
        <v>722</v>
      </c>
      <c r="I242" s="1">
        <v>15</v>
      </c>
      <c r="J242" s="1">
        <v>99</v>
      </c>
      <c r="K242" s="8">
        <f>tblInventory[[#This Row],[Reorder_Quantity]]*M242</f>
        <v>940.5</v>
      </c>
      <c r="L242" s="10">
        <f>tblInventory[[#This Row],[Stock_Quantity]] / tblInventory[[#This Row],[Reorder_Quantity]]</f>
        <v>0.76767676767676762</v>
      </c>
      <c r="M242" s="3">
        <v>9.5</v>
      </c>
      <c r="N242" s="10">
        <f t="shared" si="6"/>
        <v>1.2903225806451613</v>
      </c>
      <c r="O242" s="2">
        <v>45659</v>
      </c>
      <c r="P242" s="1" t="s">
        <v>909</v>
      </c>
      <c r="Q242" s="2">
        <v>45802</v>
      </c>
      <c r="R242" s="1" t="s">
        <v>1251</v>
      </c>
      <c r="S242" s="1">
        <v>60</v>
      </c>
      <c r="T242" s="1">
        <v>49</v>
      </c>
      <c r="U242" s="1" t="s">
        <v>24</v>
      </c>
      <c r="V242" s="3">
        <f>tblInventory[[#This Row],[Stock_Quantity]]*tblInventory[[#This Row],[Unit_Price]]</f>
        <v>722</v>
      </c>
      <c r="W242" s="1" t="str">
        <f>IF(tblInventory[[#This Row],[Status]]="Discontinued","INACTIVE",
IF(tblInventory[[#This Row],[Stock_Quantity]] &lt; tblInventory[[#This Row],[Reorder_Level]],"REORDER","OK"))</f>
        <v>INACTIVE</v>
      </c>
      <c r="X242" s="1" t="str">
        <f t="shared" ca="1" si="7"/>
        <v>Expired</v>
      </c>
    </row>
    <row r="243" spans="1:24">
      <c r="A243" s="1">
        <v>242</v>
      </c>
      <c r="B243" s="1" t="s">
        <v>1308</v>
      </c>
      <c r="C243" s="1" t="s">
        <v>570</v>
      </c>
      <c r="D243" s="1" t="s">
        <v>69</v>
      </c>
      <c r="E243" s="1" t="s">
        <v>1309</v>
      </c>
      <c r="F243" s="1" t="s">
        <v>1110</v>
      </c>
      <c r="G243" s="6">
        <v>69</v>
      </c>
      <c r="H243" s="8">
        <f>tblInventory[[#This Row],[Stock_Quantity]] * tblInventory[[#This Row],[Unit_Price]]</f>
        <v>634.79999999999995</v>
      </c>
      <c r="I243" s="1">
        <v>53</v>
      </c>
      <c r="J243" s="1">
        <v>32</v>
      </c>
      <c r="K243" s="8">
        <f>tblInventory[[#This Row],[Reorder_Quantity]]*M243</f>
        <v>294.39999999999998</v>
      </c>
      <c r="L243" s="10">
        <f>tblInventory[[#This Row],[Stock_Quantity]] / tblInventory[[#This Row],[Reorder_Quantity]]</f>
        <v>2.15625</v>
      </c>
      <c r="M243" s="3">
        <v>9.1999999999999993</v>
      </c>
      <c r="N243" s="10">
        <f t="shared" si="6"/>
        <v>1.1714770797962648</v>
      </c>
      <c r="O243" s="2">
        <v>45605</v>
      </c>
      <c r="P243" s="1" t="s">
        <v>150</v>
      </c>
      <c r="Q243" s="2">
        <v>45906</v>
      </c>
      <c r="R243" s="1" t="s">
        <v>1311</v>
      </c>
      <c r="S243" s="1">
        <v>28</v>
      </c>
      <c r="T243" s="1">
        <v>56</v>
      </c>
      <c r="U243" s="1" t="s">
        <v>46</v>
      </c>
      <c r="V243" s="3">
        <f>tblInventory[[#This Row],[Stock_Quantity]]*tblInventory[[#This Row],[Unit_Price]]</f>
        <v>634.79999999999995</v>
      </c>
      <c r="W243" s="1" t="str">
        <f>IF(tblInventory[[#This Row],[Status]]="Discontinued","INACTIVE",
IF(tblInventory[[#This Row],[Stock_Quantity]] &lt; tblInventory[[#This Row],[Reorder_Level]],"REORDER","OK"))</f>
        <v>OK</v>
      </c>
      <c r="X243" s="1" t="str">
        <f t="shared" ca="1" si="7"/>
        <v>Expired</v>
      </c>
    </row>
    <row r="244" spans="1:24">
      <c r="A244" s="1">
        <v>243</v>
      </c>
      <c r="B244" s="1" t="s">
        <v>1477</v>
      </c>
      <c r="C244" s="1" t="s">
        <v>570</v>
      </c>
      <c r="D244" s="1" t="s">
        <v>69</v>
      </c>
      <c r="E244" s="1" t="s">
        <v>1478</v>
      </c>
      <c r="F244" s="1" t="s">
        <v>142</v>
      </c>
      <c r="G244" s="6">
        <v>100</v>
      </c>
      <c r="H244" s="8">
        <f>tblInventory[[#This Row],[Stock_Quantity]] * tblInventory[[#This Row],[Unit_Price]]</f>
        <v>900</v>
      </c>
      <c r="I244" s="1">
        <v>31</v>
      </c>
      <c r="J244" s="1">
        <v>43</v>
      </c>
      <c r="K244" s="8">
        <f>tblInventory[[#This Row],[Reorder_Quantity]]*M244</f>
        <v>387</v>
      </c>
      <c r="L244" s="10">
        <f>tblInventory[[#This Row],[Stock_Quantity]] / tblInventory[[#This Row],[Reorder_Quantity]]</f>
        <v>2.3255813953488373</v>
      </c>
      <c r="M244" s="3">
        <v>9</v>
      </c>
      <c r="N244" s="10">
        <f t="shared" si="6"/>
        <v>1.6977928692699491</v>
      </c>
      <c r="O244" s="1" t="s">
        <v>525</v>
      </c>
      <c r="P244" s="2">
        <v>45809</v>
      </c>
      <c r="Q244" s="2">
        <v>45860</v>
      </c>
      <c r="R244" s="1" t="s">
        <v>1479</v>
      </c>
      <c r="S244" s="1">
        <v>88</v>
      </c>
      <c r="T244" s="1">
        <v>52</v>
      </c>
      <c r="U244" s="1" t="s">
        <v>38</v>
      </c>
      <c r="V244" s="3">
        <f>tblInventory[[#This Row],[Stock_Quantity]]*tblInventory[[#This Row],[Unit_Price]]</f>
        <v>900</v>
      </c>
      <c r="W244" s="1" t="str">
        <f>IF(tblInventory[[#This Row],[Status]]="Discontinued","INACTIVE",
IF(tblInventory[[#This Row],[Stock_Quantity]] &lt; tblInventory[[#This Row],[Reorder_Level]],"REORDER","OK"))</f>
        <v>OK</v>
      </c>
      <c r="X244" s="1" t="str">
        <f t="shared" ca="1" si="7"/>
        <v>Expired</v>
      </c>
    </row>
    <row r="245" spans="1:24">
      <c r="A245" s="1">
        <v>244</v>
      </c>
      <c r="B245" s="1" t="s">
        <v>1523</v>
      </c>
      <c r="C245" s="1" t="s">
        <v>570</v>
      </c>
      <c r="D245" s="1" t="s">
        <v>69</v>
      </c>
      <c r="E245" s="1" t="s">
        <v>1524</v>
      </c>
      <c r="F245" s="1" t="s">
        <v>1525</v>
      </c>
      <c r="G245" s="6">
        <v>78</v>
      </c>
      <c r="H245" s="8">
        <f>tblInventory[[#This Row],[Stock_Quantity]] * tblInventory[[#This Row],[Unit_Price]]</f>
        <v>702</v>
      </c>
      <c r="I245" s="1">
        <v>24</v>
      </c>
      <c r="J245" s="1">
        <v>31</v>
      </c>
      <c r="K245" s="8">
        <f>tblInventory[[#This Row],[Reorder_Quantity]]*M245</f>
        <v>279</v>
      </c>
      <c r="L245" s="10">
        <f>tblInventory[[#This Row],[Stock_Quantity]] / tblInventory[[#This Row],[Reorder_Quantity]]</f>
        <v>2.5161290322580645</v>
      </c>
      <c r="M245" s="3">
        <v>9</v>
      </c>
      <c r="N245" s="10">
        <f t="shared" si="6"/>
        <v>1.3242784380305603</v>
      </c>
      <c r="O245" s="2">
        <v>45297</v>
      </c>
      <c r="P245" s="2">
        <v>45357</v>
      </c>
      <c r="Q245" s="2">
        <v>45755</v>
      </c>
      <c r="R245" s="1" t="s">
        <v>1526</v>
      </c>
      <c r="S245" s="1">
        <v>60</v>
      </c>
      <c r="T245" s="1">
        <v>41</v>
      </c>
      <c r="U245" s="1" t="s">
        <v>46</v>
      </c>
      <c r="V245" s="3">
        <f>tblInventory[[#This Row],[Stock_Quantity]]*tblInventory[[#This Row],[Unit_Price]]</f>
        <v>702</v>
      </c>
      <c r="W245" s="1" t="str">
        <f>IF(tblInventory[[#This Row],[Status]]="Discontinued","INACTIVE",
IF(tblInventory[[#This Row],[Stock_Quantity]] &lt; tblInventory[[#This Row],[Reorder_Level]],"REORDER","OK"))</f>
        <v>OK</v>
      </c>
      <c r="X245" s="1" t="str">
        <f t="shared" ca="1" si="7"/>
        <v>Expired</v>
      </c>
    </row>
    <row r="246" spans="1:24">
      <c r="A246" s="1">
        <v>245</v>
      </c>
      <c r="B246" s="1" t="s">
        <v>2018</v>
      </c>
      <c r="C246" s="1" t="s">
        <v>570</v>
      </c>
      <c r="D246" s="1" t="s">
        <v>69</v>
      </c>
      <c r="E246" s="1" t="s">
        <v>2019</v>
      </c>
      <c r="F246" s="1" t="s">
        <v>1138</v>
      </c>
      <c r="G246" s="6">
        <v>88</v>
      </c>
      <c r="H246" s="8">
        <f>tblInventory[[#This Row],[Stock_Quantity]] * tblInventory[[#This Row],[Unit_Price]]</f>
        <v>792</v>
      </c>
      <c r="I246" s="1">
        <v>53</v>
      </c>
      <c r="J246" s="1">
        <v>44</v>
      </c>
      <c r="K246" s="8">
        <f>tblInventory[[#This Row],[Reorder_Quantity]]*M246</f>
        <v>396</v>
      </c>
      <c r="L246" s="10">
        <f>tblInventory[[#This Row],[Stock_Quantity]] / tblInventory[[#This Row],[Reorder_Quantity]]</f>
        <v>2</v>
      </c>
      <c r="M246" s="3">
        <v>9</v>
      </c>
      <c r="N246" s="10">
        <f t="shared" si="6"/>
        <v>1.4940577249575553</v>
      </c>
      <c r="O246" s="2">
        <v>45748</v>
      </c>
      <c r="P246" s="1" t="s">
        <v>855</v>
      </c>
      <c r="Q246" s="2">
        <v>46019</v>
      </c>
      <c r="R246" s="1" t="s">
        <v>2020</v>
      </c>
      <c r="S246" s="1">
        <v>56</v>
      </c>
      <c r="T246" s="1">
        <v>14</v>
      </c>
      <c r="U246" s="1" t="s">
        <v>24</v>
      </c>
      <c r="V246" s="3">
        <f>tblInventory[[#This Row],[Stock_Quantity]]*tblInventory[[#This Row],[Unit_Price]]</f>
        <v>792</v>
      </c>
      <c r="W246" s="1" t="str">
        <f>IF(tblInventory[[#This Row],[Status]]="Discontinued","INACTIVE",
IF(tblInventory[[#This Row],[Stock_Quantity]] &lt; tblInventory[[#This Row],[Reorder_Level]],"REORDER","OK"))</f>
        <v>INACTIVE</v>
      </c>
      <c r="X246" s="1" t="str">
        <f t="shared" ca="1" si="7"/>
        <v>Valid</v>
      </c>
    </row>
    <row r="247" spans="1:24">
      <c r="A247" s="1">
        <v>246</v>
      </c>
      <c r="B247" s="1" t="s">
        <v>2074</v>
      </c>
      <c r="C247" s="1" t="s">
        <v>570</v>
      </c>
      <c r="D247" s="1" t="s">
        <v>69</v>
      </c>
      <c r="E247" s="1" t="s">
        <v>2075</v>
      </c>
      <c r="F247" s="1" t="s">
        <v>1216</v>
      </c>
      <c r="G247" s="6">
        <v>50</v>
      </c>
      <c r="H247" s="8">
        <f>tblInventory[[#This Row],[Stock_Quantity]] * tblInventory[[#This Row],[Unit_Price]]</f>
        <v>459.99999999999994</v>
      </c>
      <c r="I247" s="1">
        <v>14</v>
      </c>
      <c r="J247" s="1">
        <v>6</v>
      </c>
      <c r="K247" s="8">
        <f>tblInventory[[#This Row],[Reorder_Quantity]]*M247</f>
        <v>55.199999999999996</v>
      </c>
      <c r="L247" s="10">
        <f>tblInventory[[#This Row],[Stock_Quantity]] / tblInventory[[#This Row],[Reorder_Quantity]]</f>
        <v>8.3333333333333339</v>
      </c>
      <c r="M247" s="3">
        <v>9.1999999999999993</v>
      </c>
      <c r="N247" s="10">
        <f t="shared" si="6"/>
        <v>0.84889643463497455</v>
      </c>
      <c r="O247" s="2">
        <v>45328</v>
      </c>
      <c r="P247" s="1" t="s">
        <v>1008</v>
      </c>
      <c r="Q247" s="2">
        <v>46037</v>
      </c>
      <c r="R247" s="1" t="s">
        <v>2076</v>
      </c>
      <c r="S247" s="1">
        <v>60</v>
      </c>
      <c r="T247" s="1">
        <v>72</v>
      </c>
      <c r="U247" s="1" t="s">
        <v>38</v>
      </c>
      <c r="V247" s="3">
        <f>tblInventory[[#This Row],[Stock_Quantity]]*tblInventory[[#This Row],[Unit_Price]]</f>
        <v>459.99999999999994</v>
      </c>
      <c r="W247" s="1" t="str">
        <f>IF(tblInventory[[#This Row],[Status]]="Discontinued","INACTIVE",
IF(tblInventory[[#This Row],[Stock_Quantity]] &lt; tblInventory[[#This Row],[Reorder_Level]],"REORDER","OK"))</f>
        <v>OK</v>
      </c>
      <c r="X247" s="1" t="str">
        <f t="shared" ca="1" si="7"/>
        <v>Valid</v>
      </c>
    </row>
    <row r="248" spans="1:24">
      <c r="A248" s="1">
        <v>247</v>
      </c>
      <c r="B248" s="1" t="s">
        <v>2470</v>
      </c>
      <c r="C248" s="1" t="s">
        <v>2471</v>
      </c>
      <c r="D248" s="1" t="s">
        <v>49</v>
      </c>
      <c r="E248" s="1" t="s">
        <v>2472</v>
      </c>
      <c r="F248" s="1" t="s">
        <v>692</v>
      </c>
      <c r="G248" s="6">
        <v>30</v>
      </c>
      <c r="H248" s="8">
        <f>tblInventory[[#This Row],[Stock_Quantity]] * tblInventory[[#This Row],[Unit_Price]]</f>
        <v>240</v>
      </c>
      <c r="I248" s="1">
        <v>25</v>
      </c>
      <c r="J248" s="1">
        <v>11</v>
      </c>
      <c r="K248" s="8">
        <f>tblInventory[[#This Row],[Reorder_Quantity]]*M248</f>
        <v>88</v>
      </c>
      <c r="L248" s="10">
        <f>tblInventory[[#This Row],[Stock_Quantity]] / tblInventory[[#This Row],[Reorder_Quantity]]</f>
        <v>2.7272727272727271</v>
      </c>
      <c r="M248" s="3">
        <v>8</v>
      </c>
      <c r="N248" s="10">
        <f t="shared" si="6"/>
        <v>0.50933786078098475</v>
      </c>
      <c r="O248" s="1" t="s">
        <v>292</v>
      </c>
      <c r="P248" s="2">
        <v>45633</v>
      </c>
      <c r="Q248" s="2">
        <v>46159</v>
      </c>
      <c r="R248" s="1" t="s">
        <v>2473</v>
      </c>
      <c r="S248" s="1">
        <v>42</v>
      </c>
      <c r="T248" s="1">
        <v>76</v>
      </c>
      <c r="U248" s="1" t="s">
        <v>46</v>
      </c>
      <c r="V248" s="3">
        <f>tblInventory[[#This Row],[Stock_Quantity]]*tblInventory[[#This Row],[Unit_Price]]</f>
        <v>240</v>
      </c>
      <c r="W248" s="1" t="str">
        <f>IF(tblInventory[[#This Row],[Status]]="Discontinued","INACTIVE",
IF(tblInventory[[#This Row],[Stock_Quantity]] &lt; tblInventory[[#This Row],[Reorder_Level]],"REORDER","OK"))</f>
        <v>OK</v>
      </c>
      <c r="X248" s="1" t="str">
        <f t="shared" ca="1" si="7"/>
        <v>Valid</v>
      </c>
    </row>
    <row r="249" spans="1:24">
      <c r="A249" s="1">
        <v>248</v>
      </c>
      <c r="B249" s="1" t="s">
        <v>2552</v>
      </c>
      <c r="C249" s="1" t="s">
        <v>2471</v>
      </c>
      <c r="D249" s="1" t="s">
        <v>49</v>
      </c>
      <c r="E249" s="1" t="s">
        <v>2553</v>
      </c>
      <c r="F249" s="1" t="s">
        <v>1517</v>
      </c>
      <c r="G249" s="6">
        <v>57</v>
      </c>
      <c r="H249" s="8">
        <f>tblInventory[[#This Row],[Stock_Quantity]] * tblInventory[[#This Row],[Unit_Price]]</f>
        <v>456</v>
      </c>
      <c r="I249" s="1">
        <v>82</v>
      </c>
      <c r="J249" s="1">
        <v>59</v>
      </c>
      <c r="K249" s="8">
        <f>tblInventory[[#This Row],[Reorder_Quantity]]*M249</f>
        <v>472</v>
      </c>
      <c r="L249" s="10">
        <f>tblInventory[[#This Row],[Stock_Quantity]] / tblInventory[[#This Row],[Reorder_Quantity]]</f>
        <v>0.96610169491525422</v>
      </c>
      <c r="M249" s="3">
        <v>8</v>
      </c>
      <c r="N249" s="10">
        <f t="shared" si="6"/>
        <v>0.967741935483871</v>
      </c>
      <c r="O249" s="2">
        <v>45574</v>
      </c>
      <c r="P249" s="1" t="s">
        <v>444</v>
      </c>
      <c r="Q249" s="2">
        <v>46301</v>
      </c>
      <c r="R249" s="1" t="s">
        <v>2554</v>
      </c>
      <c r="S249" s="1">
        <v>44</v>
      </c>
      <c r="T249" s="1">
        <v>57</v>
      </c>
      <c r="U249" s="1" t="s">
        <v>46</v>
      </c>
      <c r="V249" s="3">
        <f>tblInventory[[#This Row],[Stock_Quantity]]*tblInventory[[#This Row],[Unit_Price]]</f>
        <v>456</v>
      </c>
      <c r="W249" s="1" t="str">
        <f>IF(tblInventory[[#This Row],[Status]]="Discontinued","INACTIVE",
IF(tblInventory[[#This Row],[Stock_Quantity]] &lt; tblInventory[[#This Row],[Reorder_Level]],"REORDER","OK"))</f>
        <v>REORDER</v>
      </c>
      <c r="X249" s="1" t="str">
        <f t="shared" ca="1" si="7"/>
        <v>Valid</v>
      </c>
    </row>
    <row r="250" spans="1:24">
      <c r="A250" s="1">
        <v>249</v>
      </c>
      <c r="B250" s="1" t="s">
        <v>3274</v>
      </c>
      <c r="C250" s="1" t="s">
        <v>2471</v>
      </c>
      <c r="D250" s="1" t="s">
        <v>49</v>
      </c>
      <c r="E250" s="1" t="s">
        <v>3275</v>
      </c>
      <c r="F250" s="1" t="s">
        <v>108</v>
      </c>
      <c r="G250" s="6">
        <v>29</v>
      </c>
      <c r="H250" s="8">
        <f>tblInventory[[#This Row],[Stock_Quantity]] * tblInventory[[#This Row],[Unit_Price]]</f>
        <v>232</v>
      </c>
      <c r="I250" s="1">
        <v>66</v>
      </c>
      <c r="J250" s="1">
        <v>21</v>
      </c>
      <c r="K250" s="8">
        <f>tblInventory[[#This Row],[Reorder_Quantity]]*M250</f>
        <v>168</v>
      </c>
      <c r="L250" s="10">
        <f>tblInventory[[#This Row],[Stock_Quantity]] / tblInventory[[#This Row],[Reorder_Quantity]]</f>
        <v>1.3809523809523809</v>
      </c>
      <c r="M250" s="3">
        <v>8</v>
      </c>
      <c r="N250" s="10">
        <f t="shared" si="6"/>
        <v>0.49235993208828527</v>
      </c>
      <c r="O250" s="1" t="s">
        <v>620</v>
      </c>
      <c r="P250" s="2">
        <v>45603</v>
      </c>
      <c r="Q250" s="2">
        <v>46410</v>
      </c>
      <c r="R250" s="1" t="s">
        <v>3276</v>
      </c>
      <c r="S250" s="1">
        <v>74</v>
      </c>
      <c r="T250" s="1">
        <v>93</v>
      </c>
      <c r="U250" s="1" t="s">
        <v>24</v>
      </c>
      <c r="V250" s="3">
        <f>tblInventory[[#This Row],[Stock_Quantity]]*tblInventory[[#This Row],[Unit_Price]]</f>
        <v>232</v>
      </c>
      <c r="W250" s="1" t="str">
        <f>IF(tblInventory[[#This Row],[Status]]="Discontinued","INACTIVE",
IF(tblInventory[[#This Row],[Stock_Quantity]] &lt; tblInventory[[#This Row],[Reorder_Level]],"REORDER","OK"))</f>
        <v>INACTIVE</v>
      </c>
      <c r="X250" s="1" t="str">
        <f t="shared" ca="1" si="7"/>
        <v>Valid</v>
      </c>
    </row>
    <row r="251" spans="1:24">
      <c r="A251" s="1">
        <v>250</v>
      </c>
      <c r="B251" s="1" t="s">
        <v>3302</v>
      </c>
      <c r="C251" s="1" t="s">
        <v>2471</v>
      </c>
      <c r="D251" s="1" t="s">
        <v>49</v>
      </c>
      <c r="E251" s="1" t="s">
        <v>3303</v>
      </c>
      <c r="F251" s="1" t="s">
        <v>163</v>
      </c>
      <c r="G251" s="6">
        <v>43</v>
      </c>
      <c r="H251" s="8">
        <f>tblInventory[[#This Row],[Stock_Quantity]] * tblInventory[[#This Row],[Unit_Price]]</f>
        <v>344</v>
      </c>
      <c r="I251" s="1">
        <v>41</v>
      </c>
      <c r="J251" s="1">
        <v>100</v>
      </c>
      <c r="K251" s="8">
        <f>tblInventory[[#This Row],[Reorder_Quantity]]*M251</f>
        <v>800</v>
      </c>
      <c r="L251" s="10">
        <f>tblInventory[[#This Row],[Stock_Quantity]] / tblInventory[[#This Row],[Reorder_Quantity]]</f>
        <v>0.43</v>
      </c>
      <c r="M251" s="3">
        <v>8</v>
      </c>
      <c r="N251" s="10">
        <f t="shared" si="6"/>
        <v>0.7300509337860781</v>
      </c>
      <c r="O251" s="1" t="s">
        <v>653</v>
      </c>
      <c r="P251" s="2">
        <v>45508</v>
      </c>
      <c r="Q251" s="2">
        <v>46389</v>
      </c>
      <c r="R251" s="1" t="s">
        <v>3304</v>
      </c>
      <c r="S251" s="1">
        <v>27</v>
      </c>
      <c r="T251" s="1">
        <v>78</v>
      </c>
      <c r="U251" s="1" t="s">
        <v>46</v>
      </c>
      <c r="V251" s="3">
        <f>tblInventory[[#This Row],[Stock_Quantity]]*tblInventory[[#This Row],[Unit_Price]]</f>
        <v>344</v>
      </c>
      <c r="W251" s="1" t="str">
        <f>IF(tblInventory[[#This Row],[Status]]="Discontinued","INACTIVE",
IF(tblInventory[[#This Row],[Stock_Quantity]] &lt; tblInventory[[#This Row],[Reorder_Level]],"REORDER","OK"))</f>
        <v>OK</v>
      </c>
      <c r="X251" s="1" t="str">
        <f t="shared" ca="1" si="7"/>
        <v>Valid</v>
      </c>
    </row>
    <row r="252" spans="1:24">
      <c r="A252" s="1">
        <v>251</v>
      </c>
      <c r="B252" s="1" t="s">
        <v>562</v>
      </c>
      <c r="C252" s="1" t="s">
        <v>563</v>
      </c>
      <c r="D252" s="1" t="s">
        <v>100</v>
      </c>
      <c r="E252" s="1" t="s">
        <v>564</v>
      </c>
      <c r="F252" s="1" t="s">
        <v>565</v>
      </c>
      <c r="G252" s="6">
        <v>75</v>
      </c>
      <c r="H252" s="8">
        <f>tblInventory[[#This Row],[Stock_Quantity]] * tblInventory[[#This Row],[Unit_Price]]</f>
        <v>375</v>
      </c>
      <c r="I252" s="1">
        <v>81</v>
      </c>
      <c r="J252" s="1">
        <v>17</v>
      </c>
      <c r="K252" s="8">
        <f>tblInventory[[#This Row],[Reorder_Quantity]]*M252</f>
        <v>85</v>
      </c>
      <c r="L252" s="10">
        <f>tblInventory[[#This Row],[Stock_Quantity]] / tblInventory[[#This Row],[Reorder_Quantity]]</f>
        <v>4.4117647058823533</v>
      </c>
      <c r="M252" s="3">
        <v>5</v>
      </c>
      <c r="N252" s="10">
        <f t="shared" si="6"/>
        <v>1.2733446519524618</v>
      </c>
      <c r="O252" s="2">
        <v>45542</v>
      </c>
      <c r="P252" s="1" t="s">
        <v>566</v>
      </c>
      <c r="Q252" s="2">
        <v>45645</v>
      </c>
      <c r="R252" s="1" t="s">
        <v>568</v>
      </c>
      <c r="S252" s="1">
        <v>69</v>
      </c>
      <c r="T252" s="1">
        <v>38</v>
      </c>
      <c r="U252" s="1" t="s">
        <v>46</v>
      </c>
      <c r="V252" s="3">
        <f>tblInventory[[#This Row],[Stock_Quantity]]*tblInventory[[#This Row],[Unit_Price]]</f>
        <v>375</v>
      </c>
      <c r="W252" s="1" t="str">
        <f>IF(tblInventory[[#This Row],[Status]]="Discontinued","INACTIVE",
IF(tblInventory[[#This Row],[Stock_Quantity]] &lt; tblInventory[[#This Row],[Reorder_Level]],"REORDER","OK"))</f>
        <v>REORDER</v>
      </c>
      <c r="X252" s="1" t="str">
        <f t="shared" ca="1" si="7"/>
        <v>Expired</v>
      </c>
    </row>
    <row r="253" spans="1:24">
      <c r="A253" s="1">
        <v>252</v>
      </c>
      <c r="B253" s="1" t="s">
        <v>1028</v>
      </c>
      <c r="C253" s="1" t="s">
        <v>563</v>
      </c>
      <c r="D253" s="1" t="s">
        <v>100</v>
      </c>
      <c r="E253" s="1" t="s">
        <v>1029</v>
      </c>
      <c r="F253" s="1" t="s">
        <v>1030</v>
      </c>
      <c r="G253" s="6">
        <v>11</v>
      </c>
      <c r="H253" s="8">
        <f>tblInventory[[#This Row],[Stock_Quantity]] * tblInventory[[#This Row],[Unit_Price]]</f>
        <v>55</v>
      </c>
      <c r="I253" s="1">
        <v>6</v>
      </c>
      <c r="J253" s="1">
        <v>100</v>
      </c>
      <c r="K253" s="8">
        <f>tblInventory[[#This Row],[Reorder_Quantity]]*M253</f>
        <v>500</v>
      </c>
      <c r="L253" s="10">
        <f>tblInventory[[#This Row],[Stock_Quantity]] / tblInventory[[#This Row],[Reorder_Quantity]]</f>
        <v>0.11</v>
      </c>
      <c r="M253" s="3">
        <v>5</v>
      </c>
      <c r="N253" s="10">
        <f t="shared" si="6"/>
        <v>0.18675721561969441</v>
      </c>
      <c r="O253" s="2">
        <v>45415</v>
      </c>
      <c r="P253" s="1" t="s">
        <v>1031</v>
      </c>
      <c r="Q253" s="2">
        <v>45747</v>
      </c>
      <c r="R253" s="1" t="s">
        <v>1032</v>
      </c>
      <c r="S253" s="1">
        <v>88</v>
      </c>
      <c r="T253" s="1">
        <v>24</v>
      </c>
      <c r="U253" s="1" t="s">
        <v>24</v>
      </c>
      <c r="V253" s="3">
        <f>tblInventory[[#This Row],[Stock_Quantity]]*tblInventory[[#This Row],[Unit_Price]]</f>
        <v>55</v>
      </c>
      <c r="W253" s="1" t="str">
        <f>IF(tblInventory[[#This Row],[Status]]="Discontinued","INACTIVE",
IF(tblInventory[[#This Row],[Stock_Quantity]] &lt; tblInventory[[#This Row],[Reorder_Level]],"REORDER","OK"))</f>
        <v>INACTIVE</v>
      </c>
      <c r="X253" s="1" t="str">
        <f t="shared" ca="1" si="7"/>
        <v>Expired</v>
      </c>
    </row>
    <row r="254" spans="1:24">
      <c r="A254" s="1">
        <v>253</v>
      </c>
      <c r="B254" s="1" t="s">
        <v>1219</v>
      </c>
      <c r="C254" s="1" t="s">
        <v>563</v>
      </c>
      <c r="D254" s="1" t="s">
        <v>100</v>
      </c>
      <c r="E254" s="1" t="s">
        <v>1220</v>
      </c>
      <c r="F254" s="1" t="s">
        <v>1221</v>
      </c>
      <c r="G254" s="6">
        <v>96</v>
      </c>
      <c r="H254" s="8">
        <f>tblInventory[[#This Row],[Stock_Quantity]] * tblInventory[[#This Row],[Unit_Price]]</f>
        <v>480</v>
      </c>
      <c r="I254" s="1">
        <v>16</v>
      </c>
      <c r="J254" s="1">
        <v>48</v>
      </c>
      <c r="K254" s="8">
        <f>tblInventory[[#This Row],[Reorder_Quantity]]*M254</f>
        <v>240</v>
      </c>
      <c r="L254" s="10">
        <f>tblInventory[[#This Row],[Stock_Quantity]] / tblInventory[[#This Row],[Reorder_Quantity]]</f>
        <v>2</v>
      </c>
      <c r="M254" s="3">
        <v>5</v>
      </c>
      <c r="N254" s="10">
        <f t="shared" si="6"/>
        <v>1.6298811544991512</v>
      </c>
      <c r="O254" s="2">
        <v>45393</v>
      </c>
      <c r="P254" s="2">
        <v>45386</v>
      </c>
      <c r="Q254" s="2">
        <v>45794</v>
      </c>
      <c r="R254" s="1" t="s">
        <v>1222</v>
      </c>
      <c r="S254" s="1">
        <v>45</v>
      </c>
      <c r="T254" s="1">
        <v>68</v>
      </c>
      <c r="U254" s="1" t="s">
        <v>46</v>
      </c>
      <c r="V254" s="3">
        <f>tblInventory[[#This Row],[Stock_Quantity]]*tblInventory[[#This Row],[Unit_Price]]</f>
        <v>480</v>
      </c>
      <c r="W254" s="1" t="str">
        <f>IF(tblInventory[[#This Row],[Status]]="Discontinued","INACTIVE",
IF(tblInventory[[#This Row],[Stock_Quantity]] &lt; tblInventory[[#This Row],[Reorder_Level]],"REORDER","OK"))</f>
        <v>OK</v>
      </c>
      <c r="X254" s="1" t="str">
        <f t="shared" ca="1" si="7"/>
        <v>Expired</v>
      </c>
    </row>
    <row r="255" spans="1:24">
      <c r="A255" s="1">
        <v>254</v>
      </c>
      <c r="B255" s="1" t="s">
        <v>1991</v>
      </c>
      <c r="C255" s="1" t="s">
        <v>563</v>
      </c>
      <c r="D255" s="1" t="s">
        <v>100</v>
      </c>
      <c r="E255" s="1" t="s">
        <v>1992</v>
      </c>
      <c r="F255" s="1" t="s">
        <v>1129</v>
      </c>
      <c r="G255" s="6">
        <v>100</v>
      </c>
      <c r="H255" s="8">
        <f>tblInventory[[#This Row],[Stock_Quantity]] * tblInventory[[#This Row],[Unit_Price]]</f>
        <v>500</v>
      </c>
      <c r="I255" s="1">
        <v>1</v>
      </c>
      <c r="J255" s="1">
        <v>26</v>
      </c>
      <c r="K255" s="8">
        <f>tblInventory[[#This Row],[Reorder_Quantity]]*M255</f>
        <v>130</v>
      </c>
      <c r="L255" s="10">
        <f>tblInventory[[#This Row],[Stock_Quantity]] / tblInventory[[#This Row],[Reorder_Quantity]]</f>
        <v>3.8461538461538463</v>
      </c>
      <c r="M255" s="3">
        <v>5</v>
      </c>
      <c r="N255" s="10">
        <f t="shared" si="6"/>
        <v>1.6977928692699491</v>
      </c>
      <c r="O255" s="2">
        <v>45330</v>
      </c>
      <c r="P255" s="1" t="s">
        <v>519</v>
      </c>
      <c r="Q255" s="2">
        <v>46011</v>
      </c>
      <c r="R255" s="1" t="s">
        <v>1993</v>
      </c>
      <c r="S255" s="1">
        <v>47</v>
      </c>
      <c r="T255" s="1">
        <v>79</v>
      </c>
      <c r="U255" s="1" t="s">
        <v>46</v>
      </c>
      <c r="V255" s="3">
        <f>tblInventory[[#This Row],[Stock_Quantity]]*tblInventory[[#This Row],[Unit_Price]]</f>
        <v>500</v>
      </c>
      <c r="W255" s="1" t="str">
        <f>IF(tblInventory[[#This Row],[Status]]="Discontinued","INACTIVE",
IF(tblInventory[[#This Row],[Stock_Quantity]] &lt; tblInventory[[#This Row],[Reorder_Level]],"REORDER","OK"))</f>
        <v>OK</v>
      </c>
      <c r="X255" s="1" t="str">
        <f t="shared" ca="1" si="7"/>
        <v>Valid</v>
      </c>
    </row>
    <row r="256" spans="1:24">
      <c r="A256" s="1">
        <v>255</v>
      </c>
      <c r="B256" s="1" t="s">
        <v>2317</v>
      </c>
      <c r="C256" s="1" t="s">
        <v>563</v>
      </c>
      <c r="D256" s="1" t="s">
        <v>100</v>
      </c>
      <c r="E256" s="1" t="s">
        <v>2318</v>
      </c>
      <c r="F256" s="1" t="s">
        <v>534</v>
      </c>
      <c r="G256" s="6">
        <v>37</v>
      </c>
      <c r="H256" s="8">
        <f>tblInventory[[#This Row],[Stock_Quantity]] * tblInventory[[#This Row],[Unit_Price]]</f>
        <v>185</v>
      </c>
      <c r="I256" s="1">
        <v>96</v>
      </c>
      <c r="J256" s="1">
        <v>82</v>
      </c>
      <c r="K256" s="8">
        <f>tblInventory[[#This Row],[Reorder_Quantity]]*M256</f>
        <v>410</v>
      </c>
      <c r="L256" s="10">
        <f>tblInventory[[#This Row],[Stock_Quantity]] / tblInventory[[#This Row],[Reorder_Quantity]]</f>
        <v>0.45121951219512196</v>
      </c>
      <c r="M256" s="3">
        <v>5</v>
      </c>
      <c r="N256" s="10">
        <f t="shared" si="6"/>
        <v>0.6281833616298812</v>
      </c>
      <c r="O256" s="2">
        <v>45453</v>
      </c>
      <c r="P256" s="1" t="s">
        <v>1162</v>
      </c>
      <c r="Q256" s="2">
        <v>46112</v>
      </c>
      <c r="R256" s="1" t="s">
        <v>2319</v>
      </c>
      <c r="S256" s="1">
        <v>35</v>
      </c>
      <c r="T256" s="1">
        <v>23</v>
      </c>
      <c r="U256" s="1" t="s">
        <v>38</v>
      </c>
      <c r="V256" s="3">
        <f>tblInventory[[#This Row],[Stock_Quantity]]*tblInventory[[#This Row],[Unit_Price]]</f>
        <v>185</v>
      </c>
      <c r="W256" s="1" t="str">
        <f>IF(tblInventory[[#This Row],[Status]]="Discontinued","INACTIVE",
IF(tblInventory[[#This Row],[Stock_Quantity]] &lt; tblInventory[[#This Row],[Reorder_Level]],"REORDER","OK"))</f>
        <v>REORDER</v>
      </c>
      <c r="X256" s="1" t="str">
        <f t="shared" ca="1" si="7"/>
        <v>Valid</v>
      </c>
    </row>
    <row r="257" spans="1:24">
      <c r="A257" s="1">
        <v>256</v>
      </c>
      <c r="B257" s="1" t="s">
        <v>2373</v>
      </c>
      <c r="C257" s="1" t="s">
        <v>563</v>
      </c>
      <c r="D257" s="1" t="s">
        <v>100</v>
      </c>
      <c r="E257" s="1" t="s">
        <v>2374</v>
      </c>
      <c r="F257" s="1" t="s">
        <v>171</v>
      </c>
      <c r="G257" s="6">
        <v>68</v>
      </c>
      <c r="H257" s="8">
        <f>tblInventory[[#This Row],[Stock_Quantity]] * tblInventory[[#This Row],[Unit_Price]]</f>
        <v>340</v>
      </c>
      <c r="I257" s="1">
        <v>29</v>
      </c>
      <c r="J257" s="1">
        <v>100</v>
      </c>
      <c r="K257" s="8">
        <f>tblInventory[[#This Row],[Reorder_Quantity]]*M257</f>
        <v>500</v>
      </c>
      <c r="L257" s="10">
        <f>tblInventory[[#This Row],[Stock_Quantity]] / tblInventory[[#This Row],[Reorder_Quantity]]</f>
        <v>0.68</v>
      </c>
      <c r="M257" s="3">
        <v>5</v>
      </c>
      <c r="N257" s="10">
        <f t="shared" si="6"/>
        <v>1.1544991511035654</v>
      </c>
      <c r="O257" s="1" t="s">
        <v>382</v>
      </c>
      <c r="P257" s="1" t="s">
        <v>1293</v>
      </c>
      <c r="Q257" s="2">
        <v>46129</v>
      </c>
      <c r="R257" s="1" t="s">
        <v>2375</v>
      </c>
      <c r="S257" s="1">
        <v>70</v>
      </c>
      <c r="T257" s="1">
        <v>26</v>
      </c>
      <c r="U257" s="1" t="s">
        <v>38</v>
      </c>
      <c r="V257" s="3">
        <f>tblInventory[[#This Row],[Stock_Quantity]]*tblInventory[[#This Row],[Unit_Price]]</f>
        <v>340</v>
      </c>
      <c r="W257" s="1" t="str">
        <f>IF(tblInventory[[#This Row],[Status]]="Discontinued","INACTIVE",
IF(tblInventory[[#This Row],[Stock_Quantity]] &lt; tblInventory[[#This Row],[Reorder_Level]],"REORDER","OK"))</f>
        <v>OK</v>
      </c>
      <c r="X257" s="1" t="str">
        <f t="shared" ca="1" si="7"/>
        <v>Valid</v>
      </c>
    </row>
    <row r="258" spans="1:24">
      <c r="A258" s="1">
        <v>257</v>
      </c>
      <c r="B258" s="1" t="s">
        <v>2937</v>
      </c>
      <c r="C258" s="1" t="s">
        <v>563</v>
      </c>
      <c r="D258" s="1" t="s">
        <v>100</v>
      </c>
      <c r="E258" s="1" t="s">
        <v>2938</v>
      </c>
      <c r="F258" s="1" t="s">
        <v>1986</v>
      </c>
      <c r="G258" s="6">
        <v>99</v>
      </c>
      <c r="H258" s="8">
        <f>tblInventory[[#This Row],[Stock_Quantity]] * tblInventory[[#This Row],[Unit_Price]]</f>
        <v>495</v>
      </c>
      <c r="I258" s="1">
        <v>3</v>
      </c>
      <c r="J258" s="1">
        <v>79</v>
      </c>
      <c r="K258" s="8">
        <f>tblInventory[[#This Row],[Reorder_Quantity]]*M258</f>
        <v>395</v>
      </c>
      <c r="L258" s="10">
        <f>tblInventory[[#This Row],[Stock_Quantity]] / tblInventory[[#This Row],[Reorder_Quantity]]</f>
        <v>1.2531645569620253</v>
      </c>
      <c r="M258" s="3">
        <v>5</v>
      </c>
      <c r="N258" s="10">
        <f t="shared" ref="N258:N321" si="8">G258 / 58.9</f>
        <v>1.6808149405772497</v>
      </c>
      <c r="O258" s="2">
        <v>45418</v>
      </c>
      <c r="P258" s="1" t="s">
        <v>438</v>
      </c>
      <c r="Q258" s="2">
        <v>46183</v>
      </c>
      <c r="R258" s="1" t="s">
        <v>2939</v>
      </c>
      <c r="S258" s="1">
        <v>65</v>
      </c>
      <c r="T258" s="1">
        <v>16</v>
      </c>
      <c r="U258" s="1" t="s">
        <v>38</v>
      </c>
      <c r="V258" s="3">
        <f>tblInventory[[#This Row],[Stock_Quantity]]*tblInventory[[#This Row],[Unit_Price]]</f>
        <v>495</v>
      </c>
      <c r="W258" s="1" t="str">
        <f>IF(tblInventory[[#This Row],[Status]]="Discontinued","INACTIVE",
IF(tblInventory[[#This Row],[Stock_Quantity]] &lt; tblInventory[[#This Row],[Reorder_Level]],"REORDER","OK"))</f>
        <v>OK</v>
      </c>
      <c r="X258" s="1" t="str">
        <f t="shared" ref="X258:X321" ca="1" si="9">IF(Q258&lt;TODAY(),"Expired","Valid")</f>
        <v>Valid</v>
      </c>
    </row>
    <row r="259" spans="1:24">
      <c r="A259" s="1">
        <v>258</v>
      </c>
      <c r="B259" s="1" t="s">
        <v>3253</v>
      </c>
      <c r="C259" s="1" t="s">
        <v>563</v>
      </c>
      <c r="D259" s="1" t="s">
        <v>100</v>
      </c>
      <c r="E259" s="1" t="s">
        <v>3254</v>
      </c>
      <c r="F259" s="1" t="s">
        <v>1662</v>
      </c>
      <c r="G259" s="6">
        <v>23</v>
      </c>
      <c r="H259" s="8">
        <f>tblInventory[[#This Row],[Stock_Quantity]] * tblInventory[[#This Row],[Unit_Price]]</f>
        <v>115</v>
      </c>
      <c r="I259" s="1">
        <v>76</v>
      </c>
      <c r="J259" s="1">
        <v>70</v>
      </c>
      <c r="K259" s="8">
        <f>tblInventory[[#This Row],[Reorder_Quantity]]*M259</f>
        <v>350</v>
      </c>
      <c r="L259" s="10">
        <f>tblInventory[[#This Row],[Stock_Quantity]] / tblInventory[[#This Row],[Reorder_Quantity]]</f>
        <v>0.32857142857142857</v>
      </c>
      <c r="M259" s="3">
        <v>5</v>
      </c>
      <c r="N259" s="10">
        <f t="shared" si="8"/>
        <v>0.39049235993208831</v>
      </c>
      <c r="O259" s="2">
        <v>45839</v>
      </c>
      <c r="P259" s="1" t="s">
        <v>22</v>
      </c>
      <c r="Q259" s="2">
        <v>46403</v>
      </c>
      <c r="R259" s="1" t="s">
        <v>3255</v>
      </c>
      <c r="S259" s="1">
        <v>97</v>
      </c>
      <c r="T259" s="1">
        <v>38</v>
      </c>
      <c r="U259" s="1" t="s">
        <v>38</v>
      </c>
      <c r="V259" s="3">
        <f>tblInventory[[#This Row],[Stock_Quantity]]*tblInventory[[#This Row],[Unit_Price]]</f>
        <v>115</v>
      </c>
      <c r="W259" s="1" t="str">
        <f>IF(tblInventory[[#This Row],[Status]]="Discontinued","INACTIVE",
IF(tblInventory[[#This Row],[Stock_Quantity]] &lt; tblInventory[[#This Row],[Reorder_Level]],"REORDER","OK"))</f>
        <v>REORDER</v>
      </c>
      <c r="X259" s="1" t="str">
        <f t="shared" ca="1" si="9"/>
        <v>Valid</v>
      </c>
    </row>
    <row r="260" spans="1:24">
      <c r="A260" s="1">
        <v>259</v>
      </c>
      <c r="B260" s="1" t="s">
        <v>3478</v>
      </c>
      <c r="C260" s="1" t="s">
        <v>563</v>
      </c>
      <c r="D260" s="1" t="s">
        <v>100</v>
      </c>
      <c r="E260" s="1" t="s">
        <v>3479</v>
      </c>
      <c r="F260" s="1" t="s">
        <v>3480</v>
      </c>
      <c r="G260" s="6">
        <v>53</v>
      </c>
      <c r="H260" s="8">
        <f>tblInventory[[#This Row],[Stock_Quantity]] * tblInventory[[#This Row],[Unit_Price]]</f>
        <v>265</v>
      </c>
      <c r="I260" s="1">
        <v>19</v>
      </c>
      <c r="J260" s="1">
        <v>94</v>
      </c>
      <c r="K260" s="8">
        <f>tblInventory[[#This Row],[Reorder_Quantity]]*M260</f>
        <v>470</v>
      </c>
      <c r="L260" s="10">
        <f>tblInventory[[#This Row],[Stock_Quantity]] / tblInventory[[#This Row],[Reorder_Quantity]]</f>
        <v>0.56382978723404253</v>
      </c>
      <c r="M260" s="3">
        <v>5</v>
      </c>
      <c r="N260" s="10">
        <f t="shared" si="8"/>
        <v>0.89983022071307306</v>
      </c>
      <c r="O260" s="1" t="s">
        <v>1154</v>
      </c>
      <c r="P260" s="2">
        <v>45637</v>
      </c>
      <c r="Q260" s="2">
        <v>46476</v>
      </c>
      <c r="R260" s="1" t="s">
        <v>3481</v>
      </c>
      <c r="S260" s="1">
        <v>82</v>
      </c>
      <c r="T260" s="1">
        <v>56</v>
      </c>
      <c r="U260" s="1" t="s">
        <v>24</v>
      </c>
      <c r="V260" s="3">
        <f>tblInventory[[#This Row],[Stock_Quantity]]*tblInventory[[#This Row],[Unit_Price]]</f>
        <v>265</v>
      </c>
      <c r="W260" s="1" t="str">
        <f>IF(tblInventory[[#This Row],[Status]]="Discontinued","INACTIVE",
IF(tblInventory[[#This Row],[Stock_Quantity]] &lt; tblInventory[[#This Row],[Reorder_Level]],"REORDER","OK"))</f>
        <v>INACTIVE</v>
      </c>
      <c r="X260" s="1" t="str">
        <f t="shared" ca="1" si="9"/>
        <v>Valid</v>
      </c>
    </row>
    <row r="261" spans="1:24">
      <c r="A261" s="1">
        <v>260</v>
      </c>
      <c r="B261" s="1" t="s">
        <v>662</v>
      </c>
      <c r="C261" s="1" t="s">
        <v>663</v>
      </c>
      <c r="D261" s="1" t="s">
        <v>49</v>
      </c>
      <c r="E261" s="1" t="s">
        <v>664</v>
      </c>
      <c r="F261" s="1" t="s">
        <v>183</v>
      </c>
      <c r="G261" s="6">
        <v>89</v>
      </c>
      <c r="H261" s="8">
        <f>tblInventory[[#This Row],[Stock_Quantity]] * tblInventory[[#This Row],[Unit_Price]]</f>
        <v>445</v>
      </c>
      <c r="I261" s="1">
        <v>57</v>
      </c>
      <c r="J261" s="1">
        <v>92</v>
      </c>
      <c r="K261" s="8">
        <f>tblInventory[[#This Row],[Reorder_Quantity]]*M261</f>
        <v>460</v>
      </c>
      <c r="L261" s="10">
        <f>tblInventory[[#This Row],[Stock_Quantity]] / tblInventory[[#This Row],[Reorder_Quantity]]</f>
        <v>0.96739130434782605</v>
      </c>
      <c r="M261" s="3">
        <v>5</v>
      </c>
      <c r="N261" s="10">
        <f t="shared" si="8"/>
        <v>1.5110356536502547</v>
      </c>
      <c r="O261" s="1" t="s">
        <v>665</v>
      </c>
      <c r="P261" s="1" t="s">
        <v>116</v>
      </c>
      <c r="Q261" s="2">
        <v>45870</v>
      </c>
      <c r="R261" s="1" t="s">
        <v>667</v>
      </c>
      <c r="S261" s="1">
        <v>38</v>
      </c>
      <c r="T261" s="1">
        <v>16</v>
      </c>
      <c r="U261" s="1" t="s">
        <v>46</v>
      </c>
      <c r="V261" s="3">
        <f>tblInventory[[#This Row],[Stock_Quantity]]*tblInventory[[#This Row],[Unit_Price]]</f>
        <v>445</v>
      </c>
      <c r="W261" s="1" t="str">
        <f>IF(tblInventory[[#This Row],[Status]]="Discontinued","INACTIVE",
IF(tblInventory[[#This Row],[Stock_Quantity]] &lt; tblInventory[[#This Row],[Reorder_Level]],"REORDER","OK"))</f>
        <v>OK</v>
      </c>
      <c r="X261" s="1" t="str">
        <f t="shared" ca="1" si="9"/>
        <v>Expired</v>
      </c>
    </row>
    <row r="262" spans="1:24">
      <c r="A262" s="1">
        <v>261</v>
      </c>
      <c r="B262" s="1" t="s">
        <v>884</v>
      </c>
      <c r="C262" s="1" t="s">
        <v>663</v>
      </c>
      <c r="D262" s="1" t="s">
        <v>49</v>
      </c>
      <c r="E262" s="1" t="s">
        <v>885</v>
      </c>
      <c r="F262" s="1" t="s">
        <v>886</v>
      </c>
      <c r="G262" s="6">
        <v>99</v>
      </c>
      <c r="H262" s="8">
        <f>tblInventory[[#This Row],[Stock_Quantity]] * tblInventory[[#This Row],[Unit_Price]]</f>
        <v>495</v>
      </c>
      <c r="I262" s="1">
        <v>8</v>
      </c>
      <c r="J262" s="1">
        <v>27</v>
      </c>
      <c r="K262" s="8">
        <f>tblInventory[[#This Row],[Reorder_Quantity]]*M262</f>
        <v>135</v>
      </c>
      <c r="L262" s="10">
        <f>tblInventory[[#This Row],[Stock_Quantity]] / tblInventory[[#This Row],[Reorder_Quantity]]</f>
        <v>3.6666666666666665</v>
      </c>
      <c r="M262" s="3">
        <v>5</v>
      </c>
      <c r="N262" s="10">
        <f t="shared" si="8"/>
        <v>1.6808149405772497</v>
      </c>
      <c r="O262" s="1" t="s">
        <v>204</v>
      </c>
      <c r="P262" s="1" t="s">
        <v>824</v>
      </c>
      <c r="Q262" s="2">
        <v>45713</v>
      </c>
      <c r="R262" s="1" t="s">
        <v>887</v>
      </c>
      <c r="S262" s="1">
        <v>41</v>
      </c>
      <c r="T262" s="1">
        <v>50</v>
      </c>
      <c r="U262" s="1" t="s">
        <v>24</v>
      </c>
      <c r="V262" s="3">
        <f>tblInventory[[#This Row],[Stock_Quantity]]*tblInventory[[#This Row],[Unit_Price]]</f>
        <v>495</v>
      </c>
      <c r="W262" s="1" t="str">
        <f>IF(tblInventory[[#This Row],[Status]]="Discontinued","INACTIVE",
IF(tblInventory[[#This Row],[Stock_Quantity]] &lt; tblInventory[[#This Row],[Reorder_Level]],"REORDER","OK"))</f>
        <v>INACTIVE</v>
      </c>
      <c r="X262" s="1" t="str">
        <f t="shared" ca="1" si="9"/>
        <v>Expired</v>
      </c>
    </row>
    <row r="263" spans="1:24">
      <c r="A263" s="1">
        <v>262</v>
      </c>
      <c r="B263" s="1" t="s">
        <v>1263</v>
      </c>
      <c r="C263" s="1" t="s">
        <v>663</v>
      </c>
      <c r="D263" s="1" t="s">
        <v>49</v>
      </c>
      <c r="E263" s="1" t="s">
        <v>1264</v>
      </c>
      <c r="F263" s="1" t="s">
        <v>1265</v>
      </c>
      <c r="G263" s="6">
        <v>19</v>
      </c>
      <c r="H263" s="8">
        <f>tblInventory[[#This Row],[Stock_Quantity]] * tblInventory[[#This Row],[Unit_Price]]</f>
        <v>95</v>
      </c>
      <c r="I263" s="1">
        <v>47</v>
      </c>
      <c r="J263" s="1">
        <v>25</v>
      </c>
      <c r="K263" s="8">
        <f>tblInventory[[#This Row],[Reorder_Quantity]]*M263</f>
        <v>125</v>
      </c>
      <c r="L263" s="10">
        <f>tblInventory[[#This Row],[Stock_Quantity]] / tblInventory[[#This Row],[Reorder_Quantity]]</f>
        <v>0.76</v>
      </c>
      <c r="M263" s="3">
        <v>5</v>
      </c>
      <c r="N263" s="10">
        <f t="shared" si="8"/>
        <v>0.32258064516129031</v>
      </c>
      <c r="O263" s="1" t="s">
        <v>88</v>
      </c>
      <c r="P263" s="1" t="s">
        <v>198</v>
      </c>
      <c r="Q263" s="2">
        <v>45806</v>
      </c>
      <c r="R263" s="1" t="s">
        <v>1266</v>
      </c>
      <c r="S263" s="1">
        <v>96</v>
      </c>
      <c r="T263" s="1">
        <v>37</v>
      </c>
      <c r="U263" s="1" t="s">
        <v>24</v>
      </c>
      <c r="V263" s="3">
        <f>tblInventory[[#This Row],[Stock_Quantity]]*tblInventory[[#This Row],[Unit_Price]]</f>
        <v>95</v>
      </c>
      <c r="W263" s="1" t="str">
        <f>IF(tblInventory[[#This Row],[Status]]="Discontinued","INACTIVE",
IF(tblInventory[[#This Row],[Stock_Quantity]] &lt; tblInventory[[#This Row],[Reorder_Level]],"REORDER","OK"))</f>
        <v>INACTIVE</v>
      </c>
      <c r="X263" s="1" t="str">
        <f t="shared" ca="1" si="9"/>
        <v>Expired</v>
      </c>
    </row>
    <row r="264" spans="1:24">
      <c r="A264" s="1">
        <v>263</v>
      </c>
      <c r="B264" s="1" t="s">
        <v>1629</v>
      </c>
      <c r="C264" s="1" t="s">
        <v>663</v>
      </c>
      <c r="D264" s="1" t="s">
        <v>49</v>
      </c>
      <c r="E264" s="1" t="s">
        <v>1630</v>
      </c>
      <c r="F264" s="1" t="s">
        <v>1631</v>
      </c>
      <c r="G264" s="6">
        <v>16</v>
      </c>
      <c r="H264" s="8">
        <f>tblInventory[[#This Row],[Stock_Quantity]] * tblInventory[[#This Row],[Unit_Price]]</f>
        <v>80</v>
      </c>
      <c r="I264" s="1">
        <v>53</v>
      </c>
      <c r="J264" s="1">
        <v>12</v>
      </c>
      <c r="K264" s="8">
        <f>tblInventory[[#This Row],[Reorder_Quantity]]*M264</f>
        <v>60</v>
      </c>
      <c r="L264" s="10">
        <f>tblInventory[[#This Row],[Stock_Quantity]] / tblInventory[[#This Row],[Reorder_Quantity]]</f>
        <v>1.3333333333333333</v>
      </c>
      <c r="M264" s="3">
        <v>5</v>
      </c>
      <c r="N264" s="10">
        <f t="shared" si="8"/>
        <v>0.27164685908319186</v>
      </c>
      <c r="O264" s="2">
        <v>45602</v>
      </c>
      <c r="P264" s="1" t="s">
        <v>1120</v>
      </c>
      <c r="Q264" s="2">
        <v>45756</v>
      </c>
      <c r="R264" s="1" t="s">
        <v>1632</v>
      </c>
      <c r="S264" s="1">
        <v>21</v>
      </c>
      <c r="T264" s="1">
        <v>29</v>
      </c>
      <c r="U264" s="1" t="s">
        <v>24</v>
      </c>
      <c r="V264" s="3">
        <f>tblInventory[[#This Row],[Stock_Quantity]]*tblInventory[[#This Row],[Unit_Price]]</f>
        <v>80</v>
      </c>
      <c r="W264" s="1" t="str">
        <f>IF(tblInventory[[#This Row],[Status]]="Discontinued","INACTIVE",
IF(tblInventory[[#This Row],[Stock_Quantity]] &lt; tblInventory[[#This Row],[Reorder_Level]],"REORDER","OK"))</f>
        <v>INACTIVE</v>
      </c>
      <c r="X264" s="1" t="str">
        <f t="shared" ca="1" si="9"/>
        <v>Expired</v>
      </c>
    </row>
    <row r="265" spans="1:24">
      <c r="A265" s="1">
        <v>264</v>
      </c>
      <c r="B265" s="1" t="s">
        <v>1782</v>
      </c>
      <c r="C265" s="1" t="s">
        <v>663</v>
      </c>
      <c r="D265" s="1" t="s">
        <v>49</v>
      </c>
      <c r="E265" s="1" t="s">
        <v>1783</v>
      </c>
      <c r="F265" s="1" t="s">
        <v>347</v>
      </c>
      <c r="G265" s="6">
        <v>56</v>
      </c>
      <c r="H265" s="8">
        <f>tblInventory[[#This Row],[Stock_Quantity]] * tblInventory[[#This Row],[Unit_Price]]</f>
        <v>280</v>
      </c>
      <c r="I265" s="1">
        <v>75</v>
      </c>
      <c r="J265" s="1">
        <v>13</v>
      </c>
      <c r="K265" s="8">
        <f>tblInventory[[#This Row],[Reorder_Quantity]]*M265</f>
        <v>65</v>
      </c>
      <c r="L265" s="10">
        <f>tblInventory[[#This Row],[Stock_Quantity]] / tblInventory[[#This Row],[Reorder_Quantity]]</f>
        <v>4.3076923076923075</v>
      </c>
      <c r="M265" s="3">
        <v>5</v>
      </c>
      <c r="N265" s="10">
        <f t="shared" si="8"/>
        <v>0.95076400679117146</v>
      </c>
      <c r="O265" s="2">
        <v>45391</v>
      </c>
      <c r="P265" s="2">
        <v>45386</v>
      </c>
      <c r="Q265" s="2">
        <v>45948</v>
      </c>
      <c r="R265" s="1" t="s">
        <v>1784</v>
      </c>
      <c r="S265" s="1">
        <v>42</v>
      </c>
      <c r="T265" s="1">
        <v>53</v>
      </c>
      <c r="U265" s="1" t="s">
        <v>38</v>
      </c>
      <c r="V265" s="3">
        <f>tblInventory[[#This Row],[Stock_Quantity]]*tblInventory[[#This Row],[Unit_Price]]</f>
        <v>280</v>
      </c>
      <c r="W265" s="1" t="str">
        <f>IF(tblInventory[[#This Row],[Status]]="Discontinued","INACTIVE",
IF(tblInventory[[#This Row],[Stock_Quantity]] &lt; tblInventory[[#This Row],[Reorder_Level]],"REORDER","OK"))</f>
        <v>REORDER</v>
      </c>
      <c r="X265" s="1" t="str">
        <f t="shared" ca="1" si="9"/>
        <v>Expired</v>
      </c>
    </row>
    <row r="266" spans="1:24">
      <c r="A266" s="1">
        <v>265</v>
      </c>
      <c r="B266" s="1" t="s">
        <v>2874</v>
      </c>
      <c r="C266" s="1" t="s">
        <v>663</v>
      </c>
      <c r="D266" s="1" t="s">
        <v>49</v>
      </c>
      <c r="E266" s="1" t="s">
        <v>2875</v>
      </c>
      <c r="F266" s="1" t="s">
        <v>2876</v>
      </c>
      <c r="G266" s="6">
        <v>85</v>
      </c>
      <c r="H266" s="8">
        <f>tblInventory[[#This Row],[Stock_Quantity]] * tblInventory[[#This Row],[Unit_Price]]</f>
        <v>425</v>
      </c>
      <c r="I266" s="1">
        <v>90</v>
      </c>
      <c r="J266" s="1">
        <v>16</v>
      </c>
      <c r="K266" s="8">
        <f>tblInventory[[#This Row],[Reorder_Quantity]]*M266</f>
        <v>80</v>
      </c>
      <c r="L266" s="10">
        <f>tblInventory[[#This Row],[Stock_Quantity]] / tblInventory[[#This Row],[Reorder_Quantity]]</f>
        <v>5.3125</v>
      </c>
      <c r="M266" s="3">
        <v>5</v>
      </c>
      <c r="N266" s="10">
        <f t="shared" si="8"/>
        <v>1.4431239388794568</v>
      </c>
      <c r="O266" s="1" t="s">
        <v>873</v>
      </c>
      <c r="P266" s="2">
        <v>45357</v>
      </c>
      <c r="Q266" s="2">
        <v>46281</v>
      </c>
      <c r="R266" s="1" t="s">
        <v>2877</v>
      </c>
      <c r="S266" s="1">
        <v>61</v>
      </c>
      <c r="T266" s="1">
        <v>80</v>
      </c>
      <c r="U266" s="1" t="s">
        <v>38</v>
      </c>
      <c r="V266" s="3">
        <f>tblInventory[[#This Row],[Stock_Quantity]]*tblInventory[[#This Row],[Unit_Price]]</f>
        <v>425</v>
      </c>
      <c r="W266" s="1" t="str">
        <f>IF(tblInventory[[#This Row],[Status]]="Discontinued","INACTIVE",
IF(tblInventory[[#This Row],[Stock_Quantity]] &lt; tblInventory[[#This Row],[Reorder_Level]],"REORDER","OK"))</f>
        <v>REORDER</v>
      </c>
      <c r="X266" s="1" t="str">
        <f t="shared" ca="1" si="9"/>
        <v>Valid</v>
      </c>
    </row>
    <row r="267" spans="1:24">
      <c r="A267" s="1">
        <v>266</v>
      </c>
      <c r="B267" s="1" t="s">
        <v>3277</v>
      </c>
      <c r="C267" s="1" t="s">
        <v>663</v>
      </c>
      <c r="D267" s="1" t="s">
        <v>49</v>
      </c>
      <c r="E267" s="1" t="s">
        <v>3278</v>
      </c>
      <c r="F267" s="1" t="s">
        <v>3279</v>
      </c>
      <c r="G267" s="6">
        <v>32</v>
      </c>
      <c r="H267" s="8">
        <f>tblInventory[[#This Row],[Stock_Quantity]] * tblInventory[[#This Row],[Unit_Price]]</f>
        <v>160</v>
      </c>
      <c r="I267" s="1">
        <v>27</v>
      </c>
      <c r="J267" s="1">
        <v>26</v>
      </c>
      <c r="K267" s="8">
        <f>tblInventory[[#This Row],[Reorder_Quantity]]*M267</f>
        <v>130</v>
      </c>
      <c r="L267" s="10">
        <f>tblInventory[[#This Row],[Stock_Quantity]] / tblInventory[[#This Row],[Reorder_Quantity]]</f>
        <v>1.2307692307692308</v>
      </c>
      <c r="M267" s="3">
        <v>5</v>
      </c>
      <c r="N267" s="10">
        <f t="shared" si="8"/>
        <v>0.54329371816638372</v>
      </c>
      <c r="O267" s="1" t="s">
        <v>185</v>
      </c>
      <c r="P267" s="1" t="s">
        <v>444</v>
      </c>
      <c r="Q267" s="2">
        <v>46411</v>
      </c>
      <c r="R267" s="1" t="s">
        <v>3280</v>
      </c>
      <c r="S267" s="1">
        <v>38</v>
      </c>
      <c r="T267" s="1">
        <v>79</v>
      </c>
      <c r="U267" s="1" t="s">
        <v>38</v>
      </c>
      <c r="V267" s="3">
        <f>tblInventory[[#This Row],[Stock_Quantity]]*tblInventory[[#This Row],[Unit_Price]]</f>
        <v>160</v>
      </c>
      <c r="W267" s="1" t="str">
        <f>IF(tblInventory[[#This Row],[Status]]="Discontinued","INACTIVE",
IF(tblInventory[[#This Row],[Stock_Quantity]] &lt; tblInventory[[#This Row],[Reorder_Level]],"REORDER","OK"))</f>
        <v>OK</v>
      </c>
      <c r="X267" s="1" t="str">
        <f t="shared" ca="1" si="9"/>
        <v>Valid</v>
      </c>
    </row>
    <row r="268" spans="1:24">
      <c r="A268" s="1">
        <v>267</v>
      </c>
      <c r="B268" s="1" t="s">
        <v>1749</v>
      </c>
      <c r="C268" s="1" t="s">
        <v>1750</v>
      </c>
      <c r="D268" s="1" t="s">
        <v>61</v>
      </c>
      <c r="E268" s="1" t="s">
        <v>1751</v>
      </c>
      <c r="F268" s="1" t="s">
        <v>927</v>
      </c>
      <c r="G268" s="6">
        <v>33</v>
      </c>
      <c r="H268" s="8">
        <f>tblInventory[[#This Row],[Stock_Quantity]] * tblInventory[[#This Row],[Unit_Price]]</f>
        <v>165</v>
      </c>
      <c r="I268" s="1">
        <v>78</v>
      </c>
      <c r="J268" s="1">
        <v>79</v>
      </c>
      <c r="K268" s="8">
        <f>tblInventory[[#This Row],[Reorder_Quantity]]*M268</f>
        <v>395</v>
      </c>
      <c r="L268" s="10">
        <f>tblInventory[[#This Row],[Stock_Quantity]] / tblInventory[[#This Row],[Reorder_Quantity]]</f>
        <v>0.41772151898734178</v>
      </c>
      <c r="M268" s="3">
        <v>5</v>
      </c>
      <c r="N268" s="10">
        <f t="shared" si="8"/>
        <v>0.56027164685908315</v>
      </c>
      <c r="O268" s="2">
        <v>45423</v>
      </c>
      <c r="P268" s="2">
        <v>45603</v>
      </c>
      <c r="Q268" s="2">
        <v>45879</v>
      </c>
      <c r="R268" s="1" t="s">
        <v>1752</v>
      </c>
      <c r="S268" s="1">
        <v>60</v>
      </c>
      <c r="T268" s="1">
        <v>25</v>
      </c>
      <c r="U268" s="1" t="s">
        <v>24</v>
      </c>
      <c r="V268" s="3">
        <f>tblInventory[[#This Row],[Stock_Quantity]]*tblInventory[[#This Row],[Unit_Price]]</f>
        <v>165</v>
      </c>
      <c r="W268" s="1" t="str">
        <f>IF(tblInventory[[#This Row],[Status]]="Discontinued","INACTIVE",
IF(tblInventory[[#This Row],[Stock_Quantity]] &lt; tblInventory[[#This Row],[Reorder_Level]],"REORDER","OK"))</f>
        <v>INACTIVE</v>
      </c>
      <c r="X268" s="1" t="str">
        <f t="shared" ca="1" si="9"/>
        <v>Expired</v>
      </c>
    </row>
    <row r="269" spans="1:24">
      <c r="A269" s="1">
        <v>268</v>
      </c>
      <c r="B269" s="1" t="s">
        <v>2466</v>
      </c>
      <c r="C269" s="1" t="s">
        <v>1750</v>
      </c>
      <c r="D269" s="1" t="s">
        <v>61</v>
      </c>
      <c r="E269" s="1" t="s">
        <v>2467</v>
      </c>
      <c r="F269" s="1" t="s">
        <v>2468</v>
      </c>
      <c r="G269" s="6">
        <v>54</v>
      </c>
      <c r="H269" s="8">
        <f>tblInventory[[#This Row],[Stock_Quantity]] * tblInventory[[#This Row],[Unit_Price]]</f>
        <v>270</v>
      </c>
      <c r="I269" s="1">
        <v>86</v>
      </c>
      <c r="J269" s="1">
        <v>69</v>
      </c>
      <c r="K269" s="8">
        <f>tblInventory[[#This Row],[Reorder_Quantity]]*M269</f>
        <v>345</v>
      </c>
      <c r="L269" s="10">
        <f>tblInventory[[#This Row],[Stock_Quantity]] / tblInventory[[#This Row],[Reorder_Quantity]]</f>
        <v>0.78260869565217395</v>
      </c>
      <c r="M269" s="3">
        <v>5</v>
      </c>
      <c r="N269" s="10">
        <f t="shared" si="8"/>
        <v>0.91680814940577249</v>
      </c>
      <c r="O269" s="1" t="s">
        <v>377</v>
      </c>
      <c r="P269" s="1" t="s">
        <v>665</v>
      </c>
      <c r="Q269" s="2">
        <v>46158</v>
      </c>
      <c r="R269" s="1" t="s">
        <v>2469</v>
      </c>
      <c r="S269" s="1">
        <v>29</v>
      </c>
      <c r="T269" s="1">
        <v>8</v>
      </c>
      <c r="U269" s="1" t="s">
        <v>24</v>
      </c>
      <c r="V269" s="3">
        <f>tblInventory[[#This Row],[Stock_Quantity]]*tblInventory[[#This Row],[Unit_Price]]</f>
        <v>270</v>
      </c>
      <c r="W269" s="1" t="str">
        <f>IF(tblInventory[[#This Row],[Status]]="Discontinued","INACTIVE",
IF(tblInventory[[#This Row],[Stock_Quantity]] &lt; tblInventory[[#This Row],[Reorder_Level]],"REORDER","OK"))</f>
        <v>INACTIVE</v>
      </c>
      <c r="X269" s="1" t="str">
        <f t="shared" ca="1" si="9"/>
        <v>Valid</v>
      </c>
    </row>
    <row r="270" spans="1:24">
      <c r="A270" s="1">
        <v>269</v>
      </c>
      <c r="B270" s="1" t="s">
        <v>2833</v>
      </c>
      <c r="C270" s="1" t="s">
        <v>1750</v>
      </c>
      <c r="D270" s="1" t="s">
        <v>61</v>
      </c>
      <c r="E270" s="1" t="s">
        <v>2834</v>
      </c>
      <c r="F270" s="1" t="s">
        <v>2828</v>
      </c>
      <c r="G270" s="6">
        <v>90</v>
      </c>
      <c r="H270" s="8">
        <f>tblInventory[[#This Row],[Stock_Quantity]] * tblInventory[[#This Row],[Unit_Price]]</f>
        <v>450</v>
      </c>
      <c r="I270" s="1">
        <v>75</v>
      </c>
      <c r="J270" s="1">
        <v>6</v>
      </c>
      <c r="K270" s="8">
        <f>tblInventory[[#This Row],[Reorder_Quantity]]*M270</f>
        <v>30</v>
      </c>
      <c r="L270" s="10">
        <f>tblInventory[[#This Row],[Stock_Quantity]] / tblInventory[[#This Row],[Reorder_Quantity]]</f>
        <v>15</v>
      </c>
      <c r="M270" s="3">
        <v>5</v>
      </c>
      <c r="N270" s="10">
        <f t="shared" si="8"/>
        <v>1.5280135823429541</v>
      </c>
      <c r="O270" s="2">
        <v>45450</v>
      </c>
      <c r="P270" s="2">
        <v>45658</v>
      </c>
      <c r="Q270" s="2">
        <v>46121</v>
      </c>
      <c r="R270" s="1" t="s">
        <v>2835</v>
      </c>
      <c r="S270" s="1">
        <v>55</v>
      </c>
      <c r="T270" s="1">
        <v>64</v>
      </c>
      <c r="U270" s="1" t="s">
        <v>46</v>
      </c>
      <c r="V270" s="3">
        <f>tblInventory[[#This Row],[Stock_Quantity]]*tblInventory[[#This Row],[Unit_Price]]</f>
        <v>450</v>
      </c>
      <c r="W270" s="1" t="str">
        <f>IF(tblInventory[[#This Row],[Status]]="Discontinued","INACTIVE",
IF(tblInventory[[#This Row],[Stock_Quantity]] &lt; tblInventory[[#This Row],[Reorder_Level]],"REORDER","OK"))</f>
        <v>OK</v>
      </c>
      <c r="X270" s="1" t="str">
        <f t="shared" ca="1" si="9"/>
        <v>Valid</v>
      </c>
    </row>
    <row r="271" spans="1:24">
      <c r="A271" s="1">
        <v>270</v>
      </c>
      <c r="B271" s="1" t="s">
        <v>3386</v>
      </c>
      <c r="C271" s="1" t="s">
        <v>1750</v>
      </c>
      <c r="D271" s="1" t="s">
        <v>61</v>
      </c>
      <c r="E271" s="1" t="s">
        <v>3387</v>
      </c>
      <c r="F271" s="1" t="s">
        <v>321</v>
      </c>
      <c r="G271" s="6">
        <v>89</v>
      </c>
      <c r="H271" s="8">
        <f>tblInventory[[#This Row],[Stock_Quantity]] * tblInventory[[#This Row],[Unit_Price]]</f>
        <v>445</v>
      </c>
      <c r="I271" s="1">
        <v>79</v>
      </c>
      <c r="J271" s="1">
        <v>66</v>
      </c>
      <c r="K271" s="8">
        <f>tblInventory[[#This Row],[Reorder_Quantity]]*M271</f>
        <v>330</v>
      </c>
      <c r="L271" s="10">
        <f>tblInventory[[#This Row],[Stock_Quantity]] / tblInventory[[#This Row],[Reorder_Quantity]]</f>
        <v>1.3484848484848484</v>
      </c>
      <c r="M271" s="3">
        <v>5</v>
      </c>
      <c r="N271" s="10">
        <f t="shared" si="8"/>
        <v>1.5110356536502547</v>
      </c>
      <c r="O271" s="1" t="s">
        <v>577</v>
      </c>
      <c r="P271" s="1" t="s">
        <v>213</v>
      </c>
      <c r="Q271" s="2">
        <v>46446</v>
      </c>
      <c r="R271" s="1" t="s">
        <v>3388</v>
      </c>
      <c r="S271" s="1">
        <v>91</v>
      </c>
      <c r="T271" s="1">
        <v>31</v>
      </c>
      <c r="U271" s="1" t="s">
        <v>24</v>
      </c>
      <c r="V271" s="3">
        <f>tblInventory[[#This Row],[Stock_Quantity]]*tblInventory[[#This Row],[Unit_Price]]</f>
        <v>445</v>
      </c>
      <c r="W271" s="1" t="str">
        <f>IF(tblInventory[[#This Row],[Status]]="Discontinued","INACTIVE",
IF(tblInventory[[#This Row],[Stock_Quantity]] &lt; tblInventory[[#This Row],[Reorder_Level]],"REORDER","OK"))</f>
        <v>INACTIVE</v>
      </c>
      <c r="X271" s="1" t="str">
        <f t="shared" ca="1" si="9"/>
        <v>Valid</v>
      </c>
    </row>
    <row r="272" spans="1:24">
      <c r="A272" s="1">
        <v>271</v>
      </c>
      <c r="B272" s="1" t="s">
        <v>1469</v>
      </c>
      <c r="C272" s="1" t="s">
        <v>1470</v>
      </c>
      <c r="D272" s="1" t="s">
        <v>17</v>
      </c>
      <c r="E272" s="1" t="s">
        <v>1471</v>
      </c>
      <c r="F272" s="1" t="s">
        <v>1161</v>
      </c>
      <c r="G272" s="6">
        <v>20</v>
      </c>
      <c r="H272" s="8">
        <f>tblInventory[[#This Row],[Stock_Quantity]] * tblInventory[[#This Row],[Unit_Price]]</f>
        <v>100</v>
      </c>
      <c r="I272" s="1">
        <v>51</v>
      </c>
      <c r="J272" s="1">
        <v>21</v>
      </c>
      <c r="K272" s="8">
        <f>tblInventory[[#This Row],[Reorder_Quantity]]*M272</f>
        <v>105</v>
      </c>
      <c r="L272" s="10">
        <f>tblInventory[[#This Row],[Stock_Quantity]] / tblInventory[[#This Row],[Reorder_Quantity]]</f>
        <v>0.95238095238095233</v>
      </c>
      <c r="M272" s="3">
        <v>5</v>
      </c>
      <c r="N272" s="10">
        <f t="shared" si="8"/>
        <v>0.3395585738539898</v>
      </c>
      <c r="O272" s="1" t="s">
        <v>383</v>
      </c>
      <c r="P272" s="1" t="s">
        <v>334</v>
      </c>
      <c r="Q272" s="2">
        <v>45858</v>
      </c>
      <c r="R272" s="1" t="s">
        <v>1472</v>
      </c>
      <c r="S272" s="1">
        <v>71</v>
      </c>
      <c r="T272" s="1">
        <v>26</v>
      </c>
      <c r="U272" s="1" t="s">
        <v>38</v>
      </c>
      <c r="V272" s="3">
        <f>tblInventory[[#This Row],[Stock_Quantity]]*tblInventory[[#This Row],[Unit_Price]]</f>
        <v>100</v>
      </c>
      <c r="W272" s="1" t="str">
        <f>IF(tblInventory[[#This Row],[Status]]="Discontinued","INACTIVE",
IF(tblInventory[[#This Row],[Stock_Quantity]] &lt; tblInventory[[#This Row],[Reorder_Level]],"REORDER","OK"))</f>
        <v>REORDER</v>
      </c>
      <c r="X272" s="1" t="str">
        <f t="shared" ca="1" si="9"/>
        <v>Expired</v>
      </c>
    </row>
    <row r="273" spans="1:24">
      <c r="A273" s="1">
        <v>272</v>
      </c>
      <c r="B273" s="1" t="s">
        <v>1671</v>
      </c>
      <c r="C273" s="1" t="s">
        <v>1470</v>
      </c>
      <c r="D273" s="1" t="s">
        <v>17</v>
      </c>
      <c r="E273" s="1" t="s">
        <v>1672</v>
      </c>
      <c r="F273" s="1" t="s">
        <v>1673</v>
      </c>
      <c r="G273" s="6">
        <v>51</v>
      </c>
      <c r="H273" s="8">
        <f>tblInventory[[#This Row],[Stock_Quantity]] * tblInventory[[#This Row],[Unit_Price]]</f>
        <v>255</v>
      </c>
      <c r="I273" s="1">
        <v>55</v>
      </c>
      <c r="J273" s="1">
        <v>76</v>
      </c>
      <c r="K273" s="8">
        <f>tblInventory[[#This Row],[Reorder_Quantity]]*M273</f>
        <v>380</v>
      </c>
      <c r="L273" s="10">
        <f>tblInventory[[#This Row],[Stock_Quantity]] / tblInventory[[#This Row],[Reorder_Quantity]]</f>
        <v>0.67105263157894735</v>
      </c>
      <c r="M273" s="3">
        <v>5</v>
      </c>
      <c r="N273" s="10">
        <f t="shared" si="8"/>
        <v>0.86587436332767409</v>
      </c>
      <c r="O273" s="1" t="s">
        <v>43</v>
      </c>
      <c r="P273" s="1" t="s">
        <v>402</v>
      </c>
      <c r="Q273" s="2">
        <v>45915</v>
      </c>
      <c r="R273" s="1" t="s">
        <v>1674</v>
      </c>
      <c r="S273" s="1">
        <v>21</v>
      </c>
      <c r="T273" s="1">
        <v>13</v>
      </c>
      <c r="U273" s="1" t="s">
        <v>24</v>
      </c>
      <c r="V273" s="3">
        <f>tblInventory[[#This Row],[Stock_Quantity]]*tblInventory[[#This Row],[Unit_Price]]</f>
        <v>255</v>
      </c>
      <c r="W273" s="1" t="str">
        <f>IF(tblInventory[[#This Row],[Status]]="Discontinued","INACTIVE",
IF(tblInventory[[#This Row],[Stock_Quantity]] &lt; tblInventory[[#This Row],[Reorder_Level]],"REORDER","OK"))</f>
        <v>INACTIVE</v>
      </c>
      <c r="X273" s="1" t="str">
        <f t="shared" ca="1" si="9"/>
        <v>Expired</v>
      </c>
    </row>
    <row r="274" spans="1:24">
      <c r="A274" s="1">
        <v>273</v>
      </c>
      <c r="B274" s="1" t="s">
        <v>1959</v>
      </c>
      <c r="C274" s="1" t="s">
        <v>1470</v>
      </c>
      <c r="D274" s="1" t="s">
        <v>17</v>
      </c>
      <c r="E274" s="1" t="s">
        <v>1960</v>
      </c>
      <c r="F274" s="1" t="s">
        <v>891</v>
      </c>
      <c r="G274" s="6">
        <v>49</v>
      </c>
      <c r="H274" s="8">
        <f>tblInventory[[#This Row],[Stock_Quantity]] * tblInventory[[#This Row],[Unit_Price]]</f>
        <v>245</v>
      </c>
      <c r="I274" s="1">
        <v>59</v>
      </c>
      <c r="J274" s="1">
        <v>73</v>
      </c>
      <c r="K274" s="8">
        <f>tblInventory[[#This Row],[Reorder_Quantity]]*M274</f>
        <v>365</v>
      </c>
      <c r="L274" s="10">
        <f>tblInventory[[#This Row],[Stock_Quantity]] / tblInventory[[#This Row],[Reorder_Quantity]]</f>
        <v>0.67123287671232879</v>
      </c>
      <c r="M274" s="3">
        <v>5</v>
      </c>
      <c r="N274" s="10">
        <f t="shared" si="8"/>
        <v>0.83191850594227501</v>
      </c>
      <c r="O274" s="1" t="s">
        <v>901</v>
      </c>
      <c r="P274" s="2">
        <v>45447</v>
      </c>
      <c r="Q274" s="2">
        <v>45942</v>
      </c>
      <c r="R274" s="1" t="s">
        <v>1961</v>
      </c>
      <c r="S274" s="1">
        <v>93</v>
      </c>
      <c r="T274" s="1">
        <v>45</v>
      </c>
      <c r="U274" s="1" t="s">
        <v>24</v>
      </c>
      <c r="V274" s="3">
        <f>tblInventory[[#This Row],[Stock_Quantity]]*tblInventory[[#This Row],[Unit_Price]]</f>
        <v>245</v>
      </c>
      <c r="W274" s="1" t="str">
        <f>IF(tblInventory[[#This Row],[Status]]="Discontinued","INACTIVE",
IF(tblInventory[[#This Row],[Stock_Quantity]] &lt; tblInventory[[#This Row],[Reorder_Level]],"REORDER","OK"))</f>
        <v>INACTIVE</v>
      </c>
      <c r="X274" s="1" t="str">
        <f t="shared" ca="1" si="9"/>
        <v>Expired</v>
      </c>
    </row>
    <row r="275" spans="1:24">
      <c r="A275" s="1">
        <v>274</v>
      </c>
      <c r="B275" s="1" t="s">
        <v>2204</v>
      </c>
      <c r="C275" s="1" t="s">
        <v>1470</v>
      </c>
      <c r="D275" s="1" t="s">
        <v>17</v>
      </c>
      <c r="E275" s="1" t="s">
        <v>2205</v>
      </c>
      <c r="F275" s="1" t="s">
        <v>1463</v>
      </c>
      <c r="G275" s="6">
        <v>17</v>
      </c>
      <c r="H275" s="8">
        <f>tblInventory[[#This Row],[Stock_Quantity]] * tblInventory[[#This Row],[Unit_Price]]</f>
        <v>85</v>
      </c>
      <c r="I275" s="1">
        <v>85</v>
      </c>
      <c r="J275" s="1">
        <v>74</v>
      </c>
      <c r="K275" s="8">
        <f>tblInventory[[#This Row],[Reorder_Quantity]]*M275</f>
        <v>370</v>
      </c>
      <c r="L275" s="10">
        <f>tblInventory[[#This Row],[Stock_Quantity]] / tblInventory[[#This Row],[Reorder_Quantity]]</f>
        <v>0.22972972972972974</v>
      </c>
      <c r="M275" s="3">
        <v>5</v>
      </c>
      <c r="N275" s="10">
        <f t="shared" si="8"/>
        <v>0.28862478777589134</v>
      </c>
      <c r="O275" s="2">
        <v>45296</v>
      </c>
      <c r="P275" s="1" t="s">
        <v>1597</v>
      </c>
      <c r="Q275" s="2">
        <v>46076</v>
      </c>
      <c r="R275" s="1" t="s">
        <v>2206</v>
      </c>
      <c r="S275" s="1">
        <v>76</v>
      </c>
      <c r="T275" s="1">
        <v>89</v>
      </c>
      <c r="U275" s="1" t="s">
        <v>46</v>
      </c>
      <c r="V275" s="3">
        <f>tblInventory[[#This Row],[Stock_Quantity]]*tblInventory[[#This Row],[Unit_Price]]</f>
        <v>85</v>
      </c>
      <c r="W275" s="1" t="str">
        <f>IF(tblInventory[[#This Row],[Status]]="Discontinued","INACTIVE",
IF(tblInventory[[#This Row],[Stock_Quantity]] &lt; tblInventory[[#This Row],[Reorder_Level]],"REORDER","OK"))</f>
        <v>REORDER</v>
      </c>
      <c r="X275" s="1" t="str">
        <f t="shared" ca="1" si="9"/>
        <v>Valid</v>
      </c>
    </row>
    <row r="276" spans="1:24">
      <c r="A276" s="1">
        <v>275</v>
      </c>
      <c r="B276" s="1" t="s">
        <v>3578</v>
      </c>
      <c r="C276" s="1" t="s">
        <v>1470</v>
      </c>
      <c r="D276" s="1" t="s">
        <v>17</v>
      </c>
      <c r="E276" s="1" t="s">
        <v>3579</v>
      </c>
      <c r="F276" s="1" t="s">
        <v>1020</v>
      </c>
      <c r="G276" s="6">
        <v>91</v>
      </c>
      <c r="H276" s="8">
        <f>tblInventory[[#This Row],[Stock_Quantity]] * tblInventory[[#This Row],[Unit_Price]]</f>
        <v>455</v>
      </c>
      <c r="I276" s="1">
        <v>39</v>
      </c>
      <c r="J276" s="1">
        <v>48</v>
      </c>
      <c r="K276" s="8">
        <f>tblInventory[[#This Row],[Reorder_Quantity]]*M276</f>
        <v>240</v>
      </c>
      <c r="L276" s="10">
        <f>tblInventory[[#This Row],[Stock_Quantity]] / tblInventory[[#This Row],[Reorder_Quantity]]</f>
        <v>1.8958333333333333</v>
      </c>
      <c r="M276" s="3">
        <v>5</v>
      </c>
      <c r="N276" s="10">
        <f t="shared" si="8"/>
        <v>1.5449915110356538</v>
      </c>
      <c r="O276" s="1" t="s">
        <v>1075</v>
      </c>
      <c r="P276" s="1" t="s">
        <v>177</v>
      </c>
      <c r="Q276" s="2">
        <v>46392</v>
      </c>
      <c r="R276" s="1" t="s">
        <v>3580</v>
      </c>
      <c r="S276" s="1">
        <v>48</v>
      </c>
      <c r="T276" s="1">
        <v>18</v>
      </c>
      <c r="U276" s="1" t="s">
        <v>46</v>
      </c>
      <c r="V276" s="3">
        <f>tblInventory[[#This Row],[Stock_Quantity]]*tblInventory[[#This Row],[Unit_Price]]</f>
        <v>455</v>
      </c>
      <c r="W276" s="1" t="str">
        <f>IF(tblInventory[[#This Row],[Status]]="Discontinued","INACTIVE",
IF(tblInventory[[#This Row],[Stock_Quantity]] &lt; tblInventory[[#This Row],[Reorder_Level]],"REORDER","OK"))</f>
        <v>OK</v>
      </c>
      <c r="X276" s="1" t="str">
        <f t="shared" ca="1" si="9"/>
        <v>Valid</v>
      </c>
    </row>
    <row r="277" spans="1:24">
      <c r="A277" s="1">
        <v>276</v>
      </c>
      <c r="B277" s="1" t="s">
        <v>668</v>
      </c>
      <c r="C277" s="1" t="s">
        <v>669</v>
      </c>
      <c r="D277" s="1" t="s">
        <v>155</v>
      </c>
      <c r="E277" s="1" t="s">
        <v>670</v>
      </c>
      <c r="F277" s="1" t="s">
        <v>671</v>
      </c>
      <c r="G277" s="6">
        <v>23</v>
      </c>
      <c r="H277" s="8">
        <f>tblInventory[[#This Row],[Stock_Quantity]] * tblInventory[[#This Row],[Unit_Price]]</f>
        <v>184</v>
      </c>
      <c r="I277" s="1">
        <v>42</v>
      </c>
      <c r="J277" s="1">
        <v>87</v>
      </c>
      <c r="K277" s="8">
        <f>tblInventory[[#This Row],[Reorder_Quantity]]*M277</f>
        <v>696</v>
      </c>
      <c r="L277" s="10">
        <f>tblInventory[[#This Row],[Stock_Quantity]] / tblInventory[[#This Row],[Reorder_Quantity]]</f>
        <v>0.26436781609195403</v>
      </c>
      <c r="M277" s="3">
        <v>8</v>
      </c>
      <c r="N277" s="10">
        <f t="shared" si="8"/>
        <v>0.39049235993208831</v>
      </c>
      <c r="O277" s="2">
        <v>45659</v>
      </c>
      <c r="P277" s="1" t="s">
        <v>506</v>
      </c>
      <c r="Q277" s="2">
        <v>45901</v>
      </c>
      <c r="R277" s="1" t="s">
        <v>672</v>
      </c>
      <c r="S277" s="1">
        <v>63</v>
      </c>
      <c r="T277" s="1">
        <v>5</v>
      </c>
      <c r="U277" s="1" t="s">
        <v>38</v>
      </c>
      <c r="V277" s="3">
        <f>tblInventory[[#This Row],[Stock_Quantity]]*tblInventory[[#This Row],[Unit_Price]]</f>
        <v>184</v>
      </c>
      <c r="W277" s="1" t="str">
        <f>IF(tblInventory[[#This Row],[Status]]="Discontinued","INACTIVE",
IF(tblInventory[[#This Row],[Stock_Quantity]] &lt; tblInventory[[#This Row],[Reorder_Level]],"REORDER","OK"))</f>
        <v>REORDER</v>
      </c>
      <c r="X277" s="1" t="str">
        <f t="shared" ca="1" si="9"/>
        <v>Expired</v>
      </c>
    </row>
    <row r="278" spans="1:24">
      <c r="A278" s="1">
        <v>277</v>
      </c>
      <c r="B278" s="1" t="s">
        <v>821</v>
      </c>
      <c r="C278" s="1" t="s">
        <v>669</v>
      </c>
      <c r="D278" s="1" t="s">
        <v>155</v>
      </c>
      <c r="E278" s="1" t="s">
        <v>822</v>
      </c>
      <c r="F278" s="1" t="s">
        <v>823</v>
      </c>
      <c r="G278" s="6">
        <v>31</v>
      </c>
      <c r="H278" s="8">
        <f>tblInventory[[#This Row],[Stock_Quantity]] * tblInventory[[#This Row],[Unit_Price]]</f>
        <v>248</v>
      </c>
      <c r="I278" s="1">
        <v>87</v>
      </c>
      <c r="J278" s="1">
        <v>19</v>
      </c>
      <c r="K278" s="8">
        <f>tblInventory[[#This Row],[Reorder_Quantity]]*M278</f>
        <v>152</v>
      </c>
      <c r="L278" s="10">
        <f>tblInventory[[#This Row],[Stock_Quantity]] / tblInventory[[#This Row],[Reorder_Quantity]]</f>
        <v>1.631578947368421</v>
      </c>
      <c r="M278" s="3">
        <v>8</v>
      </c>
      <c r="N278" s="10">
        <f t="shared" si="8"/>
        <v>0.52631578947368418</v>
      </c>
      <c r="O278" s="1" t="s">
        <v>770</v>
      </c>
      <c r="P278" s="1" t="s">
        <v>824</v>
      </c>
      <c r="Q278" s="2">
        <v>45963</v>
      </c>
      <c r="R278" s="1" t="s">
        <v>825</v>
      </c>
      <c r="S278" s="1">
        <v>41</v>
      </c>
      <c r="T278" s="1">
        <v>10</v>
      </c>
      <c r="U278" s="1" t="s">
        <v>46</v>
      </c>
      <c r="V278" s="3">
        <f>tblInventory[[#This Row],[Stock_Quantity]]*tblInventory[[#This Row],[Unit_Price]]</f>
        <v>248</v>
      </c>
      <c r="W278" s="1" t="str">
        <f>IF(tblInventory[[#This Row],[Status]]="Discontinued","INACTIVE",
IF(tblInventory[[#This Row],[Stock_Quantity]] &lt; tblInventory[[#This Row],[Reorder_Level]],"REORDER","OK"))</f>
        <v>REORDER</v>
      </c>
      <c r="X278" s="1" t="str">
        <f t="shared" ca="1" si="9"/>
        <v>Expired</v>
      </c>
    </row>
    <row r="279" spans="1:24">
      <c r="A279" s="1">
        <v>278</v>
      </c>
      <c r="B279" s="1" t="s">
        <v>988</v>
      </c>
      <c r="C279" s="1" t="s">
        <v>669</v>
      </c>
      <c r="D279" s="1" t="s">
        <v>155</v>
      </c>
      <c r="E279" s="1" t="s">
        <v>989</v>
      </c>
      <c r="F279" s="1" t="s">
        <v>990</v>
      </c>
      <c r="G279" s="6">
        <v>56</v>
      </c>
      <c r="H279" s="8">
        <f>tblInventory[[#This Row],[Stock_Quantity]] * tblInventory[[#This Row],[Unit_Price]]</f>
        <v>448</v>
      </c>
      <c r="I279" s="1">
        <v>50</v>
      </c>
      <c r="J279" s="1">
        <v>80</v>
      </c>
      <c r="K279" s="8">
        <f>tblInventory[[#This Row],[Reorder_Quantity]]*M279</f>
        <v>640</v>
      </c>
      <c r="L279" s="10">
        <f>tblInventory[[#This Row],[Stock_Quantity]] / tblInventory[[#This Row],[Reorder_Quantity]]</f>
        <v>0.7</v>
      </c>
      <c r="M279" s="3">
        <v>8</v>
      </c>
      <c r="N279" s="10">
        <f t="shared" si="8"/>
        <v>0.95076400679117146</v>
      </c>
      <c r="O279" s="1" t="s">
        <v>198</v>
      </c>
      <c r="P279" s="2">
        <v>45629</v>
      </c>
      <c r="Q279" s="2">
        <v>45737</v>
      </c>
      <c r="R279" s="1" t="s">
        <v>991</v>
      </c>
      <c r="S279" s="1">
        <v>99</v>
      </c>
      <c r="T279" s="1">
        <v>5</v>
      </c>
      <c r="U279" s="1" t="s">
        <v>24</v>
      </c>
      <c r="V279" s="3">
        <f>tblInventory[[#This Row],[Stock_Quantity]]*tblInventory[[#This Row],[Unit_Price]]</f>
        <v>448</v>
      </c>
      <c r="W279" s="1" t="str">
        <f>IF(tblInventory[[#This Row],[Status]]="Discontinued","INACTIVE",
IF(tblInventory[[#This Row],[Stock_Quantity]] &lt; tblInventory[[#This Row],[Reorder_Level]],"REORDER","OK"))</f>
        <v>INACTIVE</v>
      </c>
      <c r="X279" s="1" t="str">
        <f t="shared" ca="1" si="9"/>
        <v>Expired</v>
      </c>
    </row>
    <row r="280" spans="1:24">
      <c r="A280" s="1">
        <v>279</v>
      </c>
      <c r="B280" s="1" t="s">
        <v>1554</v>
      </c>
      <c r="C280" s="1" t="s">
        <v>669</v>
      </c>
      <c r="D280" s="1" t="s">
        <v>155</v>
      </c>
      <c r="E280" s="1" t="s">
        <v>1555</v>
      </c>
      <c r="F280" s="1" t="s">
        <v>1277</v>
      </c>
      <c r="G280" s="6">
        <v>16</v>
      </c>
      <c r="H280" s="8">
        <f>tblInventory[[#This Row],[Stock_Quantity]] * tblInventory[[#This Row],[Unit_Price]]</f>
        <v>128</v>
      </c>
      <c r="I280" s="1">
        <v>20</v>
      </c>
      <c r="J280" s="1">
        <v>45</v>
      </c>
      <c r="K280" s="8">
        <f>tblInventory[[#This Row],[Reorder_Quantity]]*M280</f>
        <v>360</v>
      </c>
      <c r="L280" s="10">
        <f>tblInventory[[#This Row],[Stock_Quantity]] / tblInventory[[#This Row],[Reorder_Quantity]]</f>
        <v>0.35555555555555557</v>
      </c>
      <c r="M280" s="3">
        <v>8</v>
      </c>
      <c r="N280" s="10">
        <f t="shared" si="8"/>
        <v>0.27164685908319186</v>
      </c>
      <c r="O280" s="1" t="s">
        <v>304</v>
      </c>
      <c r="P280" s="1" t="s">
        <v>335</v>
      </c>
      <c r="Q280" s="2">
        <v>45882</v>
      </c>
      <c r="R280" s="1" t="s">
        <v>1556</v>
      </c>
      <c r="S280" s="1">
        <v>81</v>
      </c>
      <c r="T280" s="1">
        <v>62</v>
      </c>
      <c r="U280" s="1" t="s">
        <v>46</v>
      </c>
      <c r="V280" s="3">
        <f>tblInventory[[#This Row],[Stock_Quantity]]*tblInventory[[#This Row],[Unit_Price]]</f>
        <v>128</v>
      </c>
      <c r="W280" s="1" t="str">
        <f>IF(tblInventory[[#This Row],[Status]]="Discontinued","INACTIVE",
IF(tblInventory[[#This Row],[Stock_Quantity]] &lt; tblInventory[[#This Row],[Reorder_Level]],"REORDER","OK"))</f>
        <v>REORDER</v>
      </c>
      <c r="X280" s="1" t="str">
        <f t="shared" ca="1" si="9"/>
        <v>Expired</v>
      </c>
    </row>
    <row r="281" spans="1:24">
      <c r="A281" s="1">
        <v>280</v>
      </c>
      <c r="B281" s="1" t="s">
        <v>1769</v>
      </c>
      <c r="C281" s="1" t="s">
        <v>669</v>
      </c>
      <c r="D281" s="1" t="s">
        <v>155</v>
      </c>
      <c r="E281" s="1" t="s">
        <v>1770</v>
      </c>
      <c r="F281" s="1" t="s">
        <v>310</v>
      </c>
      <c r="G281" s="6">
        <v>65</v>
      </c>
      <c r="H281" s="8">
        <f>tblInventory[[#This Row],[Stock_Quantity]] * tblInventory[[#This Row],[Unit_Price]]</f>
        <v>520</v>
      </c>
      <c r="I281" s="1">
        <v>79</v>
      </c>
      <c r="J281" s="1">
        <v>52</v>
      </c>
      <c r="K281" s="8">
        <f>tblInventory[[#This Row],[Reorder_Quantity]]*M281</f>
        <v>416</v>
      </c>
      <c r="L281" s="10">
        <f>tblInventory[[#This Row],[Stock_Quantity]] / tblInventory[[#This Row],[Reorder_Quantity]]</f>
        <v>1.25</v>
      </c>
      <c r="M281" s="3">
        <v>8</v>
      </c>
      <c r="N281" s="10">
        <f t="shared" si="8"/>
        <v>1.1035653650254669</v>
      </c>
      <c r="O281" s="2">
        <v>45631</v>
      </c>
      <c r="P281" s="2">
        <v>45361</v>
      </c>
      <c r="Q281" s="2">
        <v>45944</v>
      </c>
      <c r="R281" s="1" t="s">
        <v>1771</v>
      </c>
      <c r="S281" s="1">
        <v>56</v>
      </c>
      <c r="T281" s="1">
        <v>94</v>
      </c>
      <c r="U281" s="1" t="s">
        <v>24</v>
      </c>
      <c r="V281" s="3">
        <f>tblInventory[[#This Row],[Stock_Quantity]]*tblInventory[[#This Row],[Unit_Price]]</f>
        <v>520</v>
      </c>
      <c r="W281" s="1" t="str">
        <f>IF(tblInventory[[#This Row],[Status]]="Discontinued","INACTIVE",
IF(tblInventory[[#This Row],[Stock_Quantity]] &lt; tblInventory[[#This Row],[Reorder_Level]],"REORDER","OK"))</f>
        <v>INACTIVE</v>
      </c>
      <c r="X281" s="1" t="str">
        <f t="shared" ca="1" si="9"/>
        <v>Expired</v>
      </c>
    </row>
    <row r="282" spans="1:24">
      <c r="A282" s="1">
        <v>281</v>
      </c>
      <c r="B282" s="1" t="s">
        <v>3247</v>
      </c>
      <c r="C282" s="1" t="s">
        <v>669</v>
      </c>
      <c r="D282" s="1" t="s">
        <v>155</v>
      </c>
      <c r="E282" s="1" t="s">
        <v>3248</v>
      </c>
      <c r="F282" s="1" t="s">
        <v>1886</v>
      </c>
      <c r="G282" s="6">
        <v>72</v>
      </c>
      <c r="H282" s="8">
        <f>tblInventory[[#This Row],[Stock_Quantity]] * tblInventory[[#This Row],[Unit_Price]]</f>
        <v>576</v>
      </c>
      <c r="I282" s="1">
        <v>29</v>
      </c>
      <c r="J282" s="1">
        <v>10</v>
      </c>
      <c r="K282" s="8">
        <f>tblInventory[[#This Row],[Reorder_Quantity]]*M282</f>
        <v>80</v>
      </c>
      <c r="L282" s="10">
        <f>tblInventory[[#This Row],[Stock_Quantity]] / tblInventory[[#This Row],[Reorder_Quantity]]</f>
        <v>7.2</v>
      </c>
      <c r="M282" s="3">
        <v>8</v>
      </c>
      <c r="N282" s="10">
        <f t="shared" si="8"/>
        <v>1.2224108658743633</v>
      </c>
      <c r="O282" s="2">
        <v>45446</v>
      </c>
      <c r="P282" s="2">
        <v>45477</v>
      </c>
      <c r="Q282" s="2">
        <v>46401</v>
      </c>
      <c r="R282" s="1" t="s">
        <v>3249</v>
      </c>
      <c r="S282" s="1">
        <v>54</v>
      </c>
      <c r="T282" s="1">
        <v>38</v>
      </c>
      <c r="U282" s="1" t="s">
        <v>24</v>
      </c>
      <c r="V282" s="3">
        <f>tblInventory[[#This Row],[Stock_Quantity]]*tblInventory[[#This Row],[Unit_Price]]</f>
        <v>576</v>
      </c>
      <c r="W282" s="1" t="str">
        <f>IF(tblInventory[[#This Row],[Status]]="Discontinued","INACTIVE",
IF(tblInventory[[#This Row],[Stock_Quantity]] &lt; tblInventory[[#This Row],[Reorder_Level]],"REORDER","OK"))</f>
        <v>INACTIVE</v>
      </c>
      <c r="X282" s="1" t="str">
        <f t="shared" ca="1" si="9"/>
        <v>Valid</v>
      </c>
    </row>
    <row r="283" spans="1:24">
      <c r="A283" s="1">
        <v>282</v>
      </c>
      <c r="B283" s="1" t="s">
        <v>3401</v>
      </c>
      <c r="C283" s="1" t="s">
        <v>669</v>
      </c>
      <c r="D283" s="1" t="s">
        <v>155</v>
      </c>
      <c r="E283" s="1" t="s">
        <v>3402</v>
      </c>
      <c r="F283" s="1" t="s">
        <v>347</v>
      </c>
      <c r="G283" s="6">
        <v>96</v>
      </c>
      <c r="H283" s="8">
        <f>tblInventory[[#This Row],[Stock_Quantity]] * tblInventory[[#This Row],[Unit_Price]]</f>
        <v>768</v>
      </c>
      <c r="I283" s="1">
        <v>12</v>
      </c>
      <c r="J283" s="1">
        <v>8</v>
      </c>
      <c r="K283" s="8">
        <f>tblInventory[[#This Row],[Reorder_Quantity]]*M283</f>
        <v>64</v>
      </c>
      <c r="L283" s="10">
        <f>tblInventory[[#This Row],[Stock_Quantity]] / tblInventory[[#This Row],[Reorder_Quantity]]</f>
        <v>12</v>
      </c>
      <c r="M283" s="3">
        <v>8</v>
      </c>
      <c r="N283" s="10">
        <f t="shared" si="8"/>
        <v>1.6298811544991512</v>
      </c>
      <c r="O283" s="2">
        <v>45601</v>
      </c>
      <c r="P283" s="1" t="s">
        <v>89</v>
      </c>
      <c r="Q283" s="2">
        <v>46510</v>
      </c>
      <c r="R283" s="1" t="s">
        <v>3403</v>
      </c>
      <c r="S283" s="1">
        <v>97</v>
      </c>
      <c r="T283" s="1">
        <v>92</v>
      </c>
      <c r="U283" s="1" t="s">
        <v>46</v>
      </c>
      <c r="V283" s="3">
        <f>tblInventory[[#This Row],[Stock_Quantity]]*tblInventory[[#This Row],[Unit_Price]]</f>
        <v>768</v>
      </c>
      <c r="W283" s="1" t="str">
        <f>IF(tblInventory[[#This Row],[Status]]="Discontinued","INACTIVE",
IF(tblInventory[[#This Row],[Stock_Quantity]] &lt; tblInventory[[#This Row],[Reorder_Level]],"REORDER","OK"))</f>
        <v>OK</v>
      </c>
      <c r="X283" s="1" t="str">
        <f t="shared" ca="1" si="9"/>
        <v>Valid</v>
      </c>
    </row>
    <row r="284" spans="1:24">
      <c r="A284" s="1">
        <v>283</v>
      </c>
      <c r="B284" s="1" t="s">
        <v>59</v>
      </c>
      <c r="C284" s="1" t="s">
        <v>60</v>
      </c>
      <c r="D284" s="1" t="s">
        <v>61</v>
      </c>
      <c r="E284" s="1" t="s">
        <v>62</v>
      </c>
      <c r="F284" s="1" t="s">
        <v>63</v>
      </c>
      <c r="G284" s="6">
        <v>96</v>
      </c>
      <c r="H284" s="8">
        <f>tblInventory[[#This Row],[Stock_Quantity]] * tblInventory[[#This Row],[Unit_Price]]</f>
        <v>240</v>
      </c>
      <c r="I284" s="1">
        <v>52</v>
      </c>
      <c r="J284" s="1">
        <v>16</v>
      </c>
      <c r="K284" s="8">
        <f>tblInventory[[#This Row],[Reorder_Quantity]]*M284</f>
        <v>40</v>
      </c>
      <c r="L284" s="10">
        <f>tblInventory[[#This Row],[Stock_Quantity]] / tblInventory[[#This Row],[Reorder_Quantity]]</f>
        <v>6</v>
      </c>
      <c r="M284" s="3">
        <v>2.5</v>
      </c>
      <c r="N284" s="10">
        <f t="shared" si="8"/>
        <v>1.6298811544991512</v>
      </c>
      <c r="O284" s="1" t="s">
        <v>64</v>
      </c>
      <c r="P284" s="2">
        <v>45478</v>
      </c>
      <c r="Q284" s="2">
        <v>45560</v>
      </c>
      <c r="R284" s="1" t="s">
        <v>66</v>
      </c>
      <c r="S284" s="1">
        <v>67</v>
      </c>
      <c r="T284" s="1">
        <v>13</v>
      </c>
      <c r="U284" s="1" t="s">
        <v>46</v>
      </c>
      <c r="V284" s="3">
        <f>tblInventory[[#This Row],[Stock_Quantity]]*tblInventory[[#This Row],[Unit_Price]]</f>
        <v>240</v>
      </c>
      <c r="W284" s="1" t="str">
        <f>IF(tblInventory[[#This Row],[Status]]="Discontinued","INACTIVE",
IF(tblInventory[[#This Row],[Stock_Quantity]] &lt; tblInventory[[#This Row],[Reorder_Level]],"REORDER","OK"))</f>
        <v>OK</v>
      </c>
      <c r="X284" s="1" t="str">
        <f t="shared" ca="1" si="9"/>
        <v>Expired</v>
      </c>
    </row>
    <row r="285" spans="1:24">
      <c r="A285" s="1">
        <v>284</v>
      </c>
      <c r="B285" s="1" t="s">
        <v>498</v>
      </c>
      <c r="C285" s="1" t="s">
        <v>60</v>
      </c>
      <c r="D285" s="1" t="s">
        <v>61</v>
      </c>
      <c r="E285" s="1" t="s">
        <v>499</v>
      </c>
      <c r="F285" s="1" t="s">
        <v>500</v>
      </c>
      <c r="G285" s="6">
        <v>20</v>
      </c>
      <c r="H285" s="8">
        <f>tblInventory[[#This Row],[Stock_Quantity]] * tblInventory[[#This Row],[Unit_Price]]</f>
        <v>50</v>
      </c>
      <c r="I285" s="1">
        <v>55</v>
      </c>
      <c r="J285" s="1">
        <v>15</v>
      </c>
      <c r="K285" s="8">
        <f>tblInventory[[#This Row],[Reorder_Quantity]]*M285</f>
        <v>37.5</v>
      </c>
      <c r="L285" s="10">
        <f>tblInventory[[#This Row],[Stock_Quantity]] / tblInventory[[#This Row],[Reorder_Quantity]]</f>
        <v>1.3333333333333333</v>
      </c>
      <c r="M285" s="3">
        <v>2.5</v>
      </c>
      <c r="N285" s="10">
        <f t="shared" si="8"/>
        <v>0.3395585738539898</v>
      </c>
      <c r="O285" s="2">
        <v>45547</v>
      </c>
      <c r="P285" s="2">
        <v>45630</v>
      </c>
      <c r="Q285" s="2">
        <v>45485</v>
      </c>
      <c r="R285" s="1" t="s">
        <v>501</v>
      </c>
      <c r="S285" s="1">
        <v>86</v>
      </c>
      <c r="T285" s="1">
        <v>61</v>
      </c>
      <c r="U285" s="1" t="s">
        <v>38</v>
      </c>
      <c r="V285" s="3">
        <f>tblInventory[[#This Row],[Stock_Quantity]]*tblInventory[[#This Row],[Unit_Price]]</f>
        <v>50</v>
      </c>
      <c r="W285" s="1" t="str">
        <f>IF(tblInventory[[#This Row],[Status]]="Discontinued","INACTIVE",
IF(tblInventory[[#This Row],[Stock_Quantity]] &lt; tblInventory[[#This Row],[Reorder_Level]],"REORDER","OK"))</f>
        <v>REORDER</v>
      </c>
      <c r="X285" s="1" t="str">
        <f t="shared" ca="1" si="9"/>
        <v>Expired</v>
      </c>
    </row>
    <row r="286" spans="1:24">
      <c r="A286" s="1">
        <v>285</v>
      </c>
      <c r="B286" s="1" t="s">
        <v>2007</v>
      </c>
      <c r="C286" s="1" t="s">
        <v>60</v>
      </c>
      <c r="D286" s="1" t="s">
        <v>61</v>
      </c>
      <c r="E286" s="1" t="s">
        <v>2008</v>
      </c>
      <c r="F286" s="1" t="s">
        <v>2009</v>
      </c>
      <c r="G286" s="6">
        <v>70</v>
      </c>
      <c r="H286" s="8">
        <f>tblInventory[[#This Row],[Stock_Quantity]] * tblInventory[[#This Row],[Unit_Price]]</f>
        <v>175</v>
      </c>
      <c r="I286" s="1">
        <v>96</v>
      </c>
      <c r="J286" s="1">
        <v>85</v>
      </c>
      <c r="K286" s="8">
        <f>tblInventory[[#This Row],[Reorder_Quantity]]*M286</f>
        <v>212.5</v>
      </c>
      <c r="L286" s="10">
        <f>tblInventory[[#This Row],[Stock_Quantity]] / tblInventory[[#This Row],[Reorder_Quantity]]</f>
        <v>0.82352941176470584</v>
      </c>
      <c r="M286" s="3">
        <v>2.5</v>
      </c>
      <c r="N286" s="10">
        <f t="shared" si="8"/>
        <v>1.1884550084889645</v>
      </c>
      <c r="O286" s="1" t="s">
        <v>524</v>
      </c>
      <c r="P286" s="2">
        <v>45360</v>
      </c>
      <c r="Q286" s="2">
        <v>46016</v>
      </c>
      <c r="R286" s="1" t="s">
        <v>2010</v>
      </c>
      <c r="S286" s="1">
        <v>34</v>
      </c>
      <c r="T286" s="1">
        <v>3</v>
      </c>
      <c r="U286" s="1" t="s">
        <v>46</v>
      </c>
      <c r="V286" s="3">
        <f>tblInventory[[#This Row],[Stock_Quantity]]*tblInventory[[#This Row],[Unit_Price]]</f>
        <v>175</v>
      </c>
      <c r="W286" s="1" t="str">
        <f>IF(tblInventory[[#This Row],[Status]]="Discontinued","INACTIVE",
IF(tblInventory[[#This Row],[Stock_Quantity]] &lt; tblInventory[[#This Row],[Reorder_Level]],"REORDER","OK"))</f>
        <v>REORDER</v>
      </c>
      <c r="X286" s="1" t="str">
        <f t="shared" ca="1" si="9"/>
        <v>Valid</v>
      </c>
    </row>
    <row r="287" spans="1:24">
      <c r="A287" s="1">
        <v>286</v>
      </c>
      <c r="B287" s="1" t="s">
        <v>2119</v>
      </c>
      <c r="C287" s="1" t="s">
        <v>60</v>
      </c>
      <c r="D287" s="1" t="s">
        <v>61</v>
      </c>
      <c r="E287" s="1" t="s">
        <v>2120</v>
      </c>
      <c r="F287" s="1" t="s">
        <v>2002</v>
      </c>
      <c r="G287" s="6">
        <v>17</v>
      </c>
      <c r="H287" s="8">
        <f>tblInventory[[#This Row],[Stock_Quantity]] * tblInventory[[#This Row],[Unit_Price]]</f>
        <v>42.5</v>
      </c>
      <c r="I287" s="1">
        <v>63</v>
      </c>
      <c r="J287" s="1">
        <v>66</v>
      </c>
      <c r="K287" s="8">
        <f>tblInventory[[#This Row],[Reorder_Quantity]]*M287</f>
        <v>165</v>
      </c>
      <c r="L287" s="10">
        <f>tblInventory[[#This Row],[Stock_Quantity]] / tblInventory[[#This Row],[Reorder_Quantity]]</f>
        <v>0.25757575757575757</v>
      </c>
      <c r="M287" s="3">
        <v>2.5</v>
      </c>
      <c r="N287" s="10">
        <f t="shared" si="8"/>
        <v>0.28862478777589134</v>
      </c>
      <c r="O287" s="1" t="s">
        <v>264</v>
      </c>
      <c r="P287" s="1" t="s">
        <v>312</v>
      </c>
      <c r="Q287" s="2">
        <v>46051</v>
      </c>
      <c r="R287" s="1" t="s">
        <v>2121</v>
      </c>
      <c r="S287" s="1">
        <v>23</v>
      </c>
      <c r="T287" s="1">
        <v>46</v>
      </c>
      <c r="U287" s="1" t="s">
        <v>38</v>
      </c>
      <c r="V287" s="3">
        <f>tblInventory[[#This Row],[Stock_Quantity]]*tblInventory[[#This Row],[Unit_Price]]</f>
        <v>42.5</v>
      </c>
      <c r="W287" s="1" t="str">
        <f>IF(tblInventory[[#This Row],[Status]]="Discontinued","INACTIVE",
IF(tblInventory[[#This Row],[Stock_Quantity]] &lt; tblInventory[[#This Row],[Reorder_Level]],"REORDER","OK"))</f>
        <v>REORDER</v>
      </c>
      <c r="X287" s="1" t="str">
        <f t="shared" ca="1" si="9"/>
        <v>Valid</v>
      </c>
    </row>
    <row r="288" spans="1:24">
      <c r="A288" s="1">
        <v>287</v>
      </c>
      <c r="B288" s="1" t="s">
        <v>2528</v>
      </c>
      <c r="C288" s="1" t="s">
        <v>60</v>
      </c>
      <c r="D288" s="1" t="s">
        <v>61</v>
      </c>
      <c r="E288" s="1" t="s">
        <v>2529</v>
      </c>
      <c r="F288" s="1" t="s">
        <v>210</v>
      </c>
      <c r="G288" s="6">
        <v>26</v>
      </c>
      <c r="H288" s="8">
        <f>tblInventory[[#This Row],[Stock_Quantity]] * tblInventory[[#This Row],[Unit_Price]]</f>
        <v>65</v>
      </c>
      <c r="I288" s="1">
        <v>100</v>
      </c>
      <c r="J288" s="1">
        <v>13</v>
      </c>
      <c r="K288" s="8">
        <f>tblInventory[[#This Row],[Reorder_Quantity]]*M288</f>
        <v>32.5</v>
      </c>
      <c r="L288" s="10">
        <f>tblInventory[[#This Row],[Stock_Quantity]] / tblInventory[[#This Row],[Reorder_Quantity]]</f>
        <v>2</v>
      </c>
      <c r="M288" s="3">
        <v>2.5</v>
      </c>
      <c r="N288" s="10">
        <f t="shared" si="8"/>
        <v>0.44142614601018676</v>
      </c>
      <c r="O288" s="1" t="s">
        <v>1357</v>
      </c>
      <c r="P288" s="1" t="s">
        <v>485</v>
      </c>
      <c r="Q288" s="2">
        <v>46087</v>
      </c>
      <c r="R288" s="1" t="s">
        <v>2530</v>
      </c>
      <c r="S288" s="1">
        <v>45</v>
      </c>
      <c r="T288" s="1">
        <v>45</v>
      </c>
      <c r="U288" s="1" t="s">
        <v>24</v>
      </c>
      <c r="V288" s="3">
        <f>tblInventory[[#This Row],[Stock_Quantity]]*tblInventory[[#This Row],[Unit_Price]]</f>
        <v>65</v>
      </c>
      <c r="W288" s="1" t="str">
        <f>IF(tblInventory[[#This Row],[Status]]="Discontinued","INACTIVE",
IF(tblInventory[[#This Row],[Stock_Quantity]] &lt; tblInventory[[#This Row],[Reorder_Level]],"REORDER","OK"))</f>
        <v>INACTIVE</v>
      </c>
      <c r="X288" s="1" t="str">
        <f t="shared" ca="1" si="9"/>
        <v>Valid</v>
      </c>
    </row>
    <row r="289" spans="1:24">
      <c r="A289" s="1">
        <v>288</v>
      </c>
      <c r="B289" s="1" t="s">
        <v>2830</v>
      </c>
      <c r="C289" s="1" t="s">
        <v>60</v>
      </c>
      <c r="D289" s="1" t="s">
        <v>61</v>
      </c>
      <c r="E289" s="1" t="s">
        <v>2831</v>
      </c>
      <c r="F289" s="1" t="s">
        <v>210</v>
      </c>
      <c r="G289" s="6">
        <v>32</v>
      </c>
      <c r="H289" s="8">
        <f>tblInventory[[#This Row],[Stock_Quantity]] * tblInventory[[#This Row],[Unit_Price]]</f>
        <v>80</v>
      </c>
      <c r="I289" s="1">
        <v>38</v>
      </c>
      <c r="J289" s="1">
        <v>23</v>
      </c>
      <c r="K289" s="8">
        <f>tblInventory[[#This Row],[Reorder_Quantity]]*M289</f>
        <v>57.5</v>
      </c>
      <c r="L289" s="10">
        <f>tblInventory[[#This Row],[Stock_Quantity]] / tblInventory[[#This Row],[Reorder_Quantity]]</f>
        <v>1.3913043478260869</v>
      </c>
      <c r="M289" s="3">
        <v>2.5</v>
      </c>
      <c r="N289" s="10">
        <f t="shared" si="8"/>
        <v>0.54329371816638372</v>
      </c>
      <c r="O289" s="1" t="s">
        <v>653</v>
      </c>
      <c r="P289" s="1" t="s">
        <v>30</v>
      </c>
      <c r="Q289" s="2">
        <v>46090</v>
      </c>
      <c r="R289" s="1" t="s">
        <v>2832</v>
      </c>
      <c r="S289" s="1">
        <v>52</v>
      </c>
      <c r="T289" s="1">
        <v>11</v>
      </c>
      <c r="U289" s="1" t="s">
        <v>24</v>
      </c>
      <c r="V289" s="3">
        <f>tblInventory[[#This Row],[Stock_Quantity]]*tblInventory[[#This Row],[Unit_Price]]</f>
        <v>80</v>
      </c>
      <c r="W289" s="1" t="str">
        <f>IF(tblInventory[[#This Row],[Status]]="Discontinued","INACTIVE",
IF(tblInventory[[#This Row],[Stock_Quantity]] &lt; tblInventory[[#This Row],[Reorder_Level]],"REORDER","OK"))</f>
        <v>INACTIVE</v>
      </c>
      <c r="X289" s="1" t="str">
        <f t="shared" ca="1" si="9"/>
        <v>Valid</v>
      </c>
    </row>
    <row r="290" spans="1:24">
      <c r="A290" s="1">
        <v>289</v>
      </c>
      <c r="B290" s="1" t="s">
        <v>2961</v>
      </c>
      <c r="C290" s="1" t="s">
        <v>60</v>
      </c>
      <c r="D290" s="1" t="s">
        <v>61</v>
      </c>
      <c r="E290" s="1" t="s">
        <v>2962</v>
      </c>
      <c r="F290" s="1" t="s">
        <v>1872</v>
      </c>
      <c r="G290" s="6">
        <v>75</v>
      </c>
      <c r="H290" s="8">
        <f>tblInventory[[#This Row],[Stock_Quantity]] * tblInventory[[#This Row],[Unit_Price]]</f>
        <v>187.5</v>
      </c>
      <c r="I290" s="1">
        <v>23</v>
      </c>
      <c r="J290" s="1">
        <v>34</v>
      </c>
      <c r="K290" s="8">
        <f>tblInventory[[#This Row],[Reorder_Quantity]]*M290</f>
        <v>85</v>
      </c>
      <c r="L290" s="10">
        <f>tblInventory[[#This Row],[Stock_Quantity]] / tblInventory[[#This Row],[Reorder_Quantity]]</f>
        <v>2.2058823529411766</v>
      </c>
      <c r="M290" s="3">
        <v>2.5</v>
      </c>
      <c r="N290" s="10">
        <f t="shared" si="8"/>
        <v>1.2733446519524618</v>
      </c>
      <c r="O290" s="1" t="s">
        <v>151</v>
      </c>
      <c r="P290" s="2">
        <v>45391</v>
      </c>
      <c r="Q290" s="2">
        <v>46309</v>
      </c>
      <c r="R290" s="1" t="s">
        <v>2963</v>
      </c>
      <c r="S290" s="1">
        <v>100</v>
      </c>
      <c r="T290" s="1">
        <v>54</v>
      </c>
      <c r="U290" s="1" t="s">
        <v>38</v>
      </c>
      <c r="V290" s="3">
        <f>tblInventory[[#This Row],[Stock_Quantity]]*tblInventory[[#This Row],[Unit_Price]]</f>
        <v>187.5</v>
      </c>
      <c r="W290" s="1" t="str">
        <f>IF(tblInventory[[#This Row],[Status]]="Discontinued","INACTIVE",
IF(tblInventory[[#This Row],[Stock_Quantity]] &lt; tblInventory[[#This Row],[Reorder_Level]],"REORDER","OK"))</f>
        <v>OK</v>
      </c>
      <c r="X290" s="1" t="str">
        <f t="shared" ca="1" si="9"/>
        <v>Valid</v>
      </c>
    </row>
    <row r="291" spans="1:24">
      <c r="A291" s="1">
        <v>290</v>
      </c>
      <c r="B291" s="1" t="s">
        <v>3348</v>
      </c>
      <c r="C291" s="1" t="s">
        <v>60</v>
      </c>
      <c r="D291" s="1" t="s">
        <v>61</v>
      </c>
      <c r="E291" s="1" t="s">
        <v>3349</v>
      </c>
      <c r="F291" s="1" t="s">
        <v>671</v>
      </c>
      <c r="G291" s="6">
        <v>28</v>
      </c>
      <c r="H291" s="8">
        <f>tblInventory[[#This Row],[Stock_Quantity]] * tblInventory[[#This Row],[Unit_Price]]</f>
        <v>70</v>
      </c>
      <c r="I291" s="1">
        <v>32</v>
      </c>
      <c r="J291" s="1">
        <v>71</v>
      </c>
      <c r="K291" s="8">
        <f>tblInventory[[#This Row],[Reorder_Quantity]]*M291</f>
        <v>177.5</v>
      </c>
      <c r="L291" s="10">
        <f>tblInventory[[#This Row],[Stock_Quantity]] / tblInventory[[#This Row],[Reorder_Quantity]]</f>
        <v>0.39436619718309857</v>
      </c>
      <c r="M291" s="3">
        <v>2.5</v>
      </c>
      <c r="N291" s="10">
        <f t="shared" si="8"/>
        <v>0.47538200339558573</v>
      </c>
      <c r="O291" s="1" t="s">
        <v>271</v>
      </c>
      <c r="P291" s="2">
        <v>45327</v>
      </c>
      <c r="Q291" s="2">
        <v>46434</v>
      </c>
      <c r="R291" s="1" t="s">
        <v>3350</v>
      </c>
      <c r="S291" s="1">
        <v>32</v>
      </c>
      <c r="T291" s="1">
        <v>49</v>
      </c>
      <c r="U291" s="1" t="s">
        <v>24</v>
      </c>
      <c r="V291" s="3">
        <f>tblInventory[[#This Row],[Stock_Quantity]]*tblInventory[[#This Row],[Unit_Price]]</f>
        <v>70</v>
      </c>
      <c r="W291" s="1" t="str">
        <f>IF(tblInventory[[#This Row],[Status]]="Discontinued","INACTIVE",
IF(tblInventory[[#This Row],[Stock_Quantity]] &lt; tblInventory[[#This Row],[Reorder_Level]],"REORDER","OK"))</f>
        <v>INACTIVE</v>
      </c>
      <c r="X291" s="1" t="str">
        <f t="shared" ca="1" si="9"/>
        <v>Valid</v>
      </c>
    </row>
    <row r="292" spans="1:24">
      <c r="A292" s="1">
        <v>291</v>
      </c>
      <c r="B292" s="1" t="s">
        <v>3556</v>
      </c>
      <c r="C292" s="1" t="s">
        <v>60</v>
      </c>
      <c r="D292" s="1" t="s">
        <v>61</v>
      </c>
      <c r="E292" s="1" t="s">
        <v>3557</v>
      </c>
      <c r="F292" s="1" t="s">
        <v>790</v>
      </c>
      <c r="G292" s="6">
        <v>50</v>
      </c>
      <c r="H292" s="8">
        <f>tblInventory[[#This Row],[Stock_Quantity]] * tblInventory[[#This Row],[Unit_Price]]</f>
        <v>125</v>
      </c>
      <c r="I292" s="1">
        <v>40</v>
      </c>
      <c r="J292" s="1">
        <v>69</v>
      </c>
      <c r="K292" s="8">
        <f>tblInventory[[#This Row],[Reorder_Quantity]]*M292</f>
        <v>172.5</v>
      </c>
      <c r="L292" s="10">
        <f>tblInventory[[#This Row],[Stock_Quantity]] / tblInventory[[#This Row],[Reorder_Quantity]]</f>
        <v>0.72463768115942029</v>
      </c>
      <c r="M292" s="3">
        <v>2.5</v>
      </c>
      <c r="N292" s="10">
        <f t="shared" si="8"/>
        <v>0.84889643463497455</v>
      </c>
      <c r="O292" s="1" t="s">
        <v>115</v>
      </c>
      <c r="P292" s="1" t="s">
        <v>1075</v>
      </c>
      <c r="Q292" s="2">
        <v>46501</v>
      </c>
      <c r="R292" s="1" t="s">
        <v>3558</v>
      </c>
      <c r="S292" s="1">
        <v>28</v>
      </c>
      <c r="T292" s="1">
        <v>98</v>
      </c>
      <c r="U292" s="1" t="s">
        <v>46</v>
      </c>
      <c r="V292" s="3">
        <f>tblInventory[[#This Row],[Stock_Quantity]]*tblInventory[[#This Row],[Unit_Price]]</f>
        <v>125</v>
      </c>
      <c r="W292" s="1" t="str">
        <f>IF(tblInventory[[#This Row],[Status]]="Discontinued","INACTIVE",
IF(tblInventory[[#This Row],[Stock_Quantity]] &lt; tblInventory[[#This Row],[Reorder_Level]],"REORDER","OK"))</f>
        <v>OK</v>
      </c>
      <c r="X292" s="1" t="str">
        <f t="shared" ca="1" si="9"/>
        <v>Valid</v>
      </c>
    </row>
    <row r="293" spans="1:24">
      <c r="A293" s="1">
        <v>292</v>
      </c>
      <c r="B293" s="1" t="s">
        <v>624</v>
      </c>
      <c r="C293" s="1" t="s">
        <v>625</v>
      </c>
      <c r="D293" s="1" t="s">
        <v>69</v>
      </c>
      <c r="E293" s="1" t="s">
        <v>626</v>
      </c>
      <c r="F293" s="1" t="s">
        <v>245</v>
      </c>
      <c r="G293" s="6">
        <v>37</v>
      </c>
      <c r="H293" s="8">
        <f>tblInventory[[#This Row],[Stock_Quantity]] * tblInventory[[#This Row],[Unit_Price]]</f>
        <v>185</v>
      </c>
      <c r="I293" s="1">
        <v>5</v>
      </c>
      <c r="J293" s="1">
        <v>1</v>
      </c>
      <c r="K293" s="8">
        <f>tblInventory[[#This Row],[Reorder_Quantity]]*M293</f>
        <v>5</v>
      </c>
      <c r="L293" s="10">
        <f>tblInventory[[#This Row],[Stock_Quantity]] / tblInventory[[#This Row],[Reorder_Quantity]]</f>
        <v>37</v>
      </c>
      <c r="M293" s="3">
        <v>5</v>
      </c>
      <c r="N293" s="10">
        <f t="shared" si="8"/>
        <v>0.6281833616298812</v>
      </c>
      <c r="O293" s="2">
        <v>45689</v>
      </c>
      <c r="P293" s="1" t="s">
        <v>524</v>
      </c>
      <c r="Q293" s="2">
        <v>45656</v>
      </c>
      <c r="R293" s="1" t="s">
        <v>627</v>
      </c>
      <c r="S293" s="1">
        <v>68</v>
      </c>
      <c r="T293" s="1">
        <v>99</v>
      </c>
      <c r="U293" s="1" t="s">
        <v>46</v>
      </c>
      <c r="V293" s="3">
        <f>tblInventory[[#This Row],[Stock_Quantity]]*tblInventory[[#This Row],[Unit_Price]]</f>
        <v>185</v>
      </c>
      <c r="W293" s="1" t="str">
        <f>IF(tblInventory[[#This Row],[Status]]="Discontinued","INACTIVE",
IF(tblInventory[[#This Row],[Stock_Quantity]] &lt; tblInventory[[#This Row],[Reorder_Level]],"REORDER","OK"))</f>
        <v>OK</v>
      </c>
      <c r="X293" s="1" t="str">
        <f t="shared" ca="1" si="9"/>
        <v>Expired</v>
      </c>
    </row>
    <row r="294" spans="1:24">
      <c r="A294" s="1">
        <v>293</v>
      </c>
      <c r="B294" s="1" t="s">
        <v>1722</v>
      </c>
      <c r="C294" s="1" t="s">
        <v>625</v>
      </c>
      <c r="D294" s="1" t="s">
        <v>69</v>
      </c>
      <c r="E294" s="1" t="s">
        <v>1723</v>
      </c>
      <c r="F294" s="1" t="s">
        <v>1724</v>
      </c>
      <c r="G294" s="6">
        <v>89</v>
      </c>
      <c r="H294" s="8">
        <f>tblInventory[[#This Row],[Stock_Quantity]] * tblInventory[[#This Row],[Unit_Price]]</f>
        <v>445</v>
      </c>
      <c r="I294" s="1">
        <v>42</v>
      </c>
      <c r="J294" s="1">
        <v>76</v>
      </c>
      <c r="K294" s="8">
        <f>tblInventory[[#This Row],[Reorder_Quantity]]*M294</f>
        <v>380</v>
      </c>
      <c r="L294" s="10">
        <f>tblInventory[[#This Row],[Stock_Quantity]] / tblInventory[[#This Row],[Reorder_Quantity]]</f>
        <v>1.1710526315789473</v>
      </c>
      <c r="M294" s="3">
        <v>5</v>
      </c>
      <c r="N294" s="10">
        <f t="shared" si="8"/>
        <v>1.5110356536502547</v>
      </c>
      <c r="O294" s="1" t="s">
        <v>1125</v>
      </c>
      <c r="P294" s="1" t="s">
        <v>1111</v>
      </c>
      <c r="Q294" s="2">
        <v>45930</v>
      </c>
      <c r="R294" s="1" t="s">
        <v>1725</v>
      </c>
      <c r="S294" s="1">
        <v>94</v>
      </c>
      <c r="T294" s="1">
        <v>81</v>
      </c>
      <c r="U294" s="1" t="s">
        <v>38</v>
      </c>
      <c r="V294" s="3">
        <f>tblInventory[[#This Row],[Stock_Quantity]]*tblInventory[[#This Row],[Unit_Price]]</f>
        <v>445</v>
      </c>
      <c r="W294" s="1" t="str">
        <f>IF(tblInventory[[#This Row],[Status]]="Discontinued","INACTIVE",
IF(tblInventory[[#This Row],[Stock_Quantity]] &lt; tblInventory[[#This Row],[Reorder_Level]],"REORDER","OK"))</f>
        <v>OK</v>
      </c>
      <c r="X294" s="1" t="str">
        <f t="shared" ca="1" si="9"/>
        <v>Expired</v>
      </c>
    </row>
    <row r="295" spans="1:24">
      <c r="A295" s="1">
        <v>294</v>
      </c>
      <c r="B295" s="1" t="s">
        <v>1809</v>
      </c>
      <c r="C295" s="1" t="s">
        <v>625</v>
      </c>
      <c r="D295" s="1" t="s">
        <v>69</v>
      </c>
      <c r="E295" s="1" t="s">
        <v>1810</v>
      </c>
      <c r="F295" s="1" t="s">
        <v>1020</v>
      </c>
      <c r="G295" s="6">
        <v>67</v>
      </c>
      <c r="H295" s="8">
        <f>tblInventory[[#This Row],[Stock_Quantity]] * tblInventory[[#This Row],[Unit_Price]]</f>
        <v>335</v>
      </c>
      <c r="I295" s="1">
        <v>98</v>
      </c>
      <c r="J295" s="1">
        <v>92</v>
      </c>
      <c r="K295" s="8">
        <f>tblInventory[[#This Row],[Reorder_Quantity]]*M295</f>
        <v>460</v>
      </c>
      <c r="L295" s="10">
        <f>tblInventory[[#This Row],[Stock_Quantity]] / tblInventory[[#This Row],[Reorder_Quantity]]</f>
        <v>0.72826086956521741</v>
      </c>
      <c r="M295" s="3">
        <v>5</v>
      </c>
      <c r="N295" s="10">
        <f t="shared" si="8"/>
        <v>1.137521222410866</v>
      </c>
      <c r="O295" s="1" t="s">
        <v>1811</v>
      </c>
      <c r="P295" s="1" t="s">
        <v>784</v>
      </c>
      <c r="Q295" s="2">
        <v>45956</v>
      </c>
      <c r="R295" s="1" t="s">
        <v>1812</v>
      </c>
      <c r="S295" s="1">
        <v>35</v>
      </c>
      <c r="T295" s="1">
        <v>98</v>
      </c>
      <c r="U295" s="1" t="s">
        <v>38</v>
      </c>
      <c r="V295" s="3">
        <f>tblInventory[[#This Row],[Stock_Quantity]]*tblInventory[[#This Row],[Unit_Price]]</f>
        <v>335</v>
      </c>
      <c r="W295" s="1" t="str">
        <f>IF(tblInventory[[#This Row],[Status]]="Discontinued","INACTIVE",
IF(tblInventory[[#This Row],[Stock_Quantity]] &lt; tblInventory[[#This Row],[Reorder_Level]],"REORDER","OK"))</f>
        <v>REORDER</v>
      </c>
      <c r="X295" s="1" t="str">
        <f t="shared" ca="1" si="9"/>
        <v>Expired</v>
      </c>
    </row>
    <row r="296" spans="1:24">
      <c r="A296" s="1">
        <v>295</v>
      </c>
      <c r="B296" s="1" t="s">
        <v>2004</v>
      </c>
      <c r="C296" s="1" t="s">
        <v>625</v>
      </c>
      <c r="D296" s="1" t="s">
        <v>69</v>
      </c>
      <c r="E296" s="1" t="s">
        <v>2005</v>
      </c>
      <c r="F296" s="1" t="s">
        <v>29</v>
      </c>
      <c r="G296" s="6">
        <v>68</v>
      </c>
      <c r="H296" s="8">
        <f>tblInventory[[#This Row],[Stock_Quantity]] * tblInventory[[#This Row],[Unit_Price]]</f>
        <v>326.39999999999998</v>
      </c>
      <c r="I296" s="1">
        <v>82</v>
      </c>
      <c r="J296" s="1">
        <v>58</v>
      </c>
      <c r="K296" s="8">
        <f>tblInventory[[#This Row],[Reorder_Quantity]]*M296</f>
        <v>278.39999999999998</v>
      </c>
      <c r="L296" s="10">
        <f>tblInventory[[#This Row],[Stock_Quantity]] / tblInventory[[#This Row],[Reorder_Quantity]]</f>
        <v>1.1724137931034482</v>
      </c>
      <c r="M296" s="3">
        <v>4.8</v>
      </c>
      <c r="N296" s="10">
        <f t="shared" si="8"/>
        <v>1.1544991511035654</v>
      </c>
      <c r="O296" s="2">
        <v>45508</v>
      </c>
      <c r="P296" s="1" t="s">
        <v>279</v>
      </c>
      <c r="Q296" s="2">
        <v>46015</v>
      </c>
      <c r="R296" s="1" t="s">
        <v>2006</v>
      </c>
      <c r="S296" s="1">
        <v>90</v>
      </c>
      <c r="T296" s="1">
        <v>2</v>
      </c>
      <c r="U296" s="1" t="s">
        <v>38</v>
      </c>
      <c r="V296" s="3">
        <f>tblInventory[[#This Row],[Stock_Quantity]]*tblInventory[[#This Row],[Unit_Price]]</f>
        <v>326.39999999999998</v>
      </c>
      <c r="W296" s="1" t="str">
        <f>IF(tblInventory[[#This Row],[Status]]="Discontinued","INACTIVE",
IF(tblInventory[[#This Row],[Stock_Quantity]] &lt; tblInventory[[#This Row],[Reorder_Level]],"REORDER","OK"))</f>
        <v>REORDER</v>
      </c>
      <c r="X296" s="1" t="str">
        <f t="shared" ca="1" si="9"/>
        <v>Valid</v>
      </c>
    </row>
    <row r="297" spans="1:24">
      <c r="A297" s="1">
        <v>296</v>
      </c>
      <c r="B297" s="1" t="s">
        <v>514</v>
      </c>
      <c r="C297" s="1" t="s">
        <v>515</v>
      </c>
      <c r="D297" s="1" t="s">
        <v>69</v>
      </c>
      <c r="E297" s="1" t="s">
        <v>516</v>
      </c>
      <c r="F297" s="1" t="s">
        <v>517</v>
      </c>
      <c r="G297" s="6">
        <v>92</v>
      </c>
      <c r="H297" s="8">
        <f>tblInventory[[#This Row],[Stock_Quantity]] * tblInventory[[#This Row],[Unit_Price]]</f>
        <v>230</v>
      </c>
      <c r="I297" s="1">
        <v>52</v>
      </c>
      <c r="J297" s="1">
        <v>80</v>
      </c>
      <c r="K297" s="8">
        <f>tblInventory[[#This Row],[Reorder_Quantity]]*M297</f>
        <v>200</v>
      </c>
      <c r="L297" s="10">
        <f>tblInventory[[#This Row],[Stock_Quantity]] / tblInventory[[#This Row],[Reorder_Quantity]]</f>
        <v>1.1499999999999999</v>
      </c>
      <c r="M297" s="3">
        <v>2.5</v>
      </c>
      <c r="N297" s="10">
        <f t="shared" si="8"/>
        <v>1.5619694397283532</v>
      </c>
      <c r="O297" s="2">
        <v>45357</v>
      </c>
      <c r="P297" s="1" t="s">
        <v>518</v>
      </c>
      <c r="Q297" s="2">
        <v>45577</v>
      </c>
      <c r="R297" s="1" t="s">
        <v>520</v>
      </c>
      <c r="S297" s="1">
        <v>72</v>
      </c>
      <c r="T297" s="1">
        <v>96</v>
      </c>
      <c r="U297" s="1" t="s">
        <v>24</v>
      </c>
      <c r="V297" s="3">
        <f>tblInventory[[#This Row],[Stock_Quantity]]*tblInventory[[#This Row],[Unit_Price]]</f>
        <v>230</v>
      </c>
      <c r="W297" s="1" t="str">
        <f>IF(tblInventory[[#This Row],[Status]]="Discontinued","INACTIVE",
IF(tblInventory[[#This Row],[Stock_Quantity]] &lt; tblInventory[[#This Row],[Reorder_Level]],"REORDER","OK"))</f>
        <v>INACTIVE</v>
      </c>
      <c r="X297" s="1" t="str">
        <f t="shared" ca="1" si="9"/>
        <v>Expired</v>
      </c>
    </row>
    <row r="298" spans="1:24">
      <c r="A298" s="1">
        <v>297</v>
      </c>
      <c r="B298" s="1" t="s">
        <v>954</v>
      </c>
      <c r="C298" s="1" t="s">
        <v>515</v>
      </c>
      <c r="D298" s="1" t="s">
        <v>69</v>
      </c>
      <c r="E298" s="1" t="s">
        <v>955</v>
      </c>
      <c r="F298" s="1" t="s">
        <v>931</v>
      </c>
      <c r="G298" s="6">
        <v>29</v>
      </c>
      <c r="H298" s="8">
        <f>tblInventory[[#This Row],[Stock_Quantity]] * tblInventory[[#This Row],[Unit_Price]]</f>
        <v>72.5</v>
      </c>
      <c r="I298" s="1">
        <v>32</v>
      </c>
      <c r="J298" s="1">
        <v>26</v>
      </c>
      <c r="K298" s="8">
        <f>tblInventory[[#This Row],[Reorder_Quantity]]*M298</f>
        <v>65</v>
      </c>
      <c r="L298" s="10">
        <f>tblInventory[[#This Row],[Stock_Quantity]] / tblInventory[[#This Row],[Reorder_Quantity]]</f>
        <v>1.1153846153846154</v>
      </c>
      <c r="M298" s="3">
        <v>2.5</v>
      </c>
      <c r="N298" s="10">
        <f t="shared" si="8"/>
        <v>0.49235993208828527</v>
      </c>
      <c r="O298" s="1" t="s">
        <v>109</v>
      </c>
      <c r="P298" s="1" t="s">
        <v>956</v>
      </c>
      <c r="Q298" s="2">
        <v>45729</v>
      </c>
      <c r="R298" s="1" t="s">
        <v>957</v>
      </c>
      <c r="S298" s="1">
        <v>64</v>
      </c>
      <c r="T298" s="1">
        <v>85</v>
      </c>
      <c r="U298" s="1" t="s">
        <v>24</v>
      </c>
      <c r="V298" s="3">
        <f>tblInventory[[#This Row],[Stock_Quantity]]*tblInventory[[#This Row],[Unit_Price]]</f>
        <v>72.5</v>
      </c>
      <c r="W298" s="1" t="str">
        <f>IF(tblInventory[[#This Row],[Status]]="Discontinued","INACTIVE",
IF(tblInventory[[#This Row],[Stock_Quantity]] &lt; tblInventory[[#This Row],[Reorder_Level]],"REORDER","OK"))</f>
        <v>INACTIVE</v>
      </c>
      <c r="X298" s="1" t="str">
        <f t="shared" ca="1" si="9"/>
        <v>Expired</v>
      </c>
    </row>
    <row r="299" spans="1:24">
      <c r="A299" s="1">
        <v>298</v>
      </c>
      <c r="B299" s="1" t="s">
        <v>1668</v>
      </c>
      <c r="C299" s="1" t="s">
        <v>515</v>
      </c>
      <c r="D299" s="1" t="s">
        <v>69</v>
      </c>
      <c r="E299" s="1" t="s">
        <v>1669</v>
      </c>
      <c r="F299" s="1" t="s">
        <v>760</v>
      </c>
      <c r="G299" s="6">
        <v>18</v>
      </c>
      <c r="H299" s="8">
        <f>tblInventory[[#This Row],[Stock_Quantity]] * tblInventory[[#This Row],[Unit_Price]]</f>
        <v>45</v>
      </c>
      <c r="I299" s="1">
        <v>14</v>
      </c>
      <c r="J299" s="1">
        <v>77</v>
      </c>
      <c r="K299" s="8">
        <f>tblInventory[[#This Row],[Reorder_Quantity]]*M299</f>
        <v>192.5</v>
      </c>
      <c r="L299" s="10">
        <f>tblInventory[[#This Row],[Stock_Quantity]] / tblInventory[[#This Row],[Reorder_Quantity]]</f>
        <v>0.23376623376623376</v>
      </c>
      <c r="M299" s="3">
        <v>2.5</v>
      </c>
      <c r="N299" s="10">
        <f t="shared" si="8"/>
        <v>0.30560271646859083</v>
      </c>
      <c r="O299" s="2">
        <v>45778</v>
      </c>
      <c r="P299" s="2">
        <v>45631</v>
      </c>
      <c r="Q299" s="2">
        <v>45914</v>
      </c>
      <c r="R299" s="1" t="s">
        <v>1670</v>
      </c>
      <c r="S299" s="1">
        <v>78</v>
      </c>
      <c r="T299" s="1">
        <v>4</v>
      </c>
      <c r="U299" s="1" t="s">
        <v>38</v>
      </c>
      <c r="V299" s="3">
        <f>tblInventory[[#This Row],[Stock_Quantity]]*tblInventory[[#This Row],[Unit_Price]]</f>
        <v>45</v>
      </c>
      <c r="W299" s="1" t="str">
        <f>IF(tblInventory[[#This Row],[Status]]="Discontinued","INACTIVE",
IF(tblInventory[[#This Row],[Stock_Quantity]] &lt; tblInventory[[#This Row],[Reorder_Level]],"REORDER","OK"))</f>
        <v>OK</v>
      </c>
      <c r="X299" s="1" t="str">
        <f t="shared" ca="1" si="9"/>
        <v>Expired</v>
      </c>
    </row>
    <row r="300" spans="1:24">
      <c r="A300" s="1">
        <v>299</v>
      </c>
      <c r="B300" s="1" t="s">
        <v>2186</v>
      </c>
      <c r="C300" s="1" t="s">
        <v>515</v>
      </c>
      <c r="D300" s="1" t="s">
        <v>69</v>
      </c>
      <c r="E300" s="1" t="s">
        <v>2187</v>
      </c>
      <c r="F300" s="1" t="s">
        <v>2188</v>
      </c>
      <c r="G300" s="6">
        <v>82</v>
      </c>
      <c r="H300" s="8">
        <f>tblInventory[[#This Row],[Stock_Quantity]] * tblInventory[[#This Row],[Unit_Price]]</f>
        <v>196.79999999999998</v>
      </c>
      <c r="I300" s="1">
        <v>3</v>
      </c>
      <c r="J300" s="1">
        <v>82</v>
      </c>
      <c r="K300" s="8">
        <f>tblInventory[[#This Row],[Reorder_Quantity]]*M300</f>
        <v>196.79999999999998</v>
      </c>
      <c r="L300" s="10">
        <f>tblInventory[[#This Row],[Stock_Quantity]] / tblInventory[[#This Row],[Reorder_Quantity]]</f>
        <v>1</v>
      </c>
      <c r="M300" s="3">
        <v>2.4</v>
      </c>
      <c r="N300" s="10">
        <f t="shared" si="8"/>
        <v>1.3921901528013583</v>
      </c>
      <c r="O300" s="2">
        <v>45361</v>
      </c>
      <c r="P300" s="2">
        <v>45577</v>
      </c>
      <c r="Q300" s="2">
        <v>46071</v>
      </c>
      <c r="R300" s="1" t="s">
        <v>2189</v>
      </c>
      <c r="S300" s="1">
        <v>48</v>
      </c>
      <c r="T300" s="1">
        <v>31</v>
      </c>
      <c r="U300" s="1" t="s">
        <v>46</v>
      </c>
      <c r="V300" s="3">
        <f>tblInventory[[#This Row],[Stock_Quantity]]*tblInventory[[#This Row],[Unit_Price]]</f>
        <v>196.79999999999998</v>
      </c>
      <c r="W300" s="1" t="str">
        <f>IF(tblInventory[[#This Row],[Status]]="Discontinued","INACTIVE",
IF(tblInventory[[#This Row],[Stock_Quantity]] &lt; tblInventory[[#This Row],[Reorder_Level]],"REORDER","OK"))</f>
        <v>OK</v>
      </c>
      <c r="X300" s="1" t="str">
        <f t="shared" ca="1" si="9"/>
        <v>Valid</v>
      </c>
    </row>
    <row r="301" spans="1:24">
      <c r="A301" s="1">
        <v>300</v>
      </c>
      <c r="B301" s="1" t="s">
        <v>2562</v>
      </c>
      <c r="C301" s="1" t="s">
        <v>515</v>
      </c>
      <c r="D301" s="1" t="s">
        <v>69</v>
      </c>
      <c r="E301" s="1" t="s">
        <v>2563</v>
      </c>
      <c r="F301" s="1" t="s">
        <v>1161</v>
      </c>
      <c r="G301" s="6">
        <v>21</v>
      </c>
      <c r="H301" s="8">
        <f>tblInventory[[#This Row],[Stock_Quantity]] * tblInventory[[#This Row],[Unit_Price]]</f>
        <v>49.35</v>
      </c>
      <c r="I301" s="1">
        <v>24</v>
      </c>
      <c r="J301" s="1">
        <v>2</v>
      </c>
      <c r="K301" s="8">
        <f>tblInventory[[#This Row],[Reorder_Quantity]]*M301</f>
        <v>4.7</v>
      </c>
      <c r="L301" s="10">
        <f>tblInventory[[#This Row],[Stock_Quantity]] / tblInventory[[#This Row],[Reorder_Quantity]]</f>
        <v>10.5</v>
      </c>
      <c r="M301" s="3">
        <v>2.35</v>
      </c>
      <c r="N301" s="10">
        <f t="shared" si="8"/>
        <v>0.35653650254668934</v>
      </c>
      <c r="O301" s="2">
        <v>45416</v>
      </c>
      <c r="P301" s="2">
        <v>45605</v>
      </c>
      <c r="Q301" s="2">
        <v>46186</v>
      </c>
      <c r="R301" s="1" t="s">
        <v>2564</v>
      </c>
      <c r="S301" s="1">
        <v>87</v>
      </c>
      <c r="T301" s="1">
        <v>36</v>
      </c>
      <c r="U301" s="1" t="s">
        <v>38</v>
      </c>
      <c r="V301" s="3">
        <f>tblInventory[[#This Row],[Stock_Quantity]]*tblInventory[[#This Row],[Unit_Price]]</f>
        <v>49.35</v>
      </c>
      <c r="W301" s="1" t="str">
        <f>IF(tblInventory[[#This Row],[Status]]="Discontinued","INACTIVE",
IF(tblInventory[[#This Row],[Stock_Quantity]] &lt; tblInventory[[#This Row],[Reorder_Level]],"REORDER","OK"))</f>
        <v>REORDER</v>
      </c>
      <c r="X301" s="1" t="str">
        <f t="shared" ca="1" si="9"/>
        <v>Valid</v>
      </c>
    </row>
    <row r="302" spans="1:24">
      <c r="A302" s="1">
        <v>301</v>
      </c>
      <c r="B302" s="1" t="s">
        <v>3568</v>
      </c>
      <c r="C302" s="1" t="s">
        <v>515</v>
      </c>
      <c r="D302" s="1" t="s">
        <v>69</v>
      </c>
      <c r="E302" s="1" t="s">
        <v>3569</v>
      </c>
      <c r="F302" s="1" t="s">
        <v>3570</v>
      </c>
      <c r="G302" s="6">
        <v>62</v>
      </c>
      <c r="H302" s="8">
        <f>tblInventory[[#This Row],[Stock_Quantity]] * tblInventory[[#This Row],[Unit_Price]]</f>
        <v>155</v>
      </c>
      <c r="I302" s="1">
        <v>91</v>
      </c>
      <c r="J302" s="1">
        <v>14</v>
      </c>
      <c r="K302" s="8">
        <f>tblInventory[[#This Row],[Reorder_Quantity]]*M302</f>
        <v>35</v>
      </c>
      <c r="L302" s="10">
        <f>tblInventory[[#This Row],[Stock_Quantity]] / tblInventory[[#This Row],[Reorder_Quantity]]</f>
        <v>4.4285714285714288</v>
      </c>
      <c r="M302" s="3">
        <v>2.5</v>
      </c>
      <c r="N302" s="10">
        <f t="shared" si="8"/>
        <v>1.0526315789473684</v>
      </c>
      <c r="O302" s="1" t="s">
        <v>109</v>
      </c>
      <c r="P302" s="1" t="s">
        <v>143</v>
      </c>
      <c r="Q302" s="2">
        <v>46505</v>
      </c>
      <c r="R302" s="1" t="s">
        <v>3571</v>
      </c>
      <c r="S302" s="1">
        <v>41</v>
      </c>
      <c r="T302" s="1">
        <v>77</v>
      </c>
      <c r="U302" s="1" t="s">
        <v>24</v>
      </c>
      <c r="V302" s="3">
        <f>tblInventory[[#This Row],[Stock_Quantity]]*tblInventory[[#This Row],[Unit_Price]]</f>
        <v>155</v>
      </c>
      <c r="W302" s="1" t="str">
        <f>IF(tblInventory[[#This Row],[Status]]="Discontinued","INACTIVE",
IF(tblInventory[[#This Row],[Stock_Quantity]] &lt; tblInventory[[#This Row],[Reorder_Level]],"REORDER","OK"))</f>
        <v>INACTIVE</v>
      </c>
      <c r="X302" s="1" t="str">
        <f t="shared" ca="1" si="9"/>
        <v>Valid</v>
      </c>
    </row>
    <row r="303" spans="1:24">
      <c r="A303" s="1">
        <v>302</v>
      </c>
      <c r="B303" s="1" t="s">
        <v>215</v>
      </c>
      <c r="C303" s="1" t="s">
        <v>216</v>
      </c>
      <c r="D303" s="1" t="s">
        <v>49</v>
      </c>
      <c r="E303" s="1" t="s">
        <v>217</v>
      </c>
      <c r="F303" s="1" t="s">
        <v>218</v>
      </c>
      <c r="G303" s="6">
        <v>19</v>
      </c>
      <c r="H303" s="8">
        <f>tblInventory[[#This Row],[Stock_Quantity]] * tblInventory[[#This Row],[Unit_Price]]</f>
        <v>33.25</v>
      </c>
      <c r="I303" s="1">
        <v>36</v>
      </c>
      <c r="J303" s="1">
        <v>72</v>
      </c>
      <c r="K303" s="8">
        <f>tblInventory[[#This Row],[Reorder_Quantity]]*M303</f>
        <v>126</v>
      </c>
      <c r="L303" s="10">
        <f>tblInventory[[#This Row],[Stock_Quantity]] / tblInventory[[#This Row],[Reorder_Quantity]]</f>
        <v>0.2638888888888889</v>
      </c>
      <c r="M303" s="3">
        <v>1.75</v>
      </c>
      <c r="N303" s="10">
        <f t="shared" si="8"/>
        <v>0.32258064516129031</v>
      </c>
      <c r="O303" s="2">
        <v>45356</v>
      </c>
      <c r="P303" s="1" t="s">
        <v>219</v>
      </c>
      <c r="Q303" s="2">
        <v>45584</v>
      </c>
      <c r="R303" s="1" t="s">
        <v>220</v>
      </c>
      <c r="S303" s="1">
        <v>31</v>
      </c>
      <c r="T303" s="1">
        <v>81</v>
      </c>
      <c r="U303" s="1" t="s">
        <v>38</v>
      </c>
      <c r="V303" s="3">
        <f>tblInventory[[#This Row],[Stock_Quantity]]*tblInventory[[#This Row],[Unit_Price]]</f>
        <v>33.25</v>
      </c>
      <c r="W303" s="1" t="str">
        <f>IF(tblInventory[[#This Row],[Status]]="Discontinued","INACTIVE",
IF(tblInventory[[#This Row],[Stock_Quantity]] &lt; tblInventory[[#This Row],[Reorder_Level]],"REORDER","OK"))</f>
        <v>REORDER</v>
      </c>
      <c r="X303" s="1" t="str">
        <f t="shared" ca="1" si="9"/>
        <v>Expired</v>
      </c>
    </row>
    <row r="304" spans="1:24">
      <c r="A304" s="1">
        <v>303</v>
      </c>
      <c r="B304" s="1" t="s">
        <v>436</v>
      </c>
      <c r="C304" s="1" t="s">
        <v>216</v>
      </c>
      <c r="D304" s="1" t="s">
        <v>49</v>
      </c>
      <c r="E304" s="1" t="s">
        <v>437</v>
      </c>
      <c r="F304" s="1" t="s">
        <v>163</v>
      </c>
      <c r="G304" s="6">
        <v>13</v>
      </c>
      <c r="H304" s="8">
        <f>tblInventory[[#This Row],[Stock_Quantity]] * tblInventory[[#This Row],[Unit_Price]]</f>
        <v>23.400000000000002</v>
      </c>
      <c r="I304" s="1">
        <v>60</v>
      </c>
      <c r="J304" s="1">
        <v>100</v>
      </c>
      <c r="K304" s="8">
        <f>tblInventory[[#This Row],[Reorder_Quantity]]*M304</f>
        <v>180</v>
      </c>
      <c r="L304" s="10">
        <f>tblInventory[[#This Row],[Stock_Quantity]] / tblInventory[[#This Row],[Reorder_Quantity]]</f>
        <v>0.13</v>
      </c>
      <c r="M304" s="3">
        <v>1.8</v>
      </c>
      <c r="N304" s="10">
        <f t="shared" si="8"/>
        <v>0.22071307300509338</v>
      </c>
      <c r="O304" s="1" t="s">
        <v>104</v>
      </c>
      <c r="P304" s="1" t="s">
        <v>438</v>
      </c>
      <c r="Q304" s="2">
        <v>45621</v>
      </c>
      <c r="R304" s="1" t="s">
        <v>439</v>
      </c>
      <c r="S304" s="1">
        <v>44</v>
      </c>
      <c r="T304" s="1">
        <v>32</v>
      </c>
      <c r="U304" s="1" t="s">
        <v>38</v>
      </c>
      <c r="V304" s="3">
        <f>tblInventory[[#This Row],[Stock_Quantity]]*tblInventory[[#This Row],[Unit_Price]]</f>
        <v>23.400000000000002</v>
      </c>
      <c r="W304" s="1" t="str">
        <f>IF(tblInventory[[#This Row],[Status]]="Discontinued","INACTIVE",
IF(tblInventory[[#This Row],[Stock_Quantity]] &lt; tblInventory[[#This Row],[Reorder_Level]],"REORDER","OK"))</f>
        <v>REORDER</v>
      </c>
      <c r="X304" s="1" t="str">
        <f t="shared" ca="1" si="9"/>
        <v>Expired</v>
      </c>
    </row>
    <row r="305" spans="1:24">
      <c r="A305" s="1">
        <v>304</v>
      </c>
      <c r="B305" s="1" t="s">
        <v>541</v>
      </c>
      <c r="C305" s="1" t="s">
        <v>216</v>
      </c>
      <c r="D305" s="1" t="s">
        <v>49</v>
      </c>
      <c r="E305" s="1" t="s">
        <v>542</v>
      </c>
      <c r="F305" s="1" t="s">
        <v>543</v>
      </c>
      <c r="G305" s="6">
        <v>85</v>
      </c>
      <c r="H305" s="8">
        <f>tblInventory[[#This Row],[Stock_Quantity]] * tblInventory[[#This Row],[Unit_Price]]</f>
        <v>153</v>
      </c>
      <c r="I305" s="1">
        <v>33</v>
      </c>
      <c r="J305" s="1">
        <v>50</v>
      </c>
      <c r="K305" s="8">
        <f>tblInventory[[#This Row],[Reorder_Quantity]]*M305</f>
        <v>90</v>
      </c>
      <c r="L305" s="10">
        <f>tblInventory[[#This Row],[Stock_Quantity]] / tblInventory[[#This Row],[Reorder_Quantity]]</f>
        <v>1.7</v>
      </c>
      <c r="M305" s="3">
        <v>1.8</v>
      </c>
      <c r="N305" s="10">
        <f t="shared" si="8"/>
        <v>1.4431239388794568</v>
      </c>
      <c r="O305" s="2">
        <v>45446</v>
      </c>
      <c r="P305" s="1" t="s">
        <v>506</v>
      </c>
      <c r="Q305" s="2">
        <v>45641</v>
      </c>
      <c r="R305" s="1" t="s">
        <v>544</v>
      </c>
      <c r="S305" s="1">
        <v>64</v>
      </c>
      <c r="T305" s="1">
        <v>38</v>
      </c>
      <c r="U305" s="1" t="s">
        <v>24</v>
      </c>
      <c r="V305" s="3">
        <f>tblInventory[[#This Row],[Stock_Quantity]]*tblInventory[[#This Row],[Unit_Price]]</f>
        <v>153</v>
      </c>
      <c r="W305" s="1" t="str">
        <f>IF(tblInventory[[#This Row],[Status]]="Discontinued","INACTIVE",
IF(tblInventory[[#This Row],[Stock_Quantity]] &lt; tblInventory[[#This Row],[Reorder_Level]],"REORDER","OK"))</f>
        <v>INACTIVE</v>
      </c>
      <c r="X305" s="1" t="str">
        <f t="shared" ca="1" si="9"/>
        <v>Expired</v>
      </c>
    </row>
    <row r="306" spans="1:24">
      <c r="A306" s="1">
        <v>305</v>
      </c>
      <c r="B306" s="1" t="s">
        <v>857</v>
      </c>
      <c r="C306" s="1" t="s">
        <v>216</v>
      </c>
      <c r="D306" s="1" t="s">
        <v>49</v>
      </c>
      <c r="E306" s="1" t="s">
        <v>858</v>
      </c>
      <c r="F306" s="1" t="s">
        <v>455</v>
      </c>
      <c r="G306" s="6">
        <v>31</v>
      </c>
      <c r="H306" s="8">
        <f>tblInventory[[#This Row],[Stock_Quantity]] * tblInventory[[#This Row],[Unit_Price]]</f>
        <v>55.800000000000004</v>
      </c>
      <c r="I306" s="1">
        <v>98</v>
      </c>
      <c r="J306" s="1">
        <v>72</v>
      </c>
      <c r="K306" s="8">
        <f>tblInventory[[#This Row],[Reorder_Quantity]]*M306</f>
        <v>129.6</v>
      </c>
      <c r="L306" s="10">
        <f>tblInventory[[#This Row],[Stock_Quantity]] / tblInventory[[#This Row],[Reorder_Quantity]]</f>
        <v>0.43055555555555558</v>
      </c>
      <c r="M306" s="3">
        <v>1.8</v>
      </c>
      <c r="N306" s="10">
        <f t="shared" si="8"/>
        <v>0.52631578947368418</v>
      </c>
      <c r="O306" s="1" t="s">
        <v>850</v>
      </c>
      <c r="P306" s="2">
        <v>45483</v>
      </c>
      <c r="Q306" s="2">
        <v>45707</v>
      </c>
      <c r="R306" s="1" t="s">
        <v>859</v>
      </c>
      <c r="S306" s="1">
        <v>91</v>
      </c>
      <c r="T306" s="1">
        <v>29</v>
      </c>
      <c r="U306" s="1" t="s">
        <v>46</v>
      </c>
      <c r="V306" s="3">
        <f>tblInventory[[#This Row],[Stock_Quantity]]*tblInventory[[#This Row],[Unit_Price]]</f>
        <v>55.800000000000004</v>
      </c>
      <c r="W306" s="1" t="str">
        <f>IF(tblInventory[[#This Row],[Status]]="Discontinued","INACTIVE",
IF(tblInventory[[#This Row],[Stock_Quantity]] &lt; tblInventory[[#This Row],[Reorder_Level]],"REORDER","OK"))</f>
        <v>REORDER</v>
      </c>
      <c r="X306" s="1" t="str">
        <f t="shared" ca="1" si="9"/>
        <v>Expired</v>
      </c>
    </row>
    <row r="307" spans="1:24">
      <c r="A307" s="1">
        <v>306</v>
      </c>
      <c r="B307" s="1" t="s">
        <v>1072</v>
      </c>
      <c r="C307" s="1" t="s">
        <v>216</v>
      </c>
      <c r="D307" s="1" t="s">
        <v>49</v>
      </c>
      <c r="E307" s="1" t="s">
        <v>1073</v>
      </c>
      <c r="F307" s="1" t="s">
        <v>1074</v>
      </c>
      <c r="G307" s="6">
        <v>47</v>
      </c>
      <c r="H307" s="8">
        <f>tblInventory[[#This Row],[Stock_Quantity]] * tblInventory[[#This Row],[Unit_Price]]</f>
        <v>82.25</v>
      </c>
      <c r="I307" s="1">
        <v>20</v>
      </c>
      <c r="J307" s="1">
        <v>65</v>
      </c>
      <c r="K307" s="8">
        <f>tblInventory[[#This Row],[Reorder_Quantity]]*M307</f>
        <v>113.75</v>
      </c>
      <c r="L307" s="10">
        <f>tblInventory[[#This Row],[Stock_Quantity]] / tblInventory[[#This Row],[Reorder_Quantity]]</f>
        <v>0.72307692307692306</v>
      </c>
      <c r="M307" s="3">
        <v>1.75</v>
      </c>
      <c r="N307" s="10">
        <f t="shared" si="8"/>
        <v>0.79796264855687604</v>
      </c>
      <c r="O307" s="1" t="s">
        <v>258</v>
      </c>
      <c r="P307" s="2">
        <v>45992</v>
      </c>
      <c r="Q307" s="2">
        <v>45965</v>
      </c>
      <c r="R307" s="1" t="s">
        <v>1076</v>
      </c>
      <c r="S307" s="1">
        <v>49</v>
      </c>
      <c r="T307" s="1">
        <v>19</v>
      </c>
      <c r="U307" s="1" t="s">
        <v>38</v>
      </c>
      <c r="V307" s="3">
        <f>tblInventory[[#This Row],[Stock_Quantity]]*tblInventory[[#This Row],[Unit_Price]]</f>
        <v>82.25</v>
      </c>
      <c r="W307" s="1" t="str">
        <f>IF(tblInventory[[#This Row],[Status]]="Discontinued","INACTIVE",
IF(tblInventory[[#This Row],[Stock_Quantity]] &lt; tblInventory[[#This Row],[Reorder_Level]],"REORDER","OK"))</f>
        <v>OK</v>
      </c>
      <c r="X307" s="1" t="str">
        <f t="shared" ca="1" si="9"/>
        <v>Expired</v>
      </c>
    </row>
    <row r="308" spans="1:24">
      <c r="A308" s="1">
        <v>307</v>
      </c>
      <c r="B308" s="1" t="s">
        <v>1359</v>
      </c>
      <c r="C308" s="1" t="s">
        <v>216</v>
      </c>
      <c r="D308" s="1" t="s">
        <v>49</v>
      </c>
      <c r="E308" s="1" t="s">
        <v>1360</v>
      </c>
      <c r="F308" s="1" t="s">
        <v>1361</v>
      </c>
      <c r="G308" s="6">
        <v>76</v>
      </c>
      <c r="H308" s="8">
        <f>tblInventory[[#This Row],[Stock_Quantity]] * tblInventory[[#This Row],[Unit_Price]]</f>
        <v>136.80000000000001</v>
      </c>
      <c r="I308" s="1">
        <v>11</v>
      </c>
      <c r="J308" s="1">
        <v>15</v>
      </c>
      <c r="K308" s="8">
        <f>tblInventory[[#This Row],[Reorder_Quantity]]*M308</f>
        <v>27</v>
      </c>
      <c r="L308" s="10">
        <f>tblInventory[[#This Row],[Stock_Quantity]] / tblInventory[[#This Row],[Reorder_Quantity]]</f>
        <v>5.0666666666666664</v>
      </c>
      <c r="M308" s="3">
        <v>1.8</v>
      </c>
      <c r="N308" s="10">
        <f t="shared" si="8"/>
        <v>1.2903225806451613</v>
      </c>
      <c r="O308" s="1" t="s">
        <v>986</v>
      </c>
      <c r="P308" s="1" t="s">
        <v>873</v>
      </c>
      <c r="Q308" s="2">
        <v>45830</v>
      </c>
      <c r="R308" s="1" t="s">
        <v>1362</v>
      </c>
      <c r="S308" s="1">
        <v>22</v>
      </c>
      <c r="T308" s="1">
        <v>91</v>
      </c>
      <c r="U308" s="1" t="s">
        <v>46</v>
      </c>
      <c r="V308" s="3">
        <f>tblInventory[[#This Row],[Stock_Quantity]]*tblInventory[[#This Row],[Unit_Price]]</f>
        <v>136.80000000000001</v>
      </c>
      <c r="W308" s="1" t="str">
        <f>IF(tblInventory[[#This Row],[Status]]="Discontinued","INACTIVE",
IF(tblInventory[[#This Row],[Stock_Quantity]] &lt; tblInventory[[#This Row],[Reorder_Level]],"REORDER","OK"))</f>
        <v>OK</v>
      </c>
      <c r="X308" s="1" t="str">
        <f t="shared" ca="1" si="9"/>
        <v>Expired</v>
      </c>
    </row>
    <row r="309" spans="1:24">
      <c r="A309" s="1">
        <v>308</v>
      </c>
      <c r="B309" s="1" t="s">
        <v>3123</v>
      </c>
      <c r="C309" s="1" t="s">
        <v>216</v>
      </c>
      <c r="D309" s="1" t="s">
        <v>49</v>
      </c>
      <c r="E309" s="1" t="s">
        <v>3124</v>
      </c>
      <c r="F309" s="1" t="s">
        <v>2394</v>
      </c>
      <c r="G309" s="6">
        <v>28</v>
      </c>
      <c r="H309" s="8">
        <f>tblInventory[[#This Row],[Stock_Quantity]] * tblInventory[[#This Row],[Unit_Price]]</f>
        <v>50.4</v>
      </c>
      <c r="I309" s="1">
        <v>5</v>
      </c>
      <c r="J309" s="1">
        <v>9</v>
      </c>
      <c r="K309" s="8">
        <f>tblInventory[[#This Row],[Reorder_Quantity]]*M309</f>
        <v>16.2</v>
      </c>
      <c r="L309" s="10">
        <f>tblInventory[[#This Row],[Stock_Quantity]] / tblInventory[[#This Row],[Reorder_Quantity]]</f>
        <v>3.1111111111111112</v>
      </c>
      <c r="M309" s="3">
        <v>1.8</v>
      </c>
      <c r="N309" s="10">
        <f t="shared" si="8"/>
        <v>0.47538200339558573</v>
      </c>
      <c r="O309" s="1" t="s">
        <v>438</v>
      </c>
      <c r="P309" s="1" t="s">
        <v>438</v>
      </c>
      <c r="Q309" s="2">
        <v>46154</v>
      </c>
      <c r="R309" s="1" t="s">
        <v>3125</v>
      </c>
      <c r="S309" s="1">
        <v>33</v>
      </c>
      <c r="T309" s="1">
        <v>9</v>
      </c>
      <c r="U309" s="1" t="s">
        <v>24</v>
      </c>
      <c r="V309" s="3">
        <f>tblInventory[[#This Row],[Stock_Quantity]]*tblInventory[[#This Row],[Unit_Price]]</f>
        <v>50.4</v>
      </c>
      <c r="W309" s="1" t="str">
        <f>IF(tblInventory[[#This Row],[Status]]="Discontinued","INACTIVE",
IF(tblInventory[[#This Row],[Stock_Quantity]] &lt; tblInventory[[#This Row],[Reorder_Level]],"REORDER","OK"))</f>
        <v>INACTIVE</v>
      </c>
      <c r="X309" s="1" t="str">
        <f t="shared" ca="1" si="9"/>
        <v>Valid</v>
      </c>
    </row>
    <row r="310" spans="1:24">
      <c r="A310" s="1">
        <v>309</v>
      </c>
      <c r="B310" s="1" t="s">
        <v>3259</v>
      </c>
      <c r="C310" s="1" t="s">
        <v>216</v>
      </c>
      <c r="D310" s="1" t="s">
        <v>49</v>
      </c>
      <c r="E310" s="1" t="s">
        <v>3260</v>
      </c>
      <c r="F310" s="1" t="s">
        <v>1913</v>
      </c>
      <c r="G310" s="6">
        <v>12</v>
      </c>
      <c r="H310" s="8">
        <f>tblInventory[[#This Row],[Stock_Quantity]] * tblInventory[[#This Row],[Unit_Price]]</f>
        <v>21</v>
      </c>
      <c r="I310" s="1">
        <v>93</v>
      </c>
      <c r="J310" s="1">
        <v>29</v>
      </c>
      <c r="K310" s="8">
        <f>tblInventory[[#This Row],[Reorder_Quantity]]*M310</f>
        <v>50.75</v>
      </c>
      <c r="L310" s="10">
        <f>tblInventory[[#This Row],[Stock_Quantity]] / tblInventory[[#This Row],[Reorder_Quantity]]</f>
        <v>0.41379310344827586</v>
      </c>
      <c r="M310" s="3">
        <v>1.75</v>
      </c>
      <c r="N310" s="10">
        <f t="shared" si="8"/>
        <v>0.2037351443123939</v>
      </c>
      <c r="O310" s="1" t="s">
        <v>567</v>
      </c>
      <c r="P310" s="2">
        <v>45455</v>
      </c>
      <c r="Q310" s="2">
        <v>46405</v>
      </c>
      <c r="R310" s="1" t="s">
        <v>3261</v>
      </c>
      <c r="S310" s="1">
        <v>45</v>
      </c>
      <c r="T310" s="1">
        <v>12</v>
      </c>
      <c r="U310" s="1" t="s">
        <v>38</v>
      </c>
      <c r="V310" s="3">
        <f>tblInventory[[#This Row],[Stock_Quantity]]*tblInventory[[#This Row],[Unit_Price]]</f>
        <v>21</v>
      </c>
      <c r="W310" s="1" t="str">
        <f>IF(tblInventory[[#This Row],[Status]]="Discontinued","INACTIVE",
IF(tblInventory[[#This Row],[Stock_Quantity]] &lt; tblInventory[[#This Row],[Reorder_Level]],"REORDER","OK"))</f>
        <v>REORDER</v>
      </c>
      <c r="X310" s="1" t="str">
        <f t="shared" ca="1" si="9"/>
        <v>Valid</v>
      </c>
    </row>
    <row r="311" spans="1:24">
      <c r="A311" s="1">
        <v>310</v>
      </c>
      <c r="B311" s="1" t="s">
        <v>3351</v>
      </c>
      <c r="C311" s="1" t="s">
        <v>216</v>
      </c>
      <c r="D311" s="1" t="s">
        <v>49</v>
      </c>
      <c r="E311" s="1" t="s">
        <v>3352</v>
      </c>
      <c r="F311" s="1" t="s">
        <v>783</v>
      </c>
      <c r="G311" s="6">
        <v>67</v>
      </c>
      <c r="H311" s="8">
        <f>tblInventory[[#This Row],[Stock_Quantity]] * tblInventory[[#This Row],[Unit_Price]]</f>
        <v>120.60000000000001</v>
      </c>
      <c r="I311" s="1">
        <v>14</v>
      </c>
      <c r="J311" s="1">
        <v>25</v>
      </c>
      <c r="K311" s="8">
        <f>tblInventory[[#This Row],[Reorder_Quantity]]*M311</f>
        <v>45</v>
      </c>
      <c r="L311" s="10">
        <f>tblInventory[[#This Row],[Stock_Quantity]] / tblInventory[[#This Row],[Reorder_Quantity]]</f>
        <v>2.68</v>
      </c>
      <c r="M311" s="3">
        <v>1.8</v>
      </c>
      <c r="N311" s="10">
        <f t="shared" si="8"/>
        <v>1.137521222410866</v>
      </c>
      <c r="O311" s="2">
        <v>45327</v>
      </c>
      <c r="P311" s="1" t="s">
        <v>395</v>
      </c>
      <c r="Q311" s="2">
        <v>46435</v>
      </c>
      <c r="R311" s="1" t="s">
        <v>3353</v>
      </c>
      <c r="S311" s="1">
        <v>81</v>
      </c>
      <c r="T311" s="1">
        <v>77</v>
      </c>
      <c r="U311" s="1" t="s">
        <v>46</v>
      </c>
      <c r="V311" s="3">
        <f>tblInventory[[#This Row],[Stock_Quantity]]*tblInventory[[#This Row],[Unit_Price]]</f>
        <v>120.60000000000001</v>
      </c>
      <c r="W311" s="1" t="str">
        <f>IF(tblInventory[[#This Row],[Status]]="Discontinued","INACTIVE",
IF(tblInventory[[#This Row],[Stock_Quantity]] &lt; tblInventory[[#This Row],[Reorder_Level]],"REORDER","OK"))</f>
        <v>OK</v>
      </c>
      <c r="X311" s="1" t="str">
        <f t="shared" ca="1" si="9"/>
        <v>Valid</v>
      </c>
    </row>
    <row r="312" spans="1:24">
      <c r="A312" s="1">
        <v>311</v>
      </c>
      <c r="B312" s="1" t="s">
        <v>3435</v>
      </c>
      <c r="C312" s="1" t="s">
        <v>216</v>
      </c>
      <c r="D312" s="1" t="s">
        <v>49</v>
      </c>
      <c r="E312" s="1" t="s">
        <v>3436</v>
      </c>
      <c r="F312" s="1" t="s">
        <v>2002</v>
      </c>
      <c r="G312" s="6">
        <v>38</v>
      </c>
      <c r="H312" s="8">
        <f>tblInventory[[#This Row],[Stock_Quantity]] * tblInventory[[#This Row],[Unit_Price]]</f>
        <v>68.400000000000006</v>
      </c>
      <c r="I312" s="1">
        <v>94</v>
      </c>
      <c r="J312" s="1">
        <v>87</v>
      </c>
      <c r="K312" s="8">
        <f>tblInventory[[#This Row],[Reorder_Quantity]]*M312</f>
        <v>156.6</v>
      </c>
      <c r="L312" s="10">
        <f>tblInventory[[#This Row],[Stock_Quantity]] / tblInventory[[#This Row],[Reorder_Quantity]]</f>
        <v>0.43678160919540232</v>
      </c>
      <c r="M312" s="3">
        <v>1.8</v>
      </c>
      <c r="N312" s="10">
        <f t="shared" si="8"/>
        <v>0.64516129032258063</v>
      </c>
      <c r="O312" s="1" t="s">
        <v>1079</v>
      </c>
      <c r="P312" s="2">
        <v>45356</v>
      </c>
      <c r="Q312" s="2">
        <v>46462</v>
      </c>
      <c r="R312" s="1" t="s">
        <v>3437</v>
      </c>
      <c r="S312" s="1">
        <v>89</v>
      </c>
      <c r="T312" s="1">
        <v>100</v>
      </c>
      <c r="U312" s="1" t="s">
        <v>24</v>
      </c>
      <c r="V312" s="3">
        <f>tblInventory[[#This Row],[Stock_Quantity]]*tblInventory[[#This Row],[Unit_Price]]</f>
        <v>68.400000000000006</v>
      </c>
      <c r="W312" s="1" t="str">
        <f>IF(tblInventory[[#This Row],[Status]]="Discontinued","INACTIVE",
IF(tblInventory[[#This Row],[Stock_Quantity]] &lt; tblInventory[[#This Row],[Reorder_Level]],"REORDER","OK"))</f>
        <v>INACTIVE</v>
      </c>
      <c r="X312" s="1" t="str">
        <f t="shared" ca="1" si="9"/>
        <v>Valid</v>
      </c>
    </row>
    <row r="313" spans="1:24">
      <c r="A313" s="1">
        <v>312</v>
      </c>
      <c r="B313" s="1" t="s">
        <v>3546</v>
      </c>
      <c r="C313" s="1" t="s">
        <v>216</v>
      </c>
      <c r="D313" s="1" t="s">
        <v>49</v>
      </c>
      <c r="E313" s="1" t="s">
        <v>3547</v>
      </c>
      <c r="F313" s="1" t="s">
        <v>765</v>
      </c>
      <c r="G313" s="6">
        <v>60</v>
      </c>
      <c r="H313" s="8">
        <f>tblInventory[[#This Row],[Stock_Quantity]] * tblInventory[[#This Row],[Unit_Price]]</f>
        <v>108</v>
      </c>
      <c r="I313" s="1">
        <v>63</v>
      </c>
      <c r="J313" s="1">
        <v>81</v>
      </c>
      <c r="K313" s="8">
        <f>tblInventory[[#This Row],[Reorder_Quantity]]*M313</f>
        <v>145.80000000000001</v>
      </c>
      <c r="L313" s="10">
        <f>tblInventory[[#This Row],[Stock_Quantity]] / tblInventory[[#This Row],[Reorder_Quantity]]</f>
        <v>0.7407407407407407</v>
      </c>
      <c r="M313" s="3">
        <v>1.8</v>
      </c>
      <c r="N313" s="10">
        <f t="shared" si="8"/>
        <v>1.0186757215619695</v>
      </c>
      <c r="O313" s="1" t="s">
        <v>297</v>
      </c>
      <c r="P313" s="2">
        <v>45361</v>
      </c>
      <c r="Q313" s="2">
        <v>46498</v>
      </c>
      <c r="R313" s="1" t="s">
        <v>3548</v>
      </c>
      <c r="S313" s="1">
        <v>74</v>
      </c>
      <c r="T313" s="1">
        <v>31</v>
      </c>
      <c r="U313" s="1" t="s">
        <v>46</v>
      </c>
      <c r="V313" s="3">
        <f>tblInventory[[#This Row],[Stock_Quantity]]*tblInventory[[#This Row],[Unit_Price]]</f>
        <v>108</v>
      </c>
      <c r="W313" s="1" t="str">
        <f>IF(tblInventory[[#This Row],[Status]]="Discontinued","INACTIVE",
IF(tblInventory[[#This Row],[Stock_Quantity]] &lt; tblInventory[[#This Row],[Reorder_Level]],"REORDER","OK"))</f>
        <v>REORDER</v>
      </c>
      <c r="X313" s="1" t="str">
        <f t="shared" ca="1" si="9"/>
        <v>Valid</v>
      </c>
    </row>
    <row r="314" spans="1:24">
      <c r="A314" s="1">
        <v>313</v>
      </c>
      <c r="B314" s="1" t="s">
        <v>1172</v>
      </c>
      <c r="C314" s="1" t="s">
        <v>1173</v>
      </c>
      <c r="D314" s="1" t="s">
        <v>100</v>
      </c>
      <c r="E314" s="1" t="s">
        <v>1174</v>
      </c>
      <c r="F314" s="1" t="s">
        <v>1175</v>
      </c>
      <c r="G314" s="6">
        <v>97</v>
      </c>
      <c r="H314" s="8">
        <f>tblInventory[[#This Row],[Stock_Quantity]] * tblInventory[[#This Row],[Unit_Price]]</f>
        <v>388</v>
      </c>
      <c r="I314" s="1">
        <v>99</v>
      </c>
      <c r="J314" s="1">
        <v>96</v>
      </c>
      <c r="K314" s="8">
        <f>tblInventory[[#This Row],[Reorder_Quantity]]*M314</f>
        <v>384</v>
      </c>
      <c r="L314" s="10">
        <f>tblInventory[[#This Row],[Stock_Quantity]] / tblInventory[[#This Row],[Reorder_Quantity]]</f>
        <v>1.0104166666666667</v>
      </c>
      <c r="M314" s="3">
        <v>4</v>
      </c>
      <c r="N314" s="10">
        <f t="shared" si="8"/>
        <v>1.6468590831918506</v>
      </c>
      <c r="O314" s="1" t="s">
        <v>166</v>
      </c>
      <c r="P314" s="1" t="s">
        <v>1056</v>
      </c>
      <c r="Q314" s="2">
        <v>45782</v>
      </c>
      <c r="R314" s="1" t="s">
        <v>1176</v>
      </c>
      <c r="S314" s="1">
        <v>57</v>
      </c>
      <c r="T314" s="1">
        <v>42</v>
      </c>
      <c r="U314" s="1" t="s">
        <v>38</v>
      </c>
      <c r="V314" s="3">
        <f>tblInventory[[#This Row],[Stock_Quantity]]*tblInventory[[#This Row],[Unit_Price]]</f>
        <v>388</v>
      </c>
      <c r="W314" s="1" t="str">
        <f>IF(tblInventory[[#This Row],[Status]]="Discontinued","INACTIVE",
IF(tblInventory[[#This Row],[Stock_Quantity]] &lt; tblInventory[[#This Row],[Reorder_Level]],"REORDER","OK"))</f>
        <v>REORDER</v>
      </c>
      <c r="X314" s="1" t="str">
        <f t="shared" ca="1" si="9"/>
        <v>Expired</v>
      </c>
    </row>
    <row r="315" spans="1:24">
      <c r="A315" s="1">
        <v>314</v>
      </c>
      <c r="B315" s="1" t="s">
        <v>1208</v>
      </c>
      <c r="C315" s="1" t="s">
        <v>1173</v>
      </c>
      <c r="D315" s="1" t="s">
        <v>100</v>
      </c>
      <c r="E315" s="1" t="s">
        <v>1209</v>
      </c>
      <c r="F315" s="1" t="s">
        <v>687</v>
      </c>
      <c r="G315" s="6">
        <v>39</v>
      </c>
      <c r="H315" s="8">
        <f>tblInventory[[#This Row],[Stock_Quantity]] * tblInventory[[#This Row],[Unit_Price]]</f>
        <v>156</v>
      </c>
      <c r="I315" s="1">
        <v>16</v>
      </c>
      <c r="J315" s="1">
        <v>57</v>
      </c>
      <c r="K315" s="8">
        <f>tblInventory[[#This Row],[Reorder_Quantity]]*M315</f>
        <v>228</v>
      </c>
      <c r="L315" s="10">
        <f>tblInventory[[#This Row],[Stock_Quantity]] / tblInventory[[#This Row],[Reorder_Quantity]]</f>
        <v>0.68421052631578949</v>
      </c>
      <c r="M315" s="3">
        <v>4</v>
      </c>
      <c r="N315" s="10">
        <f t="shared" si="8"/>
        <v>0.66213921901528017</v>
      </c>
      <c r="O315" s="1" t="s">
        <v>177</v>
      </c>
      <c r="P315" s="2">
        <v>45539</v>
      </c>
      <c r="Q315" s="2">
        <v>45791</v>
      </c>
      <c r="R315" s="1" t="s">
        <v>1210</v>
      </c>
      <c r="S315" s="1">
        <v>98</v>
      </c>
      <c r="T315" s="1">
        <v>12</v>
      </c>
      <c r="U315" s="1" t="s">
        <v>46</v>
      </c>
      <c r="V315" s="3">
        <f>tblInventory[[#This Row],[Stock_Quantity]]*tblInventory[[#This Row],[Unit_Price]]</f>
        <v>156</v>
      </c>
      <c r="W315" s="1" t="str">
        <f>IF(tblInventory[[#This Row],[Status]]="Discontinued","INACTIVE",
IF(tblInventory[[#This Row],[Stock_Quantity]] &lt; tblInventory[[#This Row],[Reorder_Level]],"REORDER","OK"))</f>
        <v>OK</v>
      </c>
      <c r="X315" s="1" t="str">
        <f t="shared" ca="1" si="9"/>
        <v>Expired</v>
      </c>
    </row>
    <row r="316" spans="1:24">
      <c r="A316" s="1">
        <v>315</v>
      </c>
      <c r="B316" s="1" t="s">
        <v>1377</v>
      </c>
      <c r="C316" s="1" t="s">
        <v>1173</v>
      </c>
      <c r="D316" s="1" t="s">
        <v>100</v>
      </c>
      <c r="E316" s="1" t="s">
        <v>1378</v>
      </c>
      <c r="F316" s="1" t="s">
        <v>1379</v>
      </c>
      <c r="G316" s="6">
        <v>90</v>
      </c>
      <c r="H316" s="8">
        <f>tblInventory[[#This Row],[Stock_Quantity]] * tblInventory[[#This Row],[Unit_Price]]</f>
        <v>360</v>
      </c>
      <c r="I316" s="1">
        <v>52</v>
      </c>
      <c r="J316" s="1">
        <v>50</v>
      </c>
      <c r="K316" s="8">
        <f>tblInventory[[#This Row],[Reorder_Quantity]]*M316</f>
        <v>200</v>
      </c>
      <c r="L316" s="10">
        <f>tblInventory[[#This Row],[Stock_Quantity]] / tblInventory[[#This Row],[Reorder_Quantity]]</f>
        <v>1.8</v>
      </c>
      <c r="M316" s="3">
        <v>4</v>
      </c>
      <c r="N316" s="10">
        <f t="shared" si="8"/>
        <v>1.5280135823429541</v>
      </c>
      <c r="O316" s="1" t="s">
        <v>21</v>
      </c>
      <c r="P316" s="1" t="s">
        <v>609</v>
      </c>
      <c r="Q316" s="2">
        <v>45835</v>
      </c>
      <c r="R316" s="1" t="s">
        <v>1380</v>
      </c>
      <c r="S316" s="1">
        <v>63</v>
      </c>
      <c r="T316" s="1">
        <v>14</v>
      </c>
      <c r="U316" s="1" t="s">
        <v>24</v>
      </c>
      <c r="V316" s="3">
        <f>tblInventory[[#This Row],[Stock_Quantity]]*tblInventory[[#This Row],[Unit_Price]]</f>
        <v>360</v>
      </c>
      <c r="W316" s="1" t="str">
        <f>IF(tblInventory[[#This Row],[Status]]="Discontinued","INACTIVE",
IF(tblInventory[[#This Row],[Stock_Quantity]] &lt; tblInventory[[#This Row],[Reorder_Level]],"REORDER","OK"))</f>
        <v>INACTIVE</v>
      </c>
      <c r="X316" s="1" t="str">
        <f t="shared" ca="1" si="9"/>
        <v>Expired</v>
      </c>
    </row>
    <row r="317" spans="1:24">
      <c r="A317" s="1">
        <v>316</v>
      </c>
      <c r="B317" s="1" t="s">
        <v>1381</v>
      </c>
      <c r="C317" s="1" t="s">
        <v>1173</v>
      </c>
      <c r="D317" s="1" t="s">
        <v>100</v>
      </c>
      <c r="E317" s="1" t="s">
        <v>1382</v>
      </c>
      <c r="F317" s="1" t="s">
        <v>149</v>
      </c>
      <c r="G317" s="6">
        <v>77</v>
      </c>
      <c r="H317" s="8">
        <f>tblInventory[[#This Row],[Stock_Quantity]] * tblInventory[[#This Row],[Unit_Price]]</f>
        <v>308</v>
      </c>
      <c r="I317" s="1">
        <v>79</v>
      </c>
      <c r="J317" s="1">
        <v>65</v>
      </c>
      <c r="K317" s="8">
        <f>tblInventory[[#This Row],[Reorder_Quantity]]*M317</f>
        <v>260</v>
      </c>
      <c r="L317" s="10">
        <f>tblInventory[[#This Row],[Stock_Quantity]] / tblInventory[[#This Row],[Reorder_Quantity]]</f>
        <v>1.1846153846153846</v>
      </c>
      <c r="M317" s="3">
        <v>4</v>
      </c>
      <c r="N317" s="10">
        <f t="shared" si="8"/>
        <v>1.3073005093378609</v>
      </c>
      <c r="O317" s="2">
        <v>45300</v>
      </c>
      <c r="P317" s="1" t="s">
        <v>199</v>
      </c>
      <c r="Q317" s="2">
        <v>45836</v>
      </c>
      <c r="R317" s="1" t="s">
        <v>1383</v>
      </c>
      <c r="S317" s="1">
        <v>62</v>
      </c>
      <c r="T317" s="1">
        <v>75</v>
      </c>
      <c r="U317" s="1" t="s">
        <v>38</v>
      </c>
      <c r="V317" s="3">
        <f>tblInventory[[#This Row],[Stock_Quantity]]*tblInventory[[#This Row],[Unit_Price]]</f>
        <v>308</v>
      </c>
      <c r="W317" s="1" t="str">
        <f>IF(tblInventory[[#This Row],[Status]]="Discontinued","INACTIVE",
IF(tblInventory[[#This Row],[Stock_Quantity]] &lt; tblInventory[[#This Row],[Reorder_Level]],"REORDER","OK"))</f>
        <v>REORDER</v>
      </c>
      <c r="X317" s="1" t="str">
        <f t="shared" ca="1" si="9"/>
        <v>Expired</v>
      </c>
    </row>
    <row r="318" spans="1:24">
      <c r="A318" s="1">
        <v>317</v>
      </c>
      <c r="B318" s="1" t="s">
        <v>2038</v>
      </c>
      <c r="C318" s="1" t="s">
        <v>1173</v>
      </c>
      <c r="D318" s="1" t="s">
        <v>100</v>
      </c>
      <c r="E318" s="1" t="s">
        <v>2039</v>
      </c>
      <c r="F318" s="1" t="s">
        <v>783</v>
      </c>
      <c r="G318" s="6">
        <v>38</v>
      </c>
      <c r="H318" s="8">
        <f>tblInventory[[#This Row],[Stock_Quantity]] * tblInventory[[#This Row],[Unit_Price]]</f>
        <v>152</v>
      </c>
      <c r="I318" s="1">
        <v>43</v>
      </c>
      <c r="J318" s="1">
        <v>91</v>
      </c>
      <c r="K318" s="8">
        <f>tblInventory[[#This Row],[Reorder_Quantity]]*M318</f>
        <v>364</v>
      </c>
      <c r="L318" s="10">
        <f>tblInventory[[#This Row],[Stock_Quantity]] / tblInventory[[#This Row],[Reorder_Quantity]]</f>
        <v>0.4175824175824176</v>
      </c>
      <c r="M318" s="3">
        <v>4</v>
      </c>
      <c r="N318" s="10">
        <f t="shared" si="8"/>
        <v>0.64516129032258063</v>
      </c>
      <c r="O318" s="1" t="s">
        <v>602</v>
      </c>
      <c r="P318" s="1" t="s">
        <v>211</v>
      </c>
      <c r="Q318" s="2">
        <v>46082</v>
      </c>
      <c r="R318" s="1" t="s">
        <v>2040</v>
      </c>
      <c r="S318" s="1">
        <v>72</v>
      </c>
      <c r="T318" s="1">
        <v>64</v>
      </c>
      <c r="U318" s="1" t="s">
        <v>46</v>
      </c>
      <c r="V318" s="3">
        <f>tblInventory[[#This Row],[Stock_Quantity]]*tblInventory[[#This Row],[Unit_Price]]</f>
        <v>152</v>
      </c>
      <c r="W318" s="1" t="str">
        <f>IF(tblInventory[[#This Row],[Status]]="Discontinued","INACTIVE",
IF(tblInventory[[#This Row],[Stock_Quantity]] &lt; tblInventory[[#This Row],[Reorder_Level]],"REORDER","OK"))</f>
        <v>REORDER</v>
      </c>
      <c r="X318" s="1" t="str">
        <f t="shared" ca="1" si="9"/>
        <v>Valid</v>
      </c>
    </row>
    <row r="319" spans="1:24">
      <c r="A319" s="1">
        <v>318</v>
      </c>
      <c r="B319" s="1" t="s">
        <v>2125</v>
      </c>
      <c r="C319" s="1" t="s">
        <v>1173</v>
      </c>
      <c r="D319" s="1" t="s">
        <v>100</v>
      </c>
      <c r="E319" s="1" t="s">
        <v>2126</v>
      </c>
      <c r="F319" s="1" t="s">
        <v>1216</v>
      </c>
      <c r="G319" s="6">
        <v>34</v>
      </c>
      <c r="H319" s="8">
        <f>tblInventory[[#This Row],[Stock_Quantity]] * tblInventory[[#This Row],[Unit_Price]]</f>
        <v>136</v>
      </c>
      <c r="I319" s="1">
        <v>49</v>
      </c>
      <c r="J319" s="1">
        <v>27</v>
      </c>
      <c r="K319" s="8">
        <f>tblInventory[[#This Row],[Reorder_Quantity]]*M319</f>
        <v>108</v>
      </c>
      <c r="L319" s="10">
        <f>tblInventory[[#This Row],[Stock_Quantity]] / tblInventory[[#This Row],[Reorder_Quantity]]</f>
        <v>1.2592592592592593</v>
      </c>
      <c r="M319" s="3">
        <v>4</v>
      </c>
      <c r="N319" s="10">
        <f t="shared" si="8"/>
        <v>0.57724957555178269</v>
      </c>
      <c r="O319" s="2">
        <v>45538</v>
      </c>
      <c r="P319" s="1" t="s">
        <v>456</v>
      </c>
      <c r="Q319" s="2">
        <v>46053</v>
      </c>
      <c r="R319" s="1" t="s">
        <v>2127</v>
      </c>
      <c r="S319" s="1">
        <v>78</v>
      </c>
      <c r="T319" s="1">
        <v>20</v>
      </c>
      <c r="U319" s="1" t="s">
        <v>24</v>
      </c>
      <c r="V319" s="3">
        <f>tblInventory[[#This Row],[Stock_Quantity]]*tblInventory[[#This Row],[Unit_Price]]</f>
        <v>136</v>
      </c>
      <c r="W319" s="1" t="str">
        <f>IF(tblInventory[[#This Row],[Status]]="Discontinued","INACTIVE",
IF(tblInventory[[#This Row],[Stock_Quantity]] &lt; tblInventory[[#This Row],[Reorder_Level]],"REORDER","OK"))</f>
        <v>INACTIVE</v>
      </c>
      <c r="X319" s="1" t="str">
        <f t="shared" ca="1" si="9"/>
        <v>Valid</v>
      </c>
    </row>
    <row r="320" spans="1:24">
      <c r="A320" s="1">
        <v>319</v>
      </c>
      <c r="B320" s="1" t="s">
        <v>2311</v>
      </c>
      <c r="C320" s="1" t="s">
        <v>1173</v>
      </c>
      <c r="D320" s="1" t="s">
        <v>100</v>
      </c>
      <c r="E320" s="1" t="s">
        <v>2312</v>
      </c>
      <c r="F320" s="1" t="s">
        <v>1086</v>
      </c>
      <c r="G320" s="6">
        <v>61</v>
      </c>
      <c r="H320" s="8">
        <f>tblInventory[[#This Row],[Stock_Quantity]] * tblInventory[[#This Row],[Unit_Price]]</f>
        <v>244</v>
      </c>
      <c r="I320" s="1">
        <v>8</v>
      </c>
      <c r="J320" s="1">
        <v>45</v>
      </c>
      <c r="K320" s="8">
        <f>tblInventory[[#This Row],[Reorder_Quantity]]*M320</f>
        <v>180</v>
      </c>
      <c r="L320" s="10">
        <f>tblInventory[[#This Row],[Stock_Quantity]] / tblInventory[[#This Row],[Reorder_Quantity]]</f>
        <v>1.3555555555555556</v>
      </c>
      <c r="M320" s="3">
        <v>4</v>
      </c>
      <c r="N320" s="10">
        <f t="shared" si="8"/>
        <v>1.0356536502546689</v>
      </c>
      <c r="O320" s="1" t="s">
        <v>65</v>
      </c>
      <c r="P320" s="1" t="s">
        <v>1293</v>
      </c>
      <c r="Q320" s="2">
        <v>46110</v>
      </c>
      <c r="R320" s="1" t="s">
        <v>2313</v>
      </c>
      <c r="S320" s="1">
        <v>73</v>
      </c>
      <c r="T320" s="1">
        <v>64</v>
      </c>
      <c r="U320" s="1" t="s">
        <v>24</v>
      </c>
      <c r="V320" s="3">
        <f>tblInventory[[#This Row],[Stock_Quantity]]*tblInventory[[#This Row],[Unit_Price]]</f>
        <v>244</v>
      </c>
      <c r="W320" s="1" t="str">
        <f>IF(tblInventory[[#This Row],[Status]]="Discontinued","INACTIVE",
IF(tblInventory[[#This Row],[Stock_Quantity]] &lt; tblInventory[[#This Row],[Reorder_Level]],"REORDER","OK"))</f>
        <v>INACTIVE</v>
      </c>
      <c r="X320" s="1" t="str">
        <f t="shared" ca="1" si="9"/>
        <v>Valid</v>
      </c>
    </row>
    <row r="321" spans="1:24">
      <c r="A321" s="1">
        <v>320</v>
      </c>
      <c r="B321" s="1" t="s">
        <v>2922</v>
      </c>
      <c r="C321" s="1" t="s">
        <v>1173</v>
      </c>
      <c r="D321" s="1" t="s">
        <v>100</v>
      </c>
      <c r="E321" s="1" t="s">
        <v>2923</v>
      </c>
      <c r="F321" s="1" t="s">
        <v>1375</v>
      </c>
      <c r="G321" s="6">
        <v>40</v>
      </c>
      <c r="H321" s="8">
        <f>tblInventory[[#This Row],[Stock_Quantity]] * tblInventory[[#This Row],[Unit_Price]]</f>
        <v>160</v>
      </c>
      <c r="I321" s="1">
        <v>91</v>
      </c>
      <c r="J321" s="1">
        <v>24</v>
      </c>
      <c r="K321" s="8">
        <f>tblInventory[[#This Row],[Reorder_Quantity]]*M321</f>
        <v>96</v>
      </c>
      <c r="L321" s="10">
        <f>tblInventory[[#This Row],[Stock_Quantity]] / tblInventory[[#This Row],[Reorder_Quantity]]</f>
        <v>1.6666666666666667</v>
      </c>
      <c r="M321" s="3">
        <v>4</v>
      </c>
      <c r="N321" s="10">
        <f t="shared" si="8"/>
        <v>0.6791171477079796</v>
      </c>
      <c r="O321" s="1" t="s">
        <v>495</v>
      </c>
      <c r="P321" s="2">
        <v>45638</v>
      </c>
      <c r="Q321" s="2">
        <v>46032</v>
      </c>
      <c r="R321" s="1" t="s">
        <v>2924</v>
      </c>
      <c r="S321" s="1">
        <v>28</v>
      </c>
      <c r="T321" s="1">
        <v>47</v>
      </c>
      <c r="U321" s="1" t="s">
        <v>24</v>
      </c>
      <c r="V321" s="3">
        <f>tblInventory[[#This Row],[Stock_Quantity]]*tblInventory[[#This Row],[Unit_Price]]</f>
        <v>160</v>
      </c>
      <c r="W321" s="1" t="str">
        <f>IF(tblInventory[[#This Row],[Status]]="Discontinued","INACTIVE",
IF(tblInventory[[#This Row],[Stock_Quantity]] &lt; tblInventory[[#This Row],[Reorder_Level]],"REORDER","OK"))</f>
        <v>INACTIVE</v>
      </c>
      <c r="X321" s="1" t="str">
        <f t="shared" ca="1" si="9"/>
        <v>Valid</v>
      </c>
    </row>
    <row r="322" spans="1:24">
      <c r="A322" s="1">
        <v>321</v>
      </c>
      <c r="B322" s="1" t="s">
        <v>3232</v>
      </c>
      <c r="C322" s="1" t="s">
        <v>1173</v>
      </c>
      <c r="D322" s="1" t="s">
        <v>100</v>
      </c>
      <c r="E322" s="1" t="s">
        <v>3233</v>
      </c>
      <c r="F322" s="1" t="s">
        <v>1435</v>
      </c>
      <c r="G322" s="6">
        <v>29</v>
      </c>
      <c r="H322" s="8">
        <f>tblInventory[[#This Row],[Stock_Quantity]] * tblInventory[[#This Row],[Unit_Price]]</f>
        <v>116</v>
      </c>
      <c r="I322" s="1">
        <v>2</v>
      </c>
      <c r="J322" s="1">
        <v>84</v>
      </c>
      <c r="K322" s="8">
        <f>tblInventory[[#This Row],[Reorder_Quantity]]*M322</f>
        <v>336</v>
      </c>
      <c r="L322" s="10">
        <f>tblInventory[[#This Row],[Stock_Quantity]] / tblInventory[[#This Row],[Reorder_Quantity]]</f>
        <v>0.34523809523809523</v>
      </c>
      <c r="M322" s="3">
        <v>4</v>
      </c>
      <c r="N322" s="10">
        <f t="shared" ref="N322:N385" si="10">G322 / 58.9</f>
        <v>0.49235993208828527</v>
      </c>
      <c r="O322" s="1" t="s">
        <v>519</v>
      </c>
      <c r="P322" s="1" t="s">
        <v>604</v>
      </c>
      <c r="Q322" s="2">
        <v>46631</v>
      </c>
      <c r="R322" s="1" t="s">
        <v>3234</v>
      </c>
      <c r="S322" s="1">
        <v>80</v>
      </c>
      <c r="T322" s="1">
        <v>85</v>
      </c>
      <c r="U322" s="1" t="s">
        <v>38</v>
      </c>
      <c r="V322" s="3">
        <f>tblInventory[[#This Row],[Stock_Quantity]]*tblInventory[[#This Row],[Unit_Price]]</f>
        <v>116</v>
      </c>
      <c r="W322" s="1" t="str">
        <f>IF(tblInventory[[#This Row],[Status]]="Discontinued","INACTIVE",
IF(tblInventory[[#This Row],[Stock_Quantity]] &lt; tblInventory[[#This Row],[Reorder_Level]],"REORDER","OK"))</f>
        <v>OK</v>
      </c>
      <c r="X322" s="1" t="str">
        <f t="shared" ref="X322:X385" ca="1" si="11">IF(Q322&lt;TODAY(),"Expired","Valid")</f>
        <v>Valid</v>
      </c>
    </row>
    <row r="323" spans="1:24">
      <c r="A323" s="1">
        <v>322</v>
      </c>
      <c r="B323" s="1" t="s">
        <v>3565</v>
      </c>
      <c r="C323" s="1" t="s">
        <v>1173</v>
      </c>
      <c r="D323" s="1" t="s">
        <v>100</v>
      </c>
      <c r="E323" s="1" t="s">
        <v>3566</v>
      </c>
      <c r="F323" s="1" t="s">
        <v>2413</v>
      </c>
      <c r="G323" s="6">
        <v>72</v>
      </c>
      <c r="H323" s="8">
        <f>tblInventory[[#This Row],[Stock_Quantity]] * tblInventory[[#This Row],[Unit_Price]]</f>
        <v>288</v>
      </c>
      <c r="I323" s="1">
        <v>78</v>
      </c>
      <c r="J323" s="1">
        <v>1</v>
      </c>
      <c r="K323" s="8">
        <f>tblInventory[[#This Row],[Reorder_Quantity]]*M323</f>
        <v>4</v>
      </c>
      <c r="L323" s="10">
        <f>tblInventory[[#This Row],[Stock_Quantity]] / tblInventory[[#This Row],[Reorder_Quantity]]</f>
        <v>72</v>
      </c>
      <c r="M323" s="3">
        <v>4</v>
      </c>
      <c r="N323" s="10">
        <f t="shared" si="10"/>
        <v>1.2224108658743633</v>
      </c>
      <c r="O323" s="2">
        <v>45576</v>
      </c>
      <c r="P323" s="1" t="s">
        <v>219</v>
      </c>
      <c r="Q323" s="2">
        <v>46504</v>
      </c>
      <c r="R323" s="1" t="s">
        <v>3567</v>
      </c>
      <c r="S323" s="1">
        <v>85</v>
      </c>
      <c r="T323" s="1">
        <v>30</v>
      </c>
      <c r="U323" s="1" t="s">
        <v>24</v>
      </c>
      <c r="V323" s="3">
        <f>tblInventory[[#This Row],[Stock_Quantity]]*tblInventory[[#This Row],[Unit_Price]]</f>
        <v>288</v>
      </c>
      <c r="W323" s="1" t="str">
        <f>IF(tblInventory[[#This Row],[Status]]="Discontinued","INACTIVE",
IF(tblInventory[[#This Row],[Stock_Quantity]] &lt; tblInventory[[#This Row],[Reorder_Level]],"REORDER","OK"))</f>
        <v>INACTIVE</v>
      </c>
      <c r="X323" s="1" t="str">
        <f t="shared" ca="1" si="11"/>
        <v>Valid</v>
      </c>
    </row>
    <row r="324" spans="1:24">
      <c r="A324" s="1">
        <v>323</v>
      </c>
      <c r="B324" s="1" t="s">
        <v>2501</v>
      </c>
      <c r="C324" s="1" t="s">
        <v>2502</v>
      </c>
      <c r="D324" s="1" t="s">
        <v>69</v>
      </c>
      <c r="E324" s="1" t="s">
        <v>2503</v>
      </c>
      <c r="F324" s="1" t="s">
        <v>2504</v>
      </c>
      <c r="G324" s="6">
        <v>10</v>
      </c>
      <c r="H324" s="8">
        <f>tblInventory[[#This Row],[Stock_Quantity]] * tblInventory[[#This Row],[Unit_Price]]</f>
        <v>2</v>
      </c>
      <c r="I324" s="1">
        <v>17</v>
      </c>
      <c r="J324" s="1">
        <v>70</v>
      </c>
      <c r="K324" s="8">
        <f>tblInventory[[#This Row],[Reorder_Quantity]]*M324</f>
        <v>14</v>
      </c>
      <c r="L324" s="10">
        <f>tblInventory[[#This Row],[Stock_Quantity]] / tblInventory[[#This Row],[Reorder_Quantity]]</f>
        <v>0.14285714285714285</v>
      </c>
      <c r="M324" s="3">
        <v>0.2</v>
      </c>
      <c r="N324" s="10">
        <f t="shared" si="10"/>
        <v>0.1697792869269949</v>
      </c>
      <c r="O324" s="1" t="s">
        <v>621</v>
      </c>
      <c r="P324" s="1" t="s">
        <v>666</v>
      </c>
      <c r="Q324" s="2">
        <v>46168</v>
      </c>
      <c r="R324" s="1" t="s">
        <v>2505</v>
      </c>
      <c r="S324" s="1">
        <v>100</v>
      </c>
      <c r="T324" s="1">
        <v>63</v>
      </c>
      <c r="U324" s="1" t="s">
        <v>38</v>
      </c>
      <c r="V324" s="3">
        <f>tblInventory[[#This Row],[Stock_Quantity]]*tblInventory[[#This Row],[Unit_Price]]</f>
        <v>2</v>
      </c>
      <c r="W324" s="1" t="str">
        <f>IF(tblInventory[[#This Row],[Status]]="Discontinued","INACTIVE",
IF(tblInventory[[#This Row],[Stock_Quantity]] &lt; tblInventory[[#This Row],[Reorder_Level]],"REORDER","OK"))</f>
        <v>REORDER</v>
      </c>
      <c r="X324" s="1" t="str">
        <f t="shared" ca="1" si="11"/>
        <v>Valid</v>
      </c>
    </row>
    <row r="325" spans="1:24">
      <c r="A325" s="1">
        <v>324</v>
      </c>
      <c r="B325" s="1" t="s">
        <v>2632</v>
      </c>
      <c r="C325" s="1" t="s">
        <v>2502</v>
      </c>
      <c r="D325" s="1" t="s">
        <v>69</v>
      </c>
      <c r="E325" s="1" t="s">
        <v>2633</v>
      </c>
      <c r="F325" s="1" t="s">
        <v>891</v>
      </c>
      <c r="G325" s="6">
        <v>22</v>
      </c>
      <c r="H325" s="8">
        <f>tblInventory[[#This Row],[Stock_Quantity]] * tblInventory[[#This Row],[Unit_Price]]</f>
        <v>4.4000000000000004</v>
      </c>
      <c r="I325" s="1">
        <v>58</v>
      </c>
      <c r="J325" s="1">
        <v>2</v>
      </c>
      <c r="K325" s="8">
        <f>tblInventory[[#This Row],[Reorder_Quantity]]*M325</f>
        <v>0.4</v>
      </c>
      <c r="L325" s="10">
        <f>tblInventory[[#This Row],[Stock_Quantity]] / tblInventory[[#This Row],[Reorder_Quantity]]</f>
        <v>11</v>
      </c>
      <c r="M325" s="3">
        <v>0.2</v>
      </c>
      <c r="N325" s="10">
        <f t="shared" si="10"/>
        <v>0.37351443123938882</v>
      </c>
      <c r="O325" s="2">
        <v>45840</v>
      </c>
      <c r="P325" s="1" t="s">
        <v>233</v>
      </c>
      <c r="Q325" s="2">
        <v>46149</v>
      </c>
      <c r="R325" s="1" t="s">
        <v>2634</v>
      </c>
      <c r="S325" s="1">
        <v>33</v>
      </c>
      <c r="T325" s="1">
        <v>68</v>
      </c>
      <c r="U325" s="1" t="s">
        <v>46</v>
      </c>
      <c r="V325" s="3">
        <f>tblInventory[[#This Row],[Stock_Quantity]]*tblInventory[[#This Row],[Unit_Price]]</f>
        <v>4.4000000000000004</v>
      </c>
      <c r="W325" s="1" t="str">
        <f>IF(tblInventory[[#This Row],[Status]]="Discontinued","INACTIVE",
IF(tblInventory[[#This Row],[Stock_Quantity]] &lt; tblInventory[[#This Row],[Reorder_Level]],"REORDER","OK"))</f>
        <v>REORDER</v>
      </c>
      <c r="X325" s="1" t="str">
        <f t="shared" ca="1" si="11"/>
        <v>Valid</v>
      </c>
    </row>
    <row r="326" spans="1:24">
      <c r="A326" s="1">
        <v>325</v>
      </c>
      <c r="B326" s="1" t="s">
        <v>2790</v>
      </c>
      <c r="C326" s="1" t="s">
        <v>2502</v>
      </c>
      <c r="D326" s="1" t="s">
        <v>69</v>
      </c>
      <c r="E326" s="1" t="s">
        <v>2791</v>
      </c>
      <c r="F326" s="1" t="s">
        <v>2792</v>
      </c>
      <c r="G326" s="6">
        <v>70</v>
      </c>
      <c r="H326" s="8">
        <f>tblInventory[[#This Row],[Stock_Quantity]] * tblInventory[[#This Row],[Unit_Price]]</f>
        <v>14</v>
      </c>
      <c r="I326" s="1">
        <v>29</v>
      </c>
      <c r="J326" s="1">
        <v>24</v>
      </c>
      <c r="K326" s="8">
        <f>tblInventory[[#This Row],[Reorder_Quantity]]*M326</f>
        <v>4.8000000000000007</v>
      </c>
      <c r="L326" s="10">
        <f>tblInventory[[#This Row],[Stock_Quantity]] / tblInventory[[#This Row],[Reorder_Quantity]]</f>
        <v>2.9166666666666665</v>
      </c>
      <c r="M326" s="3">
        <v>0.2</v>
      </c>
      <c r="N326" s="10">
        <f t="shared" si="10"/>
        <v>1.1884550084889645</v>
      </c>
      <c r="O326" s="1" t="s">
        <v>1075</v>
      </c>
      <c r="P326" s="1" t="s">
        <v>1217</v>
      </c>
      <c r="Q326" s="2">
        <v>46257</v>
      </c>
      <c r="R326" s="1" t="s">
        <v>2793</v>
      </c>
      <c r="S326" s="1">
        <v>62</v>
      </c>
      <c r="T326" s="1">
        <v>55</v>
      </c>
      <c r="U326" s="1" t="s">
        <v>38</v>
      </c>
      <c r="V326" s="3">
        <f>tblInventory[[#This Row],[Stock_Quantity]]*tblInventory[[#This Row],[Unit_Price]]</f>
        <v>14</v>
      </c>
      <c r="W326" s="1" t="str">
        <f>IF(tblInventory[[#This Row],[Status]]="Discontinued","INACTIVE",
IF(tblInventory[[#This Row],[Stock_Quantity]] &lt; tblInventory[[#This Row],[Reorder_Level]],"REORDER","OK"))</f>
        <v>OK</v>
      </c>
      <c r="X326" s="1" t="str">
        <f t="shared" ca="1" si="11"/>
        <v>Valid</v>
      </c>
    </row>
    <row r="327" spans="1:24">
      <c r="A327" s="1">
        <v>326</v>
      </c>
      <c r="B327" s="1" t="s">
        <v>2910</v>
      </c>
      <c r="C327" s="1" t="s">
        <v>2502</v>
      </c>
      <c r="D327" s="1" t="s">
        <v>69</v>
      </c>
      <c r="E327" s="1" t="s">
        <v>2911</v>
      </c>
      <c r="F327" s="1" t="s">
        <v>1281</v>
      </c>
      <c r="G327" s="6">
        <v>22</v>
      </c>
      <c r="H327" s="8">
        <f>tblInventory[[#This Row],[Stock_Quantity]] * tblInventory[[#This Row],[Unit_Price]]</f>
        <v>4.4000000000000004</v>
      </c>
      <c r="I327" s="1">
        <v>19</v>
      </c>
      <c r="J327" s="1">
        <v>4</v>
      </c>
      <c r="K327" s="8">
        <f>tblInventory[[#This Row],[Reorder_Quantity]]*M327</f>
        <v>0.8</v>
      </c>
      <c r="L327" s="10">
        <f>tblInventory[[#This Row],[Stock_Quantity]] / tblInventory[[#This Row],[Reorder_Quantity]]</f>
        <v>5.5</v>
      </c>
      <c r="M327" s="3">
        <v>0.2</v>
      </c>
      <c r="N327" s="10">
        <f t="shared" si="10"/>
        <v>0.37351443123938882</v>
      </c>
      <c r="O327" s="1" t="s">
        <v>901</v>
      </c>
      <c r="P327" s="1" t="s">
        <v>199</v>
      </c>
      <c r="Q327" s="2">
        <v>46292</v>
      </c>
      <c r="R327" s="1" t="s">
        <v>2912</v>
      </c>
      <c r="S327" s="1">
        <v>88</v>
      </c>
      <c r="T327" s="1">
        <v>24</v>
      </c>
      <c r="U327" s="1" t="s">
        <v>24</v>
      </c>
      <c r="V327" s="3">
        <f>tblInventory[[#This Row],[Stock_Quantity]]*tblInventory[[#This Row],[Unit_Price]]</f>
        <v>4.4000000000000004</v>
      </c>
      <c r="W327" s="1" t="str">
        <f>IF(tblInventory[[#This Row],[Status]]="Discontinued","INACTIVE",
IF(tblInventory[[#This Row],[Stock_Quantity]] &lt; tblInventory[[#This Row],[Reorder_Level]],"REORDER","OK"))</f>
        <v>INACTIVE</v>
      </c>
      <c r="X327" s="1" t="str">
        <f t="shared" ca="1" si="11"/>
        <v>Valid</v>
      </c>
    </row>
    <row r="328" spans="1:24">
      <c r="A328" s="1">
        <v>327</v>
      </c>
      <c r="B328" s="1" t="s">
        <v>3327</v>
      </c>
      <c r="C328" s="1" t="s">
        <v>2502</v>
      </c>
      <c r="D328" s="1" t="s">
        <v>69</v>
      </c>
      <c r="E328" s="1" t="s">
        <v>3328</v>
      </c>
      <c r="F328" s="1" t="s">
        <v>2688</v>
      </c>
      <c r="G328" s="6">
        <v>36</v>
      </c>
      <c r="H328" s="8">
        <f>tblInventory[[#This Row],[Stock_Quantity]] * tblInventory[[#This Row],[Unit_Price]]</f>
        <v>7.2</v>
      </c>
      <c r="I328" s="1">
        <v>30</v>
      </c>
      <c r="J328" s="1">
        <v>44</v>
      </c>
      <c r="K328" s="8">
        <f>tblInventory[[#This Row],[Reorder_Quantity]]*M328</f>
        <v>8.8000000000000007</v>
      </c>
      <c r="L328" s="10">
        <f>tblInventory[[#This Row],[Stock_Quantity]] / tblInventory[[#This Row],[Reorder_Quantity]]</f>
        <v>0.81818181818181823</v>
      </c>
      <c r="M328" s="3">
        <v>0.2</v>
      </c>
      <c r="N328" s="10">
        <f t="shared" si="10"/>
        <v>0.61120543293718166</v>
      </c>
      <c r="O328" s="2">
        <v>45600</v>
      </c>
      <c r="P328" s="2">
        <v>45354</v>
      </c>
      <c r="Q328" s="2">
        <v>46632</v>
      </c>
      <c r="R328" s="1" t="s">
        <v>3329</v>
      </c>
      <c r="S328" s="1">
        <v>68</v>
      </c>
      <c r="T328" s="1">
        <v>88</v>
      </c>
      <c r="U328" s="1" t="s">
        <v>38</v>
      </c>
      <c r="V328" s="3">
        <f>tblInventory[[#This Row],[Stock_Quantity]]*tblInventory[[#This Row],[Unit_Price]]</f>
        <v>7.2</v>
      </c>
      <c r="W328" s="1" t="str">
        <f>IF(tblInventory[[#This Row],[Status]]="Discontinued","INACTIVE",
IF(tblInventory[[#This Row],[Stock_Quantity]] &lt; tblInventory[[#This Row],[Reorder_Level]],"REORDER","OK"))</f>
        <v>OK</v>
      </c>
      <c r="X328" s="1" t="str">
        <f t="shared" ca="1" si="11"/>
        <v>Valid</v>
      </c>
    </row>
    <row r="329" spans="1:24">
      <c r="A329" s="1">
        <v>328</v>
      </c>
      <c r="B329" s="1" t="s">
        <v>3605</v>
      </c>
      <c r="C329" s="1" t="s">
        <v>2502</v>
      </c>
      <c r="D329" s="1" t="s">
        <v>69</v>
      </c>
      <c r="E329" s="1" t="s">
        <v>3606</v>
      </c>
      <c r="F329" s="1" t="s">
        <v>114</v>
      </c>
      <c r="G329" s="6">
        <v>63</v>
      </c>
      <c r="H329" s="8">
        <f>tblInventory[[#This Row],[Stock_Quantity]] * tblInventory[[#This Row],[Unit_Price]]</f>
        <v>12.600000000000001</v>
      </c>
      <c r="I329" s="1">
        <v>62</v>
      </c>
      <c r="J329" s="1">
        <v>18</v>
      </c>
      <c r="K329" s="8">
        <f>tblInventory[[#This Row],[Reorder_Quantity]]*M329</f>
        <v>3.6</v>
      </c>
      <c r="L329" s="10">
        <f>tblInventory[[#This Row],[Stock_Quantity]] / tblInventory[[#This Row],[Reorder_Quantity]]</f>
        <v>3.5</v>
      </c>
      <c r="M329" s="3">
        <v>0.2</v>
      </c>
      <c r="N329" s="10">
        <f t="shared" si="10"/>
        <v>1.069609507640068</v>
      </c>
      <c r="O329" s="1" t="s">
        <v>44</v>
      </c>
      <c r="P329" s="2">
        <v>45326</v>
      </c>
      <c r="Q329" s="2">
        <v>46665</v>
      </c>
      <c r="R329" s="1" t="s">
        <v>3607</v>
      </c>
      <c r="S329" s="1">
        <v>67</v>
      </c>
      <c r="T329" s="1">
        <v>17</v>
      </c>
      <c r="U329" s="1" t="s">
        <v>46</v>
      </c>
      <c r="V329" s="3">
        <f>tblInventory[[#This Row],[Stock_Quantity]]*tblInventory[[#This Row],[Unit_Price]]</f>
        <v>12.600000000000001</v>
      </c>
      <c r="W329" s="1" t="str">
        <f>IF(tblInventory[[#This Row],[Status]]="Discontinued","INACTIVE",
IF(tblInventory[[#This Row],[Stock_Quantity]] &lt; tblInventory[[#This Row],[Reorder_Level]],"REORDER","OK"))</f>
        <v>OK</v>
      </c>
      <c r="X329" s="1" t="str">
        <f t="shared" ca="1" si="11"/>
        <v>Valid</v>
      </c>
    </row>
    <row r="330" spans="1:24">
      <c r="A330" s="1">
        <v>329</v>
      </c>
      <c r="B330" s="1" t="s">
        <v>3617</v>
      </c>
      <c r="C330" s="1" t="s">
        <v>2502</v>
      </c>
      <c r="D330" s="1" t="s">
        <v>69</v>
      </c>
      <c r="E330" s="1" t="s">
        <v>3618</v>
      </c>
      <c r="F330" s="1" t="s">
        <v>765</v>
      </c>
      <c r="G330" s="6">
        <v>83</v>
      </c>
      <c r="H330" s="8">
        <f>tblInventory[[#This Row],[Stock_Quantity]] * tblInventory[[#This Row],[Unit_Price]]</f>
        <v>16.600000000000001</v>
      </c>
      <c r="I330" s="1">
        <v>35</v>
      </c>
      <c r="J330" s="1">
        <v>43</v>
      </c>
      <c r="K330" s="8">
        <f>tblInventory[[#This Row],[Reorder_Quantity]]*M330</f>
        <v>8.6</v>
      </c>
      <c r="L330" s="10">
        <f>tblInventory[[#This Row],[Stock_Quantity]] / tblInventory[[#This Row],[Reorder_Quantity]]</f>
        <v>1.930232558139535</v>
      </c>
      <c r="M330" s="3">
        <v>0.2</v>
      </c>
      <c r="N330" s="10">
        <f t="shared" si="10"/>
        <v>1.4091680814940577</v>
      </c>
      <c r="O330" s="1" t="s">
        <v>840</v>
      </c>
      <c r="P330" s="1" t="s">
        <v>850</v>
      </c>
      <c r="Q330" s="2">
        <v>46521</v>
      </c>
      <c r="R330" s="1" t="s">
        <v>3619</v>
      </c>
      <c r="S330" s="1">
        <v>94</v>
      </c>
      <c r="T330" s="1">
        <v>68</v>
      </c>
      <c r="U330" s="1" t="s">
        <v>24</v>
      </c>
      <c r="V330" s="3">
        <f>tblInventory[[#This Row],[Stock_Quantity]]*tblInventory[[#This Row],[Unit_Price]]</f>
        <v>16.600000000000001</v>
      </c>
      <c r="W330" s="1" t="str">
        <f>IF(tblInventory[[#This Row],[Status]]="Discontinued","INACTIVE",
IF(tblInventory[[#This Row],[Stock_Quantity]] &lt; tblInventory[[#This Row],[Reorder_Level]],"REORDER","OK"))</f>
        <v>INACTIVE</v>
      </c>
      <c r="X330" s="1" t="str">
        <f t="shared" ca="1" si="11"/>
        <v>Valid</v>
      </c>
    </row>
    <row r="331" spans="1:24">
      <c r="A331" s="1">
        <v>330</v>
      </c>
      <c r="B331" s="1" t="s">
        <v>78</v>
      </c>
      <c r="C331" s="1" t="s">
        <v>79</v>
      </c>
      <c r="D331" s="1" t="s">
        <v>69</v>
      </c>
      <c r="E331" s="1" t="s">
        <v>80</v>
      </c>
      <c r="F331" s="1" t="s">
        <v>81</v>
      </c>
      <c r="G331" s="6">
        <v>43</v>
      </c>
      <c r="H331" s="8">
        <f>tblInventory[[#This Row],[Stock_Quantity]] * tblInventory[[#This Row],[Unit_Price]]</f>
        <v>43</v>
      </c>
      <c r="I331" s="1">
        <v>10</v>
      </c>
      <c r="J331" s="1">
        <v>15</v>
      </c>
      <c r="K331" s="8">
        <f>tblInventory[[#This Row],[Reorder_Quantity]]*M331</f>
        <v>15</v>
      </c>
      <c r="L331" s="10">
        <f>tblInventory[[#This Row],[Stock_Quantity]] / tblInventory[[#This Row],[Reorder_Quantity]]</f>
        <v>2.8666666666666667</v>
      </c>
      <c r="M331" s="3">
        <v>1</v>
      </c>
      <c r="N331" s="10">
        <f t="shared" si="10"/>
        <v>0.7300509337860781</v>
      </c>
      <c r="O331" s="1" t="s">
        <v>82</v>
      </c>
      <c r="P331" s="1" t="s">
        <v>83</v>
      </c>
      <c r="Q331" s="2">
        <v>45563</v>
      </c>
      <c r="R331" s="1" t="s">
        <v>84</v>
      </c>
      <c r="S331" s="1">
        <v>27</v>
      </c>
      <c r="T331" s="1">
        <v>69</v>
      </c>
      <c r="U331" s="1" t="s">
        <v>46</v>
      </c>
      <c r="V331" s="3">
        <f>tblInventory[[#This Row],[Stock_Quantity]]*tblInventory[[#This Row],[Unit_Price]]</f>
        <v>43</v>
      </c>
      <c r="W331" s="1" t="str">
        <f>IF(tblInventory[[#This Row],[Status]]="Discontinued","INACTIVE",
IF(tblInventory[[#This Row],[Stock_Quantity]] &lt; tblInventory[[#This Row],[Reorder_Level]],"REORDER","OK"))</f>
        <v>OK</v>
      </c>
      <c r="X331" s="1" t="str">
        <f t="shared" ca="1" si="11"/>
        <v>Expired</v>
      </c>
    </row>
    <row r="332" spans="1:24">
      <c r="A332" s="1">
        <v>331</v>
      </c>
      <c r="B332" s="1" t="s">
        <v>1227</v>
      </c>
      <c r="C332" s="1" t="s">
        <v>79</v>
      </c>
      <c r="D332" s="1" t="s">
        <v>69</v>
      </c>
      <c r="E332" s="1" t="s">
        <v>1228</v>
      </c>
      <c r="F332" s="1" t="s">
        <v>1229</v>
      </c>
      <c r="G332" s="6">
        <v>23</v>
      </c>
      <c r="H332" s="8">
        <f>tblInventory[[#This Row],[Stock_Quantity]] * tblInventory[[#This Row],[Unit_Price]]</f>
        <v>23</v>
      </c>
      <c r="I332" s="1">
        <v>38</v>
      </c>
      <c r="J332" s="1">
        <v>25</v>
      </c>
      <c r="K332" s="8">
        <f>tblInventory[[#This Row],[Reorder_Quantity]]*M332</f>
        <v>25</v>
      </c>
      <c r="L332" s="10">
        <f>tblInventory[[#This Row],[Stock_Quantity]] / tblInventory[[#This Row],[Reorder_Quantity]]</f>
        <v>0.92</v>
      </c>
      <c r="M332" s="3">
        <v>1</v>
      </c>
      <c r="N332" s="10">
        <f t="shared" si="10"/>
        <v>0.39049235993208831</v>
      </c>
      <c r="O332" s="1" t="s">
        <v>688</v>
      </c>
      <c r="P332" s="1" t="s">
        <v>1066</v>
      </c>
      <c r="Q332" s="2">
        <v>45796</v>
      </c>
      <c r="R332" s="1" t="s">
        <v>1230</v>
      </c>
      <c r="S332" s="1">
        <v>84</v>
      </c>
      <c r="T332" s="1">
        <v>78</v>
      </c>
      <c r="U332" s="1" t="s">
        <v>24</v>
      </c>
      <c r="V332" s="3">
        <f>tblInventory[[#This Row],[Stock_Quantity]]*tblInventory[[#This Row],[Unit_Price]]</f>
        <v>23</v>
      </c>
      <c r="W332" s="1" t="str">
        <f>IF(tblInventory[[#This Row],[Status]]="Discontinued","INACTIVE",
IF(tblInventory[[#This Row],[Stock_Quantity]] &lt; tblInventory[[#This Row],[Reorder_Level]],"REORDER","OK"))</f>
        <v>INACTIVE</v>
      </c>
      <c r="X332" s="1" t="str">
        <f t="shared" ca="1" si="11"/>
        <v>Expired</v>
      </c>
    </row>
    <row r="333" spans="1:24">
      <c r="A333" s="1">
        <v>332</v>
      </c>
      <c r="B333" s="1" t="s">
        <v>1854</v>
      </c>
      <c r="C333" s="1" t="s">
        <v>79</v>
      </c>
      <c r="D333" s="1" t="s">
        <v>69</v>
      </c>
      <c r="E333" s="1" t="s">
        <v>1855</v>
      </c>
      <c r="F333" s="1" t="s">
        <v>1856</v>
      </c>
      <c r="G333" s="6">
        <v>77</v>
      </c>
      <c r="H333" s="8">
        <f>tblInventory[[#This Row],[Stock_Quantity]] * tblInventory[[#This Row],[Unit_Price]]</f>
        <v>77</v>
      </c>
      <c r="I333" s="1">
        <v>1</v>
      </c>
      <c r="J333" s="1">
        <v>41</v>
      </c>
      <c r="K333" s="8">
        <f>tblInventory[[#This Row],[Reorder_Quantity]]*M333</f>
        <v>41</v>
      </c>
      <c r="L333" s="10">
        <f>tblInventory[[#This Row],[Stock_Quantity]] / tblInventory[[#This Row],[Reorder_Quantity]]</f>
        <v>1.8780487804878048</v>
      </c>
      <c r="M333" s="3">
        <v>1</v>
      </c>
      <c r="N333" s="10">
        <f t="shared" si="10"/>
        <v>1.3073005093378609</v>
      </c>
      <c r="O333" s="2">
        <v>45423</v>
      </c>
      <c r="P333" s="2">
        <v>45779</v>
      </c>
      <c r="Q333" s="2">
        <v>45880</v>
      </c>
      <c r="R333" s="1" t="s">
        <v>1857</v>
      </c>
      <c r="S333" s="1">
        <v>58</v>
      </c>
      <c r="T333" s="1">
        <v>55</v>
      </c>
      <c r="U333" s="1" t="s">
        <v>24</v>
      </c>
      <c r="V333" s="3">
        <f>tblInventory[[#This Row],[Stock_Quantity]]*tblInventory[[#This Row],[Unit_Price]]</f>
        <v>77</v>
      </c>
      <c r="W333" s="1" t="str">
        <f>IF(tblInventory[[#This Row],[Status]]="Discontinued","INACTIVE",
IF(tblInventory[[#This Row],[Stock_Quantity]] &lt; tblInventory[[#This Row],[Reorder_Level]],"REORDER","OK"))</f>
        <v>INACTIVE</v>
      </c>
      <c r="X333" s="1" t="str">
        <f t="shared" ca="1" si="11"/>
        <v>Expired</v>
      </c>
    </row>
    <row r="334" spans="1:24">
      <c r="A334" s="1">
        <v>333</v>
      </c>
      <c r="B334" s="1" t="s">
        <v>1953</v>
      </c>
      <c r="C334" s="1" t="s">
        <v>79</v>
      </c>
      <c r="D334" s="1" t="s">
        <v>69</v>
      </c>
      <c r="E334" s="1" t="s">
        <v>1954</v>
      </c>
      <c r="F334" s="1" t="s">
        <v>839</v>
      </c>
      <c r="G334" s="6">
        <v>44</v>
      </c>
      <c r="H334" s="8">
        <f>tblInventory[[#This Row],[Stock_Quantity]] * tblInventory[[#This Row],[Unit_Price]]</f>
        <v>44</v>
      </c>
      <c r="I334" s="1">
        <v>75</v>
      </c>
      <c r="J334" s="1">
        <v>72</v>
      </c>
      <c r="K334" s="8">
        <f>tblInventory[[#This Row],[Reorder_Quantity]]*M334</f>
        <v>72</v>
      </c>
      <c r="L334" s="10">
        <f>tblInventory[[#This Row],[Stock_Quantity]] / tblInventory[[#This Row],[Reorder_Quantity]]</f>
        <v>0.61111111111111116</v>
      </c>
      <c r="M334" s="3">
        <v>1</v>
      </c>
      <c r="N334" s="10">
        <f t="shared" si="10"/>
        <v>0.74702886247877764</v>
      </c>
      <c r="O334" s="1" t="s">
        <v>494</v>
      </c>
      <c r="P334" s="1" t="s">
        <v>1134</v>
      </c>
      <c r="Q334" s="2">
        <v>45881</v>
      </c>
      <c r="R334" s="1" t="s">
        <v>1955</v>
      </c>
      <c r="S334" s="1">
        <v>96</v>
      </c>
      <c r="T334" s="1">
        <v>38</v>
      </c>
      <c r="U334" s="1" t="s">
        <v>24</v>
      </c>
      <c r="V334" s="3">
        <f>tblInventory[[#This Row],[Stock_Quantity]]*tblInventory[[#This Row],[Unit_Price]]</f>
        <v>44</v>
      </c>
      <c r="W334" s="1" t="str">
        <f>IF(tblInventory[[#This Row],[Status]]="Discontinued","INACTIVE",
IF(tblInventory[[#This Row],[Stock_Quantity]] &lt; tblInventory[[#This Row],[Reorder_Level]],"REORDER","OK"))</f>
        <v>INACTIVE</v>
      </c>
      <c r="X334" s="1" t="str">
        <f t="shared" ca="1" si="11"/>
        <v>Expired</v>
      </c>
    </row>
    <row r="335" spans="1:24">
      <c r="A335" s="1">
        <v>334</v>
      </c>
      <c r="B335" s="1" t="s">
        <v>2245</v>
      </c>
      <c r="C335" s="1" t="s">
        <v>79</v>
      </c>
      <c r="D335" s="1" t="s">
        <v>69</v>
      </c>
      <c r="E335" s="1" t="s">
        <v>2246</v>
      </c>
      <c r="F335" s="1" t="s">
        <v>347</v>
      </c>
      <c r="G335" s="6">
        <v>37</v>
      </c>
      <c r="H335" s="8">
        <f>tblInventory[[#This Row],[Stock_Quantity]] * tblInventory[[#This Row],[Unit_Price]]</f>
        <v>37</v>
      </c>
      <c r="I335" s="1">
        <v>53</v>
      </c>
      <c r="J335" s="1">
        <v>61</v>
      </c>
      <c r="K335" s="8">
        <f>tblInventory[[#This Row],[Reorder_Quantity]]*M335</f>
        <v>61</v>
      </c>
      <c r="L335" s="10">
        <f>tblInventory[[#This Row],[Stock_Quantity]] / tblInventory[[#This Row],[Reorder_Quantity]]</f>
        <v>0.60655737704918034</v>
      </c>
      <c r="M335" s="3">
        <v>1</v>
      </c>
      <c r="N335" s="10">
        <f t="shared" si="10"/>
        <v>0.6281833616298812</v>
      </c>
      <c r="O335" s="2">
        <v>45355</v>
      </c>
      <c r="P335" s="1" t="s">
        <v>1099</v>
      </c>
      <c r="Q335" s="2">
        <v>46237</v>
      </c>
      <c r="R335" s="1" t="s">
        <v>2247</v>
      </c>
      <c r="S335" s="1">
        <v>90</v>
      </c>
      <c r="T335" s="1">
        <v>89</v>
      </c>
      <c r="U335" s="1" t="s">
        <v>38</v>
      </c>
      <c r="V335" s="3">
        <f>tblInventory[[#This Row],[Stock_Quantity]]*tblInventory[[#This Row],[Unit_Price]]</f>
        <v>37</v>
      </c>
      <c r="W335" s="1" t="str">
        <f>IF(tblInventory[[#This Row],[Status]]="Discontinued","INACTIVE",
IF(tblInventory[[#This Row],[Stock_Quantity]] &lt; tblInventory[[#This Row],[Reorder_Level]],"REORDER","OK"))</f>
        <v>REORDER</v>
      </c>
      <c r="X335" s="1" t="str">
        <f t="shared" ca="1" si="11"/>
        <v>Valid</v>
      </c>
    </row>
    <row r="336" spans="1:24">
      <c r="A336" s="1">
        <v>335</v>
      </c>
      <c r="B336" s="1" t="s">
        <v>2364</v>
      </c>
      <c r="C336" s="1" t="s">
        <v>79</v>
      </c>
      <c r="D336" s="1" t="s">
        <v>69</v>
      </c>
      <c r="E336" s="1" t="s">
        <v>2365</v>
      </c>
      <c r="F336" s="1" t="s">
        <v>2218</v>
      </c>
      <c r="G336" s="6">
        <v>41</v>
      </c>
      <c r="H336" s="8">
        <f>tblInventory[[#This Row],[Stock_Quantity]] * tblInventory[[#This Row],[Unit_Price]]</f>
        <v>41</v>
      </c>
      <c r="I336" s="1">
        <v>61</v>
      </c>
      <c r="J336" s="1">
        <v>69</v>
      </c>
      <c r="K336" s="8">
        <f>tblInventory[[#This Row],[Reorder_Quantity]]*M336</f>
        <v>69</v>
      </c>
      <c r="L336" s="10">
        <f>tblInventory[[#This Row],[Stock_Quantity]] / tblInventory[[#This Row],[Reorder_Quantity]]</f>
        <v>0.59420289855072461</v>
      </c>
      <c r="M336" s="3">
        <v>1</v>
      </c>
      <c r="N336" s="10">
        <f t="shared" si="10"/>
        <v>0.69609507640067914</v>
      </c>
      <c r="O336" s="1" t="s">
        <v>909</v>
      </c>
      <c r="P336" s="2">
        <v>45718</v>
      </c>
      <c r="Q336" s="2">
        <v>46126</v>
      </c>
      <c r="R336" s="1" t="s">
        <v>2366</v>
      </c>
      <c r="S336" s="1">
        <v>30</v>
      </c>
      <c r="T336" s="1">
        <v>100</v>
      </c>
      <c r="U336" s="1" t="s">
        <v>24</v>
      </c>
      <c r="V336" s="3">
        <f>tblInventory[[#This Row],[Stock_Quantity]]*tblInventory[[#This Row],[Unit_Price]]</f>
        <v>41</v>
      </c>
      <c r="W336" s="1" t="str">
        <f>IF(tblInventory[[#This Row],[Status]]="Discontinued","INACTIVE",
IF(tblInventory[[#This Row],[Stock_Quantity]] &lt; tblInventory[[#This Row],[Reorder_Level]],"REORDER","OK"))</f>
        <v>INACTIVE</v>
      </c>
      <c r="X336" s="1" t="str">
        <f t="shared" ca="1" si="11"/>
        <v>Valid</v>
      </c>
    </row>
    <row r="337" spans="1:24">
      <c r="A337" s="1">
        <v>336</v>
      </c>
      <c r="B337" s="1" t="s">
        <v>2581</v>
      </c>
      <c r="C337" s="1" t="s">
        <v>79</v>
      </c>
      <c r="D337" s="1" t="s">
        <v>69</v>
      </c>
      <c r="E337" s="1" t="s">
        <v>2582</v>
      </c>
      <c r="F337" s="1" t="s">
        <v>87</v>
      </c>
      <c r="G337" s="6">
        <v>52</v>
      </c>
      <c r="H337" s="8">
        <f>tblInventory[[#This Row],[Stock_Quantity]] * tblInventory[[#This Row],[Unit_Price]]</f>
        <v>52</v>
      </c>
      <c r="I337" s="1">
        <v>31</v>
      </c>
      <c r="J337" s="1">
        <v>18</v>
      </c>
      <c r="K337" s="8">
        <f>tblInventory[[#This Row],[Reorder_Quantity]]*M337</f>
        <v>18</v>
      </c>
      <c r="L337" s="10">
        <f>tblInventory[[#This Row],[Stock_Quantity]] / tblInventory[[#This Row],[Reorder_Quantity]]</f>
        <v>2.8888888888888888</v>
      </c>
      <c r="M337" s="3">
        <v>1</v>
      </c>
      <c r="N337" s="10">
        <f t="shared" si="10"/>
        <v>0.88285229202037352</v>
      </c>
      <c r="O337" s="1" t="s">
        <v>786</v>
      </c>
      <c r="P337" s="1" t="s">
        <v>1285</v>
      </c>
      <c r="Q337" s="2">
        <v>46192</v>
      </c>
      <c r="R337" s="1" t="s">
        <v>2583</v>
      </c>
      <c r="S337" s="1">
        <v>77</v>
      </c>
      <c r="T337" s="1">
        <v>16</v>
      </c>
      <c r="U337" s="1" t="s">
        <v>38</v>
      </c>
      <c r="V337" s="3">
        <f>tblInventory[[#This Row],[Stock_Quantity]]*tblInventory[[#This Row],[Unit_Price]]</f>
        <v>52</v>
      </c>
      <c r="W337" s="1" t="str">
        <f>IF(tblInventory[[#This Row],[Status]]="Discontinued","INACTIVE",
IF(tblInventory[[#This Row],[Stock_Quantity]] &lt; tblInventory[[#This Row],[Reorder_Level]],"REORDER","OK"))</f>
        <v>OK</v>
      </c>
      <c r="X337" s="1" t="str">
        <f t="shared" ca="1" si="11"/>
        <v>Valid</v>
      </c>
    </row>
    <row r="338" spans="1:24">
      <c r="A338" s="1">
        <v>337</v>
      </c>
      <c r="B338" s="1" t="s">
        <v>2673</v>
      </c>
      <c r="C338" s="1" t="s">
        <v>79</v>
      </c>
      <c r="D338" s="1" t="s">
        <v>69</v>
      </c>
      <c r="E338" s="1" t="s">
        <v>2674</v>
      </c>
      <c r="F338" s="1" t="s">
        <v>333</v>
      </c>
      <c r="G338" s="6">
        <v>63</v>
      </c>
      <c r="H338" s="8">
        <f>tblInventory[[#This Row],[Stock_Quantity]] * tblInventory[[#This Row],[Unit_Price]]</f>
        <v>63</v>
      </c>
      <c r="I338" s="1">
        <v>38</v>
      </c>
      <c r="J338" s="1">
        <v>77</v>
      </c>
      <c r="K338" s="8">
        <f>tblInventory[[#This Row],[Reorder_Quantity]]*M338</f>
        <v>77</v>
      </c>
      <c r="L338" s="10">
        <f>tblInventory[[#This Row],[Stock_Quantity]] / tblInventory[[#This Row],[Reorder_Quantity]]</f>
        <v>0.81818181818181823</v>
      </c>
      <c r="M338" s="3">
        <v>1</v>
      </c>
      <c r="N338" s="10">
        <f t="shared" si="10"/>
        <v>1.069609507640068</v>
      </c>
      <c r="O338" s="1" t="s">
        <v>666</v>
      </c>
      <c r="P338" s="2">
        <v>45993</v>
      </c>
      <c r="Q338" s="2">
        <v>46221</v>
      </c>
      <c r="R338" s="1" t="s">
        <v>2675</v>
      </c>
      <c r="S338" s="1">
        <v>23</v>
      </c>
      <c r="T338" s="1">
        <v>18</v>
      </c>
      <c r="U338" s="1" t="s">
        <v>46</v>
      </c>
      <c r="V338" s="3">
        <f>tblInventory[[#This Row],[Stock_Quantity]]*tblInventory[[#This Row],[Unit_Price]]</f>
        <v>63</v>
      </c>
      <c r="W338" s="1" t="str">
        <f>IF(tblInventory[[#This Row],[Status]]="Discontinued","INACTIVE",
IF(tblInventory[[#This Row],[Stock_Quantity]] &lt; tblInventory[[#This Row],[Reorder_Level]],"REORDER","OK"))</f>
        <v>OK</v>
      </c>
      <c r="X338" s="1" t="str">
        <f t="shared" ca="1" si="11"/>
        <v>Valid</v>
      </c>
    </row>
    <row r="339" spans="1:24">
      <c r="A339" s="1">
        <v>338</v>
      </c>
      <c r="B339" s="1" t="s">
        <v>3485</v>
      </c>
      <c r="C339" s="1" t="s">
        <v>79</v>
      </c>
      <c r="D339" s="1" t="s">
        <v>69</v>
      </c>
      <c r="E339" s="1" t="s">
        <v>3486</v>
      </c>
      <c r="F339" s="1" t="s">
        <v>2083</v>
      </c>
      <c r="G339" s="6">
        <v>70</v>
      </c>
      <c r="H339" s="8">
        <f>tblInventory[[#This Row],[Stock_Quantity]] * tblInventory[[#This Row],[Unit_Price]]</f>
        <v>70</v>
      </c>
      <c r="I339" s="1">
        <v>92</v>
      </c>
      <c r="J339" s="1">
        <v>74</v>
      </c>
      <c r="K339" s="8">
        <f>tblInventory[[#This Row],[Reorder_Quantity]]*M339</f>
        <v>74</v>
      </c>
      <c r="L339" s="10">
        <f>tblInventory[[#This Row],[Stock_Quantity]] / tblInventory[[#This Row],[Reorder_Quantity]]</f>
        <v>0.94594594594594594</v>
      </c>
      <c r="M339" s="3">
        <v>1</v>
      </c>
      <c r="N339" s="10">
        <f t="shared" si="10"/>
        <v>1.1884550084889645</v>
      </c>
      <c r="O339" s="1" t="s">
        <v>1111</v>
      </c>
      <c r="P339" s="1" t="s">
        <v>158</v>
      </c>
      <c r="Q339" s="2">
        <v>46391</v>
      </c>
      <c r="R339" s="1" t="s">
        <v>3487</v>
      </c>
      <c r="S339" s="1">
        <v>95</v>
      </c>
      <c r="T339" s="1">
        <v>26</v>
      </c>
      <c r="U339" s="1" t="s">
        <v>38</v>
      </c>
      <c r="V339" s="3">
        <f>tblInventory[[#This Row],[Stock_Quantity]]*tblInventory[[#This Row],[Unit_Price]]</f>
        <v>70</v>
      </c>
      <c r="W339" s="1" t="str">
        <f>IF(tblInventory[[#This Row],[Status]]="Discontinued","INACTIVE",
IF(tblInventory[[#This Row],[Stock_Quantity]] &lt; tblInventory[[#This Row],[Reorder_Level]],"REORDER","OK"))</f>
        <v>REORDER</v>
      </c>
      <c r="X339" s="1" t="str">
        <f t="shared" ca="1" si="11"/>
        <v>Valid</v>
      </c>
    </row>
    <row r="340" spans="1:24">
      <c r="A340" s="1">
        <v>339</v>
      </c>
      <c r="B340" s="1" t="s">
        <v>67</v>
      </c>
      <c r="C340" s="1" t="s">
        <v>68</v>
      </c>
      <c r="D340" s="1" t="s">
        <v>69</v>
      </c>
      <c r="E340" s="1" t="s">
        <v>70</v>
      </c>
      <c r="F340" s="1" t="s">
        <v>71</v>
      </c>
      <c r="G340" s="6">
        <v>44</v>
      </c>
      <c r="H340" s="8">
        <f>tblInventory[[#This Row],[Stock_Quantity]] * tblInventory[[#This Row],[Unit_Price]]</f>
        <v>110</v>
      </c>
      <c r="I340" s="1">
        <v>90</v>
      </c>
      <c r="J340" s="1">
        <v>17</v>
      </c>
      <c r="K340" s="8">
        <f>tblInventory[[#This Row],[Reorder_Quantity]]*M340</f>
        <v>42.5</v>
      </c>
      <c r="L340" s="10">
        <f>tblInventory[[#This Row],[Stock_Quantity]] / tblInventory[[#This Row],[Reorder_Quantity]]</f>
        <v>2.5882352941176472</v>
      </c>
      <c r="M340" s="3">
        <v>2.5</v>
      </c>
      <c r="N340" s="10">
        <f t="shared" si="10"/>
        <v>0.74702886247877764</v>
      </c>
      <c r="O340" s="2">
        <v>45718</v>
      </c>
      <c r="P340" s="2">
        <v>45539</v>
      </c>
      <c r="Q340" s="2">
        <v>45561</v>
      </c>
      <c r="R340" s="1" t="s">
        <v>72</v>
      </c>
      <c r="S340" s="1">
        <v>21</v>
      </c>
      <c r="T340" s="1">
        <v>91</v>
      </c>
      <c r="U340" s="1" t="s">
        <v>24</v>
      </c>
      <c r="V340" s="3">
        <f>tblInventory[[#This Row],[Stock_Quantity]]*tblInventory[[#This Row],[Unit_Price]]</f>
        <v>110</v>
      </c>
      <c r="W340" s="1" t="str">
        <f>IF(tblInventory[[#This Row],[Status]]="Discontinued","INACTIVE",
IF(tblInventory[[#This Row],[Stock_Quantity]] &lt; tblInventory[[#This Row],[Reorder_Level]],"REORDER","OK"))</f>
        <v>INACTIVE</v>
      </c>
      <c r="X340" s="1" t="str">
        <f t="shared" ca="1" si="11"/>
        <v>Expired</v>
      </c>
    </row>
    <row r="341" spans="1:24">
      <c r="A341" s="1">
        <v>340</v>
      </c>
      <c r="B341" s="1" t="s">
        <v>1084</v>
      </c>
      <c r="C341" s="1" t="s">
        <v>68</v>
      </c>
      <c r="D341" s="1" t="s">
        <v>69</v>
      </c>
      <c r="E341" s="1" t="s">
        <v>1085</v>
      </c>
      <c r="F341" s="1" t="s">
        <v>1086</v>
      </c>
      <c r="G341" s="6">
        <v>14</v>
      </c>
      <c r="H341" s="8">
        <f>tblInventory[[#This Row],[Stock_Quantity]] * tblInventory[[#This Row],[Unit_Price]]</f>
        <v>35</v>
      </c>
      <c r="I341" s="1">
        <v>63</v>
      </c>
      <c r="J341" s="1">
        <v>74</v>
      </c>
      <c r="K341" s="8">
        <f>tblInventory[[#This Row],[Reorder_Quantity]]*M341</f>
        <v>185</v>
      </c>
      <c r="L341" s="10">
        <f>tblInventory[[#This Row],[Stock_Quantity]] / tblInventory[[#This Row],[Reorder_Quantity]]</f>
        <v>0.1891891891891892</v>
      </c>
      <c r="M341" s="3">
        <v>2.5</v>
      </c>
      <c r="N341" s="10">
        <f t="shared" si="10"/>
        <v>0.23769100169779286</v>
      </c>
      <c r="O341" s="1" t="s">
        <v>786</v>
      </c>
      <c r="P341" s="1" t="s">
        <v>43</v>
      </c>
      <c r="Q341" s="2">
        <v>45761</v>
      </c>
      <c r="R341" s="1" t="s">
        <v>1087</v>
      </c>
      <c r="S341" s="1">
        <v>59</v>
      </c>
      <c r="T341" s="1">
        <v>63</v>
      </c>
      <c r="U341" s="1" t="s">
        <v>38</v>
      </c>
      <c r="V341" s="3">
        <f>tblInventory[[#This Row],[Stock_Quantity]]*tblInventory[[#This Row],[Unit_Price]]</f>
        <v>35</v>
      </c>
      <c r="W341" s="1" t="str">
        <f>IF(tblInventory[[#This Row],[Status]]="Discontinued","INACTIVE",
IF(tblInventory[[#This Row],[Stock_Quantity]] &lt; tblInventory[[#This Row],[Reorder_Level]],"REORDER","OK"))</f>
        <v>REORDER</v>
      </c>
      <c r="X341" s="1" t="str">
        <f t="shared" ca="1" si="11"/>
        <v>Expired</v>
      </c>
    </row>
    <row r="342" spans="1:24">
      <c r="A342" s="1">
        <v>341</v>
      </c>
      <c r="B342" s="1" t="s">
        <v>1239</v>
      </c>
      <c r="C342" s="1" t="s">
        <v>68</v>
      </c>
      <c r="D342" s="1" t="s">
        <v>69</v>
      </c>
      <c r="E342" s="1" t="s">
        <v>1240</v>
      </c>
      <c r="F342" s="1" t="s">
        <v>1241</v>
      </c>
      <c r="G342" s="6">
        <v>97</v>
      </c>
      <c r="H342" s="8">
        <f>tblInventory[[#This Row],[Stock_Quantity]] * tblInventory[[#This Row],[Unit_Price]]</f>
        <v>242.5</v>
      </c>
      <c r="I342" s="1">
        <v>26</v>
      </c>
      <c r="J342" s="1">
        <v>15</v>
      </c>
      <c r="K342" s="8">
        <f>tblInventory[[#This Row],[Reorder_Quantity]]*M342</f>
        <v>37.5</v>
      </c>
      <c r="L342" s="10">
        <f>tblInventory[[#This Row],[Stock_Quantity]] / tblInventory[[#This Row],[Reorder_Quantity]]</f>
        <v>6.4666666666666668</v>
      </c>
      <c r="M342" s="3">
        <v>2.5</v>
      </c>
      <c r="N342" s="10">
        <f t="shared" si="10"/>
        <v>1.6468590831918506</v>
      </c>
      <c r="O342" s="1" t="s">
        <v>205</v>
      </c>
      <c r="P342" s="2">
        <v>45718</v>
      </c>
      <c r="Q342" s="2">
        <v>45799</v>
      </c>
      <c r="R342" s="1" t="s">
        <v>1242</v>
      </c>
      <c r="S342" s="1">
        <v>33</v>
      </c>
      <c r="T342" s="1">
        <v>58</v>
      </c>
      <c r="U342" s="1" t="s">
        <v>24</v>
      </c>
      <c r="V342" s="3">
        <f>tblInventory[[#This Row],[Stock_Quantity]]*tblInventory[[#This Row],[Unit_Price]]</f>
        <v>242.5</v>
      </c>
      <c r="W342" s="1" t="str">
        <f>IF(tblInventory[[#This Row],[Status]]="Discontinued","INACTIVE",
IF(tblInventory[[#This Row],[Stock_Quantity]] &lt; tblInventory[[#This Row],[Reorder_Level]],"REORDER","OK"))</f>
        <v>INACTIVE</v>
      </c>
      <c r="X342" s="1" t="str">
        <f t="shared" ca="1" si="11"/>
        <v>Expired</v>
      </c>
    </row>
    <row r="343" spans="1:24">
      <c r="A343" s="1">
        <v>342</v>
      </c>
      <c r="B343" s="1" t="s">
        <v>1775</v>
      </c>
      <c r="C343" s="1" t="s">
        <v>68</v>
      </c>
      <c r="D343" s="1" t="s">
        <v>69</v>
      </c>
      <c r="E343" s="1" t="s">
        <v>1776</v>
      </c>
      <c r="F343" s="1" t="s">
        <v>523</v>
      </c>
      <c r="G343" s="6">
        <v>35</v>
      </c>
      <c r="H343" s="8">
        <f>tblInventory[[#This Row],[Stock_Quantity]] * tblInventory[[#This Row],[Unit_Price]]</f>
        <v>87.5</v>
      </c>
      <c r="I343" s="1">
        <v>78</v>
      </c>
      <c r="J343" s="1">
        <v>68</v>
      </c>
      <c r="K343" s="8">
        <f>tblInventory[[#This Row],[Reorder_Quantity]]*M343</f>
        <v>170</v>
      </c>
      <c r="L343" s="10">
        <f>tblInventory[[#This Row],[Stock_Quantity]] / tblInventory[[#This Row],[Reorder_Quantity]]</f>
        <v>0.51470588235294112</v>
      </c>
      <c r="M343" s="3">
        <v>2.5</v>
      </c>
      <c r="N343" s="10">
        <f t="shared" si="10"/>
        <v>0.59422750424448223</v>
      </c>
      <c r="O343" s="2">
        <v>45630</v>
      </c>
      <c r="P343" s="1" t="s">
        <v>258</v>
      </c>
      <c r="Q343" s="2">
        <v>45946</v>
      </c>
      <c r="R343" s="1" t="s">
        <v>1777</v>
      </c>
      <c r="S343" s="1">
        <v>95</v>
      </c>
      <c r="T343" s="1">
        <v>91</v>
      </c>
      <c r="U343" s="1" t="s">
        <v>24</v>
      </c>
      <c r="V343" s="3">
        <f>tblInventory[[#This Row],[Stock_Quantity]]*tblInventory[[#This Row],[Unit_Price]]</f>
        <v>87.5</v>
      </c>
      <c r="W343" s="1" t="str">
        <f>IF(tblInventory[[#This Row],[Status]]="Discontinued","INACTIVE",
IF(tblInventory[[#This Row],[Stock_Quantity]] &lt; tblInventory[[#This Row],[Reorder_Level]],"REORDER","OK"))</f>
        <v>INACTIVE</v>
      </c>
      <c r="X343" s="1" t="str">
        <f t="shared" ca="1" si="11"/>
        <v>Expired</v>
      </c>
    </row>
    <row r="344" spans="1:24">
      <c r="A344" s="1">
        <v>343</v>
      </c>
      <c r="B344" s="1" t="s">
        <v>1897</v>
      </c>
      <c r="C344" s="1" t="s">
        <v>68</v>
      </c>
      <c r="D344" s="1" t="s">
        <v>69</v>
      </c>
      <c r="E344" s="1" t="s">
        <v>1898</v>
      </c>
      <c r="F344" s="1" t="s">
        <v>1899</v>
      </c>
      <c r="G344" s="6">
        <v>43</v>
      </c>
      <c r="H344" s="8">
        <f>tblInventory[[#This Row],[Stock_Quantity]] * tblInventory[[#This Row],[Unit_Price]]</f>
        <v>107.5</v>
      </c>
      <c r="I344" s="1">
        <v>78</v>
      </c>
      <c r="J344" s="1">
        <v>85</v>
      </c>
      <c r="K344" s="8">
        <f>tblInventory[[#This Row],[Reorder_Quantity]]*M344</f>
        <v>212.5</v>
      </c>
      <c r="L344" s="10">
        <f>tblInventory[[#This Row],[Stock_Quantity]] / tblInventory[[#This Row],[Reorder_Quantity]]</f>
        <v>0.50588235294117645</v>
      </c>
      <c r="M344" s="3">
        <v>2.5</v>
      </c>
      <c r="N344" s="10">
        <f t="shared" si="10"/>
        <v>0.7300509337860781</v>
      </c>
      <c r="O344" s="2">
        <v>45538</v>
      </c>
      <c r="P344" s="1" t="s">
        <v>357</v>
      </c>
      <c r="Q344" s="2">
        <v>45982</v>
      </c>
      <c r="R344" s="1" t="s">
        <v>1900</v>
      </c>
      <c r="S344" s="1">
        <v>48</v>
      </c>
      <c r="T344" s="1">
        <v>98</v>
      </c>
      <c r="U344" s="1" t="s">
        <v>38</v>
      </c>
      <c r="V344" s="3">
        <f>tblInventory[[#This Row],[Stock_Quantity]]*tblInventory[[#This Row],[Unit_Price]]</f>
        <v>107.5</v>
      </c>
      <c r="W344" s="1" t="str">
        <f>IF(tblInventory[[#This Row],[Status]]="Discontinued","INACTIVE",
IF(tblInventory[[#This Row],[Stock_Quantity]] &lt; tblInventory[[#This Row],[Reorder_Level]],"REORDER","OK"))</f>
        <v>REORDER</v>
      </c>
      <c r="X344" s="1" t="str">
        <f t="shared" ca="1" si="11"/>
        <v>Expired</v>
      </c>
    </row>
    <row r="345" spans="1:24">
      <c r="A345" s="1">
        <v>344</v>
      </c>
      <c r="B345" s="1" t="s">
        <v>2050</v>
      </c>
      <c r="C345" s="1" t="s">
        <v>68</v>
      </c>
      <c r="D345" s="1" t="s">
        <v>69</v>
      </c>
      <c r="E345" s="1" t="s">
        <v>2051</v>
      </c>
      <c r="F345" s="1" t="s">
        <v>1106</v>
      </c>
      <c r="G345" s="6">
        <v>90</v>
      </c>
      <c r="H345" s="8">
        <f>tblInventory[[#This Row],[Stock_Quantity]] * tblInventory[[#This Row],[Unit_Price]]</f>
        <v>225</v>
      </c>
      <c r="I345" s="1">
        <v>3</v>
      </c>
      <c r="J345" s="1">
        <v>49</v>
      </c>
      <c r="K345" s="8">
        <f>tblInventory[[#This Row],[Reorder_Quantity]]*M345</f>
        <v>122.5</v>
      </c>
      <c r="L345" s="10">
        <f>tblInventory[[#This Row],[Stock_Quantity]] / tblInventory[[#This Row],[Reorder_Quantity]]</f>
        <v>1.8367346938775511</v>
      </c>
      <c r="M345" s="3">
        <v>2.5</v>
      </c>
      <c r="N345" s="10">
        <f t="shared" si="10"/>
        <v>1.5280135823429541</v>
      </c>
      <c r="O345" s="2">
        <v>45448</v>
      </c>
      <c r="P345" s="2">
        <v>45356</v>
      </c>
      <c r="Q345" s="2">
        <v>46204</v>
      </c>
      <c r="R345" s="1" t="s">
        <v>2052</v>
      </c>
      <c r="S345" s="1">
        <v>51</v>
      </c>
      <c r="T345" s="1">
        <v>87</v>
      </c>
      <c r="U345" s="1" t="s">
        <v>24</v>
      </c>
      <c r="V345" s="3">
        <f>tblInventory[[#This Row],[Stock_Quantity]]*tblInventory[[#This Row],[Unit_Price]]</f>
        <v>225</v>
      </c>
      <c r="W345" s="1" t="str">
        <f>IF(tblInventory[[#This Row],[Status]]="Discontinued","INACTIVE",
IF(tblInventory[[#This Row],[Stock_Quantity]] &lt; tblInventory[[#This Row],[Reorder_Level]],"REORDER","OK"))</f>
        <v>INACTIVE</v>
      </c>
      <c r="X345" s="1" t="str">
        <f t="shared" ca="1" si="11"/>
        <v>Valid</v>
      </c>
    </row>
    <row r="346" spans="1:24">
      <c r="A346" s="1">
        <v>345</v>
      </c>
      <c r="B346" s="1" t="s">
        <v>2158</v>
      </c>
      <c r="C346" s="1" t="s">
        <v>68</v>
      </c>
      <c r="D346" s="1" t="s">
        <v>69</v>
      </c>
      <c r="E346" s="1" t="s">
        <v>2159</v>
      </c>
      <c r="F346" s="1" t="s">
        <v>114</v>
      </c>
      <c r="G346" s="6">
        <v>40</v>
      </c>
      <c r="H346" s="8">
        <f>tblInventory[[#This Row],[Stock_Quantity]] * tblInventory[[#This Row],[Unit_Price]]</f>
        <v>98</v>
      </c>
      <c r="I346" s="1">
        <v>22</v>
      </c>
      <c r="J346" s="1">
        <v>74</v>
      </c>
      <c r="K346" s="8">
        <f>tblInventory[[#This Row],[Reorder_Quantity]]*M346</f>
        <v>181.3</v>
      </c>
      <c r="L346" s="10">
        <f>tblInventory[[#This Row],[Stock_Quantity]] / tblInventory[[#This Row],[Reorder_Quantity]]</f>
        <v>0.54054054054054057</v>
      </c>
      <c r="M346" s="3">
        <v>2.4500000000000002</v>
      </c>
      <c r="N346" s="10">
        <f t="shared" si="10"/>
        <v>0.6791171477079796</v>
      </c>
      <c r="O346" s="1" t="s">
        <v>1615</v>
      </c>
      <c r="P346" s="1" t="s">
        <v>409</v>
      </c>
      <c r="Q346" s="2">
        <v>46297</v>
      </c>
      <c r="R346" s="1" t="s">
        <v>2160</v>
      </c>
      <c r="S346" s="1">
        <v>76</v>
      </c>
      <c r="T346" s="1">
        <v>70</v>
      </c>
      <c r="U346" s="1" t="s">
        <v>38</v>
      </c>
      <c r="V346" s="3">
        <f>tblInventory[[#This Row],[Stock_Quantity]]*tblInventory[[#This Row],[Unit_Price]]</f>
        <v>98</v>
      </c>
      <c r="W346" s="1" t="str">
        <f>IF(tblInventory[[#This Row],[Status]]="Discontinued","INACTIVE",
IF(tblInventory[[#This Row],[Stock_Quantity]] &lt; tblInventory[[#This Row],[Reorder_Level]],"REORDER","OK"))</f>
        <v>OK</v>
      </c>
      <c r="X346" s="1" t="str">
        <f t="shared" ca="1" si="11"/>
        <v>Valid</v>
      </c>
    </row>
    <row r="347" spans="1:24">
      <c r="A347" s="1">
        <v>346</v>
      </c>
      <c r="B347" s="1" t="s">
        <v>2686</v>
      </c>
      <c r="C347" s="1" t="s">
        <v>68</v>
      </c>
      <c r="D347" s="1" t="s">
        <v>69</v>
      </c>
      <c r="E347" s="1" t="s">
        <v>2687</v>
      </c>
      <c r="F347" s="1" t="s">
        <v>2688</v>
      </c>
      <c r="G347" s="6">
        <v>88</v>
      </c>
      <c r="H347" s="8">
        <f>tblInventory[[#This Row],[Stock_Quantity]] * tblInventory[[#This Row],[Unit_Price]]</f>
        <v>220</v>
      </c>
      <c r="I347" s="1">
        <v>22</v>
      </c>
      <c r="J347" s="1">
        <v>61</v>
      </c>
      <c r="K347" s="8">
        <f>tblInventory[[#This Row],[Reorder_Quantity]]*M347</f>
        <v>152.5</v>
      </c>
      <c r="L347" s="10">
        <f>tblInventory[[#This Row],[Stock_Quantity]] / tblInventory[[#This Row],[Reorder_Quantity]]</f>
        <v>1.4426229508196722</v>
      </c>
      <c r="M347" s="3">
        <v>2.5</v>
      </c>
      <c r="N347" s="10">
        <f t="shared" si="10"/>
        <v>1.4940577249575553</v>
      </c>
      <c r="O347" s="2">
        <v>45748</v>
      </c>
      <c r="P347" s="1" t="s">
        <v>800</v>
      </c>
      <c r="Q347" s="2">
        <v>46225</v>
      </c>
      <c r="R347" s="1" t="s">
        <v>2689</v>
      </c>
      <c r="S347" s="1">
        <v>54</v>
      </c>
      <c r="T347" s="1">
        <v>100</v>
      </c>
      <c r="U347" s="1" t="s">
        <v>24</v>
      </c>
      <c r="V347" s="3">
        <f>tblInventory[[#This Row],[Stock_Quantity]]*tblInventory[[#This Row],[Unit_Price]]</f>
        <v>220</v>
      </c>
      <c r="W347" s="1" t="str">
        <f>IF(tblInventory[[#This Row],[Status]]="Discontinued","INACTIVE",
IF(tblInventory[[#This Row],[Stock_Quantity]] &lt; tblInventory[[#This Row],[Reorder_Level]],"REORDER","OK"))</f>
        <v>INACTIVE</v>
      </c>
      <c r="X347" s="1" t="str">
        <f t="shared" ca="1" si="11"/>
        <v>Valid</v>
      </c>
    </row>
    <row r="348" spans="1:24">
      <c r="A348" s="1">
        <v>347</v>
      </c>
      <c r="B348" s="1" t="s">
        <v>2732</v>
      </c>
      <c r="C348" s="1" t="s">
        <v>68</v>
      </c>
      <c r="D348" s="1" t="s">
        <v>69</v>
      </c>
      <c r="E348" s="1" t="s">
        <v>2733</v>
      </c>
      <c r="F348" s="1" t="s">
        <v>2734</v>
      </c>
      <c r="G348" s="6">
        <v>60</v>
      </c>
      <c r="H348" s="8">
        <f>tblInventory[[#This Row],[Stock_Quantity]] * tblInventory[[#This Row],[Unit_Price]]</f>
        <v>150</v>
      </c>
      <c r="I348" s="1">
        <v>43</v>
      </c>
      <c r="J348" s="1">
        <v>32</v>
      </c>
      <c r="K348" s="8">
        <f>tblInventory[[#This Row],[Reorder_Quantity]]*M348</f>
        <v>80</v>
      </c>
      <c r="L348" s="10">
        <f>tblInventory[[#This Row],[Stock_Quantity]] / tblInventory[[#This Row],[Reorder_Quantity]]</f>
        <v>1.875</v>
      </c>
      <c r="M348" s="3">
        <v>2.5</v>
      </c>
      <c r="N348" s="10">
        <f t="shared" si="10"/>
        <v>1.0186757215619695</v>
      </c>
      <c r="O348" s="2">
        <v>45419</v>
      </c>
      <c r="P348" s="2">
        <v>45392</v>
      </c>
      <c r="Q348" s="2">
        <v>46181</v>
      </c>
      <c r="R348" s="1" t="s">
        <v>2735</v>
      </c>
      <c r="S348" s="1">
        <v>77</v>
      </c>
      <c r="T348" s="1">
        <v>60</v>
      </c>
      <c r="U348" s="1" t="s">
        <v>46</v>
      </c>
      <c r="V348" s="3">
        <f>tblInventory[[#This Row],[Stock_Quantity]]*tblInventory[[#This Row],[Unit_Price]]</f>
        <v>150</v>
      </c>
      <c r="W348" s="1" t="str">
        <f>IF(tblInventory[[#This Row],[Status]]="Discontinued","INACTIVE",
IF(tblInventory[[#This Row],[Stock_Quantity]] &lt; tblInventory[[#This Row],[Reorder_Level]],"REORDER","OK"))</f>
        <v>OK</v>
      </c>
      <c r="X348" s="1" t="str">
        <f t="shared" ca="1" si="11"/>
        <v>Valid</v>
      </c>
    </row>
    <row r="349" spans="1:24">
      <c r="A349" s="1">
        <v>348</v>
      </c>
      <c r="B349" s="1" t="s">
        <v>2783</v>
      </c>
      <c r="C349" s="1" t="s">
        <v>68</v>
      </c>
      <c r="D349" s="1" t="s">
        <v>69</v>
      </c>
      <c r="E349" s="1" t="s">
        <v>2784</v>
      </c>
      <c r="F349" s="1" t="s">
        <v>1428</v>
      </c>
      <c r="G349" s="6">
        <v>65</v>
      </c>
      <c r="H349" s="8">
        <f>tblInventory[[#This Row],[Stock_Quantity]] * tblInventory[[#This Row],[Unit_Price]]</f>
        <v>162.5</v>
      </c>
      <c r="I349" s="1">
        <v>94</v>
      </c>
      <c r="J349" s="1">
        <v>4</v>
      </c>
      <c r="K349" s="8">
        <f>tblInventory[[#This Row],[Reorder_Quantity]]*M349</f>
        <v>10</v>
      </c>
      <c r="L349" s="10">
        <f>tblInventory[[#This Row],[Stock_Quantity]] / tblInventory[[#This Row],[Reorder_Quantity]]</f>
        <v>16.25</v>
      </c>
      <c r="M349" s="3">
        <v>2.5</v>
      </c>
      <c r="N349" s="10">
        <f t="shared" si="10"/>
        <v>1.1035653650254669</v>
      </c>
      <c r="O349" s="1" t="s">
        <v>577</v>
      </c>
      <c r="P349" s="1" t="s">
        <v>554</v>
      </c>
      <c r="Q349" s="2">
        <v>46255</v>
      </c>
      <c r="R349" s="1" t="s">
        <v>2785</v>
      </c>
      <c r="S349" s="1">
        <v>66</v>
      </c>
      <c r="T349" s="1">
        <v>36</v>
      </c>
      <c r="U349" s="1" t="s">
        <v>38</v>
      </c>
      <c r="V349" s="3">
        <f>tblInventory[[#This Row],[Stock_Quantity]]*tblInventory[[#This Row],[Unit_Price]]</f>
        <v>162.5</v>
      </c>
      <c r="W349" s="1" t="str">
        <f>IF(tblInventory[[#This Row],[Status]]="Discontinued","INACTIVE",
IF(tblInventory[[#This Row],[Stock_Quantity]] &lt; tblInventory[[#This Row],[Reorder_Level]],"REORDER","OK"))</f>
        <v>REORDER</v>
      </c>
      <c r="X349" s="1" t="str">
        <f t="shared" ca="1" si="11"/>
        <v>Valid</v>
      </c>
    </row>
    <row r="350" spans="1:24">
      <c r="A350" s="1">
        <v>349</v>
      </c>
      <c r="B350" s="1" t="s">
        <v>2952</v>
      </c>
      <c r="C350" s="1" t="s">
        <v>68</v>
      </c>
      <c r="D350" s="1" t="s">
        <v>69</v>
      </c>
      <c r="E350" s="1" t="s">
        <v>2953</v>
      </c>
      <c r="F350" s="1" t="s">
        <v>1289</v>
      </c>
      <c r="G350" s="6">
        <v>50</v>
      </c>
      <c r="H350" s="8">
        <f>tblInventory[[#This Row],[Stock_Quantity]] * tblInventory[[#This Row],[Unit_Price]]</f>
        <v>122.50000000000001</v>
      </c>
      <c r="I350" s="1">
        <v>93</v>
      </c>
      <c r="J350" s="1">
        <v>37</v>
      </c>
      <c r="K350" s="8">
        <f>tblInventory[[#This Row],[Reorder_Quantity]]*M350</f>
        <v>90.65</v>
      </c>
      <c r="L350" s="10">
        <f>tblInventory[[#This Row],[Stock_Quantity]] / tblInventory[[#This Row],[Reorder_Quantity]]</f>
        <v>1.3513513513513513</v>
      </c>
      <c r="M350" s="3">
        <v>2.4500000000000002</v>
      </c>
      <c r="N350" s="10">
        <f t="shared" si="10"/>
        <v>0.84889643463497455</v>
      </c>
      <c r="O350" s="2">
        <v>45962</v>
      </c>
      <c r="P350" s="2">
        <v>45325</v>
      </c>
      <c r="Q350" s="2">
        <v>46336</v>
      </c>
      <c r="R350" s="1" t="s">
        <v>2954</v>
      </c>
      <c r="S350" s="1">
        <v>78</v>
      </c>
      <c r="T350" s="1">
        <v>79</v>
      </c>
      <c r="U350" s="1" t="s">
        <v>38</v>
      </c>
      <c r="V350" s="3">
        <f>tblInventory[[#This Row],[Stock_Quantity]]*tblInventory[[#This Row],[Unit_Price]]</f>
        <v>122.50000000000001</v>
      </c>
      <c r="W350" s="1" t="str">
        <f>IF(tblInventory[[#This Row],[Status]]="Discontinued","INACTIVE",
IF(tblInventory[[#This Row],[Stock_Quantity]] &lt; tblInventory[[#This Row],[Reorder_Level]],"REORDER","OK"))</f>
        <v>REORDER</v>
      </c>
      <c r="X350" s="1" t="str">
        <f t="shared" ca="1" si="11"/>
        <v>Valid</v>
      </c>
    </row>
    <row r="351" spans="1:24">
      <c r="A351" s="1">
        <v>350</v>
      </c>
      <c r="B351" s="1" t="s">
        <v>3005</v>
      </c>
      <c r="C351" s="1" t="s">
        <v>68</v>
      </c>
      <c r="D351" s="1" t="s">
        <v>69</v>
      </c>
      <c r="E351" s="1" t="s">
        <v>3006</v>
      </c>
      <c r="F351" s="1" t="s">
        <v>252</v>
      </c>
      <c r="G351" s="6">
        <v>72</v>
      </c>
      <c r="H351" s="8">
        <f>tblInventory[[#This Row],[Stock_Quantity]] * tblInventory[[#This Row],[Unit_Price]]</f>
        <v>172.79999999999998</v>
      </c>
      <c r="I351" s="1">
        <v>58</v>
      </c>
      <c r="J351" s="1">
        <v>52</v>
      </c>
      <c r="K351" s="8">
        <f>tblInventory[[#This Row],[Reorder_Quantity]]*M351</f>
        <v>124.8</v>
      </c>
      <c r="L351" s="10">
        <f>tblInventory[[#This Row],[Stock_Quantity]] / tblInventory[[#This Row],[Reorder_Quantity]]</f>
        <v>1.3846153846153846</v>
      </c>
      <c r="M351" s="3">
        <v>2.4</v>
      </c>
      <c r="N351" s="10">
        <f t="shared" si="10"/>
        <v>1.2224108658743633</v>
      </c>
      <c r="O351" s="1" t="s">
        <v>329</v>
      </c>
      <c r="P351" s="1" t="s">
        <v>323</v>
      </c>
      <c r="Q351" s="2">
        <v>46323</v>
      </c>
      <c r="R351" s="1" t="s">
        <v>3007</v>
      </c>
      <c r="S351" s="1">
        <v>36</v>
      </c>
      <c r="T351" s="1">
        <v>14</v>
      </c>
      <c r="U351" s="1" t="s">
        <v>46</v>
      </c>
      <c r="V351" s="3">
        <f>tblInventory[[#This Row],[Stock_Quantity]]*tblInventory[[#This Row],[Unit_Price]]</f>
        <v>172.79999999999998</v>
      </c>
      <c r="W351" s="1" t="str">
        <f>IF(tblInventory[[#This Row],[Status]]="Discontinued","INACTIVE",
IF(tblInventory[[#This Row],[Stock_Quantity]] &lt; tblInventory[[#This Row],[Reorder_Level]],"REORDER","OK"))</f>
        <v>OK</v>
      </c>
      <c r="X351" s="1" t="str">
        <f t="shared" ca="1" si="11"/>
        <v>Valid</v>
      </c>
    </row>
    <row r="352" spans="1:24">
      <c r="A352" s="1">
        <v>351</v>
      </c>
      <c r="B352" s="1" t="s">
        <v>3244</v>
      </c>
      <c r="C352" s="1" t="s">
        <v>68</v>
      </c>
      <c r="D352" s="1" t="s">
        <v>69</v>
      </c>
      <c r="E352" s="1" t="s">
        <v>3245</v>
      </c>
      <c r="F352" s="1" t="s">
        <v>1673</v>
      </c>
      <c r="G352" s="6">
        <v>50</v>
      </c>
      <c r="H352" s="8">
        <f>tblInventory[[#This Row],[Stock_Quantity]] * tblInventory[[#This Row],[Unit_Price]]</f>
        <v>125</v>
      </c>
      <c r="I352" s="1">
        <v>66</v>
      </c>
      <c r="J352" s="1">
        <v>1</v>
      </c>
      <c r="K352" s="8">
        <f>tblInventory[[#This Row],[Reorder_Quantity]]*M352</f>
        <v>2.5</v>
      </c>
      <c r="L352" s="10">
        <f>tblInventory[[#This Row],[Stock_Quantity]] / tblInventory[[#This Row],[Reorder_Quantity]]</f>
        <v>50</v>
      </c>
      <c r="M352" s="3">
        <v>2.5</v>
      </c>
      <c r="N352" s="10">
        <f t="shared" si="10"/>
        <v>0.84889643463497455</v>
      </c>
      <c r="O352" s="1" t="s">
        <v>518</v>
      </c>
      <c r="P352" s="2">
        <v>45485</v>
      </c>
      <c r="Q352" s="2">
        <v>46400</v>
      </c>
      <c r="R352" s="1" t="s">
        <v>3246</v>
      </c>
      <c r="S352" s="1">
        <v>76</v>
      </c>
      <c r="T352" s="1">
        <v>73</v>
      </c>
      <c r="U352" s="1" t="s">
        <v>46</v>
      </c>
      <c r="V352" s="3">
        <f>tblInventory[[#This Row],[Stock_Quantity]]*tblInventory[[#This Row],[Unit_Price]]</f>
        <v>125</v>
      </c>
      <c r="W352" s="1" t="str">
        <f>IF(tblInventory[[#This Row],[Status]]="Discontinued","INACTIVE",
IF(tblInventory[[#This Row],[Stock_Quantity]] &lt; tblInventory[[#This Row],[Reorder_Level]],"REORDER","OK"))</f>
        <v>REORDER</v>
      </c>
      <c r="X352" s="1" t="str">
        <f t="shared" ca="1" si="11"/>
        <v>Valid</v>
      </c>
    </row>
    <row r="353" spans="1:24">
      <c r="A353" s="1">
        <v>352</v>
      </c>
      <c r="B353" s="1" t="s">
        <v>187</v>
      </c>
      <c r="C353" s="1" t="s">
        <v>188</v>
      </c>
      <c r="D353" s="1" t="s">
        <v>69</v>
      </c>
      <c r="E353" s="1" t="s">
        <v>189</v>
      </c>
      <c r="F353" s="1" t="s">
        <v>190</v>
      </c>
      <c r="G353" s="6">
        <v>97</v>
      </c>
      <c r="H353" s="8">
        <f>tblInventory[[#This Row],[Stock_Quantity]] * tblInventory[[#This Row],[Unit_Price]]</f>
        <v>77.600000000000009</v>
      </c>
      <c r="I353" s="1">
        <v>88</v>
      </c>
      <c r="J353" s="1">
        <v>81</v>
      </c>
      <c r="K353" s="8">
        <f>tblInventory[[#This Row],[Reorder_Quantity]]*M353</f>
        <v>64.8</v>
      </c>
      <c r="L353" s="10">
        <f>tblInventory[[#This Row],[Stock_Quantity]] / tblInventory[[#This Row],[Reorder_Quantity]]</f>
        <v>1.1975308641975309</v>
      </c>
      <c r="M353" s="3">
        <v>0.8</v>
      </c>
      <c r="N353" s="10">
        <f t="shared" si="10"/>
        <v>1.6468590831918506</v>
      </c>
      <c r="O353" s="2">
        <v>45423</v>
      </c>
      <c r="P353" s="2">
        <v>45480</v>
      </c>
      <c r="Q353" s="2">
        <v>45580</v>
      </c>
      <c r="R353" s="1" t="s">
        <v>192</v>
      </c>
      <c r="S353" s="1">
        <v>97</v>
      </c>
      <c r="T353" s="1">
        <v>18</v>
      </c>
      <c r="U353" s="1" t="s">
        <v>24</v>
      </c>
      <c r="V353" s="3">
        <f>tblInventory[[#This Row],[Stock_Quantity]]*tblInventory[[#This Row],[Unit_Price]]</f>
        <v>77.600000000000009</v>
      </c>
      <c r="W353" s="1" t="str">
        <f>IF(tblInventory[[#This Row],[Status]]="Discontinued","INACTIVE",
IF(tblInventory[[#This Row],[Stock_Quantity]] &lt; tblInventory[[#This Row],[Reorder_Level]],"REORDER","OK"))</f>
        <v>INACTIVE</v>
      </c>
      <c r="X353" s="1" t="str">
        <f t="shared" ca="1" si="11"/>
        <v>Expired</v>
      </c>
    </row>
    <row r="354" spans="1:24">
      <c r="A354" s="1">
        <v>353</v>
      </c>
      <c r="B354" s="1" t="s">
        <v>1988</v>
      </c>
      <c r="C354" s="1" t="s">
        <v>188</v>
      </c>
      <c r="D354" s="1" t="s">
        <v>69</v>
      </c>
      <c r="E354" s="1" t="s">
        <v>1989</v>
      </c>
      <c r="F354" s="1" t="s">
        <v>376</v>
      </c>
      <c r="G354" s="6">
        <v>29</v>
      </c>
      <c r="H354" s="8">
        <f>tblInventory[[#This Row],[Stock_Quantity]] * tblInventory[[#This Row],[Unit_Price]]</f>
        <v>23.200000000000003</v>
      </c>
      <c r="I354" s="1">
        <v>33</v>
      </c>
      <c r="J354" s="1">
        <v>88</v>
      </c>
      <c r="K354" s="8">
        <f>tblInventory[[#This Row],[Reorder_Quantity]]*M354</f>
        <v>70.400000000000006</v>
      </c>
      <c r="L354" s="10">
        <f>tblInventory[[#This Row],[Stock_Quantity]] / tblInventory[[#This Row],[Reorder_Quantity]]</f>
        <v>0.32954545454545453</v>
      </c>
      <c r="M354" s="3">
        <v>0.8</v>
      </c>
      <c r="N354" s="10">
        <f t="shared" si="10"/>
        <v>0.49235993208828527</v>
      </c>
      <c r="O354" s="1" t="s">
        <v>1299</v>
      </c>
      <c r="P354" s="1" t="s">
        <v>225</v>
      </c>
      <c r="Q354" s="2">
        <v>46010</v>
      </c>
      <c r="R354" s="1" t="s">
        <v>1990</v>
      </c>
      <c r="S354" s="1">
        <v>50</v>
      </c>
      <c r="T354" s="1">
        <v>35</v>
      </c>
      <c r="U354" s="1" t="s">
        <v>24</v>
      </c>
      <c r="V354" s="3">
        <f>tblInventory[[#This Row],[Stock_Quantity]]*tblInventory[[#This Row],[Unit_Price]]</f>
        <v>23.200000000000003</v>
      </c>
      <c r="W354" s="1" t="str">
        <f>IF(tblInventory[[#This Row],[Status]]="Discontinued","INACTIVE",
IF(tblInventory[[#This Row],[Stock_Quantity]] &lt; tblInventory[[#This Row],[Reorder_Level]],"REORDER","OK"))</f>
        <v>INACTIVE</v>
      </c>
      <c r="X354" s="1" t="str">
        <f t="shared" ca="1" si="11"/>
        <v>Valid</v>
      </c>
    </row>
    <row r="355" spans="1:24">
      <c r="A355" s="1">
        <v>354</v>
      </c>
      <c r="B355" s="1" t="s">
        <v>2346</v>
      </c>
      <c r="C355" s="1" t="s">
        <v>188</v>
      </c>
      <c r="D355" s="1" t="s">
        <v>69</v>
      </c>
      <c r="E355" s="1" t="s">
        <v>2347</v>
      </c>
      <c r="F355" s="1" t="s">
        <v>816</v>
      </c>
      <c r="G355" s="6">
        <v>34</v>
      </c>
      <c r="H355" s="8">
        <f>tblInventory[[#This Row],[Stock_Quantity]] * tblInventory[[#This Row],[Unit_Price]]</f>
        <v>27.200000000000003</v>
      </c>
      <c r="I355" s="1">
        <v>94</v>
      </c>
      <c r="J355" s="1">
        <v>69</v>
      </c>
      <c r="K355" s="8">
        <f>tblInventory[[#This Row],[Reorder_Quantity]]*M355</f>
        <v>55.2</v>
      </c>
      <c r="L355" s="10">
        <f>tblInventory[[#This Row],[Stock_Quantity]] / tblInventory[[#This Row],[Reorder_Quantity]]</f>
        <v>0.49275362318840582</v>
      </c>
      <c r="M355" s="3">
        <v>0.8</v>
      </c>
      <c r="N355" s="10">
        <f t="shared" si="10"/>
        <v>0.57724957555178269</v>
      </c>
      <c r="O355" s="2">
        <v>45717</v>
      </c>
      <c r="P355" s="2">
        <v>45629</v>
      </c>
      <c r="Q355" s="2">
        <v>46269</v>
      </c>
      <c r="R355" s="1" t="s">
        <v>2348</v>
      </c>
      <c r="S355" s="1">
        <v>96</v>
      </c>
      <c r="T355" s="1">
        <v>30</v>
      </c>
      <c r="U355" s="1" t="s">
        <v>38</v>
      </c>
      <c r="V355" s="3">
        <f>tblInventory[[#This Row],[Stock_Quantity]]*tblInventory[[#This Row],[Unit_Price]]</f>
        <v>27.200000000000003</v>
      </c>
      <c r="W355" s="1" t="str">
        <f>IF(tblInventory[[#This Row],[Status]]="Discontinued","INACTIVE",
IF(tblInventory[[#This Row],[Stock_Quantity]] &lt; tblInventory[[#This Row],[Reorder_Level]],"REORDER","OK"))</f>
        <v>REORDER</v>
      </c>
      <c r="X355" s="1" t="str">
        <f t="shared" ca="1" si="11"/>
        <v>Valid</v>
      </c>
    </row>
    <row r="356" spans="1:24">
      <c r="A356" s="1">
        <v>355</v>
      </c>
      <c r="B356" s="1" t="s">
        <v>2494</v>
      </c>
      <c r="C356" s="1" t="s">
        <v>188</v>
      </c>
      <c r="D356" s="1" t="s">
        <v>69</v>
      </c>
      <c r="E356" s="1" t="s">
        <v>2495</v>
      </c>
      <c r="F356" s="1" t="s">
        <v>465</v>
      </c>
      <c r="G356" s="6">
        <v>78</v>
      </c>
      <c r="H356" s="8">
        <f>tblInventory[[#This Row],[Stock_Quantity]] * tblInventory[[#This Row],[Unit_Price]]</f>
        <v>62.400000000000006</v>
      </c>
      <c r="I356" s="1">
        <v>61</v>
      </c>
      <c r="J356" s="1">
        <v>6</v>
      </c>
      <c r="K356" s="8">
        <f>tblInventory[[#This Row],[Reorder_Quantity]]*M356</f>
        <v>4.8000000000000007</v>
      </c>
      <c r="L356" s="10">
        <f>tblInventory[[#This Row],[Stock_Quantity]] / tblInventory[[#This Row],[Reorder_Quantity]]</f>
        <v>13</v>
      </c>
      <c r="M356" s="3">
        <v>0.8</v>
      </c>
      <c r="N356" s="10">
        <f t="shared" si="10"/>
        <v>1.3242784380305603</v>
      </c>
      <c r="O356" s="1" t="s">
        <v>1079</v>
      </c>
      <c r="P356" s="2">
        <v>45453</v>
      </c>
      <c r="Q356" s="2">
        <v>46166</v>
      </c>
      <c r="R356" s="1" t="s">
        <v>2496</v>
      </c>
      <c r="S356" s="1">
        <v>49</v>
      </c>
      <c r="T356" s="1">
        <v>60</v>
      </c>
      <c r="U356" s="1" t="s">
        <v>46</v>
      </c>
      <c r="V356" s="3">
        <f>tblInventory[[#This Row],[Stock_Quantity]]*tblInventory[[#This Row],[Unit_Price]]</f>
        <v>62.400000000000006</v>
      </c>
      <c r="W356" s="1" t="str">
        <f>IF(tblInventory[[#This Row],[Status]]="Discontinued","INACTIVE",
IF(tblInventory[[#This Row],[Stock_Quantity]] &lt; tblInventory[[#This Row],[Reorder_Level]],"REORDER","OK"))</f>
        <v>OK</v>
      </c>
      <c r="X356" s="1" t="str">
        <f t="shared" ca="1" si="11"/>
        <v>Valid</v>
      </c>
    </row>
    <row r="357" spans="1:24">
      <c r="A357" s="1">
        <v>356</v>
      </c>
      <c r="B357" s="1" t="s">
        <v>2601</v>
      </c>
      <c r="C357" s="1" t="s">
        <v>188</v>
      </c>
      <c r="D357" s="1" t="s">
        <v>69</v>
      </c>
      <c r="E357" s="1" t="s">
        <v>2602</v>
      </c>
      <c r="F357" s="1" t="s">
        <v>2603</v>
      </c>
      <c r="G357" s="6">
        <v>93</v>
      </c>
      <c r="H357" s="8">
        <f>tblInventory[[#This Row],[Stock_Quantity]] * tblInventory[[#This Row],[Unit_Price]]</f>
        <v>74.400000000000006</v>
      </c>
      <c r="I357" s="1">
        <v>68</v>
      </c>
      <c r="J357" s="1">
        <v>71</v>
      </c>
      <c r="K357" s="8">
        <f>tblInventory[[#This Row],[Reorder_Quantity]]*M357</f>
        <v>56.800000000000004</v>
      </c>
      <c r="L357" s="10">
        <f>tblInventory[[#This Row],[Stock_Quantity]] / tblInventory[[#This Row],[Reorder_Quantity]]</f>
        <v>1.3098591549295775</v>
      </c>
      <c r="M357" s="3">
        <v>0.8</v>
      </c>
      <c r="N357" s="10">
        <f t="shared" si="10"/>
        <v>1.5789473684210527</v>
      </c>
      <c r="O357" s="2">
        <v>45902</v>
      </c>
      <c r="P357" s="2">
        <v>45599</v>
      </c>
      <c r="Q357" s="2">
        <v>46198</v>
      </c>
      <c r="R357" s="1" t="s">
        <v>2604</v>
      </c>
      <c r="S357" s="1">
        <v>30</v>
      </c>
      <c r="T357" s="1">
        <v>37</v>
      </c>
      <c r="U357" s="1" t="s">
        <v>24</v>
      </c>
      <c r="V357" s="3">
        <f>tblInventory[[#This Row],[Stock_Quantity]]*tblInventory[[#This Row],[Unit_Price]]</f>
        <v>74.400000000000006</v>
      </c>
      <c r="W357" s="1" t="str">
        <f>IF(tblInventory[[#This Row],[Status]]="Discontinued","INACTIVE",
IF(tblInventory[[#This Row],[Stock_Quantity]] &lt; tblInventory[[#This Row],[Reorder_Level]],"REORDER","OK"))</f>
        <v>INACTIVE</v>
      </c>
      <c r="X357" s="1" t="str">
        <f t="shared" ca="1" si="11"/>
        <v>Valid</v>
      </c>
    </row>
    <row r="358" spans="1:24">
      <c r="A358" s="1">
        <v>357</v>
      </c>
      <c r="B358" s="1" t="s">
        <v>3360</v>
      </c>
      <c r="C358" s="1" t="s">
        <v>188</v>
      </c>
      <c r="D358" s="1" t="s">
        <v>69</v>
      </c>
      <c r="E358" s="1" t="s">
        <v>3361</v>
      </c>
      <c r="F358" s="1" t="s">
        <v>1221</v>
      </c>
      <c r="G358" s="6">
        <v>94</v>
      </c>
      <c r="H358" s="8">
        <f>tblInventory[[#This Row],[Stock_Quantity]] * tblInventory[[#This Row],[Unit_Price]]</f>
        <v>75.2</v>
      </c>
      <c r="I358" s="1">
        <v>60</v>
      </c>
      <c r="J358" s="1">
        <v>78</v>
      </c>
      <c r="K358" s="8">
        <f>tblInventory[[#This Row],[Reorder_Quantity]]*M358</f>
        <v>62.400000000000006</v>
      </c>
      <c r="L358" s="10">
        <f>tblInventory[[#This Row],[Stock_Quantity]] / tblInventory[[#This Row],[Reorder_Quantity]]</f>
        <v>1.2051282051282051</v>
      </c>
      <c r="M358" s="3">
        <v>0.8</v>
      </c>
      <c r="N358" s="10">
        <f t="shared" si="10"/>
        <v>1.5959252971137521</v>
      </c>
      <c r="O358" s="2">
        <v>45516</v>
      </c>
      <c r="P358" s="2">
        <v>45476</v>
      </c>
      <c r="Q358" s="2">
        <v>46438</v>
      </c>
      <c r="R358" s="1" t="s">
        <v>3362</v>
      </c>
      <c r="S358" s="1">
        <v>100</v>
      </c>
      <c r="T358" s="1">
        <v>42</v>
      </c>
      <c r="U358" s="1" t="s">
        <v>46</v>
      </c>
      <c r="V358" s="3">
        <f>tblInventory[[#This Row],[Stock_Quantity]]*tblInventory[[#This Row],[Unit_Price]]</f>
        <v>75.2</v>
      </c>
      <c r="W358" s="1" t="str">
        <f>IF(tblInventory[[#This Row],[Status]]="Discontinued","INACTIVE",
IF(tblInventory[[#This Row],[Stock_Quantity]] &lt; tblInventory[[#This Row],[Reorder_Level]],"REORDER","OK"))</f>
        <v>OK</v>
      </c>
      <c r="X358" s="1" t="str">
        <f t="shared" ca="1" si="11"/>
        <v>Valid</v>
      </c>
    </row>
    <row r="359" spans="1:24">
      <c r="A359" s="1">
        <v>358</v>
      </c>
      <c r="B359" s="1" t="s">
        <v>888</v>
      </c>
      <c r="C359" s="1" t="s">
        <v>889</v>
      </c>
      <c r="D359" s="1" t="s">
        <v>69</v>
      </c>
      <c r="E359" s="1" t="s">
        <v>890</v>
      </c>
      <c r="F359" s="1" t="s">
        <v>891</v>
      </c>
      <c r="G359" s="6">
        <v>44</v>
      </c>
      <c r="H359" s="8">
        <f>tblInventory[[#This Row],[Stock_Quantity]] * tblInventory[[#This Row],[Unit_Price]]</f>
        <v>110</v>
      </c>
      <c r="I359" s="1">
        <v>84</v>
      </c>
      <c r="J359" s="1">
        <v>63</v>
      </c>
      <c r="K359" s="8">
        <f>tblInventory[[#This Row],[Reorder_Quantity]]*M359</f>
        <v>157.5</v>
      </c>
      <c r="L359" s="10">
        <f>tblInventory[[#This Row],[Stock_Quantity]] / tblInventory[[#This Row],[Reorder_Quantity]]</f>
        <v>0.69841269841269837</v>
      </c>
      <c r="M359" s="3">
        <v>2.5</v>
      </c>
      <c r="N359" s="10">
        <f t="shared" si="10"/>
        <v>0.74702886247877764</v>
      </c>
      <c r="O359" s="1" t="s">
        <v>495</v>
      </c>
      <c r="P359" s="2">
        <v>45600</v>
      </c>
      <c r="Q359" s="2">
        <v>45714</v>
      </c>
      <c r="R359" s="1" t="s">
        <v>893</v>
      </c>
      <c r="S359" s="1">
        <v>51</v>
      </c>
      <c r="T359" s="1">
        <v>67</v>
      </c>
      <c r="U359" s="1" t="s">
        <v>24</v>
      </c>
      <c r="V359" s="3">
        <f>tblInventory[[#This Row],[Stock_Quantity]]*tblInventory[[#This Row],[Unit_Price]]</f>
        <v>110</v>
      </c>
      <c r="W359" s="1" t="str">
        <f>IF(tblInventory[[#This Row],[Status]]="Discontinued","INACTIVE",
IF(tblInventory[[#This Row],[Stock_Quantity]] &lt; tblInventory[[#This Row],[Reorder_Level]],"REORDER","OK"))</f>
        <v>INACTIVE</v>
      </c>
      <c r="X359" s="1" t="str">
        <f t="shared" ca="1" si="11"/>
        <v>Expired</v>
      </c>
    </row>
    <row r="360" spans="1:24">
      <c r="A360" s="1">
        <v>359</v>
      </c>
      <c r="B360" s="1" t="s">
        <v>933</v>
      </c>
      <c r="C360" s="1" t="s">
        <v>889</v>
      </c>
      <c r="D360" s="1" t="s">
        <v>69</v>
      </c>
      <c r="E360" s="1" t="s">
        <v>934</v>
      </c>
      <c r="F360" s="1" t="s">
        <v>553</v>
      </c>
      <c r="G360" s="6">
        <v>76</v>
      </c>
      <c r="H360" s="8">
        <f>tblInventory[[#This Row],[Stock_Quantity]] * tblInventory[[#This Row],[Unit_Price]]</f>
        <v>190</v>
      </c>
      <c r="I360" s="1">
        <v>54</v>
      </c>
      <c r="J360" s="1">
        <v>76</v>
      </c>
      <c r="K360" s="8">
        <f>tblInventory[[#This Row],[Reorder_Quantity]]*M360</f>
        <v>190</v>
      </c>
      <c r="L360" s="10">
        <f>tblInventory[[#This Row],[Stock_Quantity]] / tblInventory[[#This Row],[Reorder_Quantity]]</f>
        <v>1</v>
      </c>
      <c r="M360" s="3">
        <v>2.5</v>
      </c>
      <c r="N360" s="10">
        <f t="shared" si="10"/>
        <v>1.2903225806451613</v>
      </c>
      <c r="O360" s="2">
        <v>45301</v>
      </c>
      <c r="P360" s="1" t="s">
        <v>158</v>
      </c>
      <c r="Q360" s="2">
        <v>45872</v>
      </c>
      <c r="R360" s="1" t="s">
        <v>935</v>
      </c>
      <c r="S360" s="1">
        <v>69</v>
      </c>
      <c r="T360" s="1">
        <v>27</v>
      </c>
      <c r="U360" s="1" t="s">
        <v>38</v>
      </c>
      <c r="V360" s="3">
        <f>tblInventory[[#This Row],[Stock_Quantity]]*tblInventory[[#This Row],[Unit_Price]]</f>
        <v>190</v>
      </c>
      <c r="W360" s="1" t="str">
        <f>IF(tblInventory[[#This Row],[Status]]="Discontinued","INACTIVE",
IF(tblInventory[[#This Row],[Stock_Quantity]] &lt; tblInventory[[#This Row],[Reorder_Level]],"REORDER","OK"))</f>
        <v>OK</v>
      </c>
      <c r="X360" s="1" t="str">
        <f t="shared" ca="1" si="11"/>
        <v>Expired</v>
      </c>
    </row>
    <row r="361" spans="1:24">
      <c r="A361" s="1">
        <v>360</v>
      </c>
      <c r="B361" s="1" t="s">
        <v>1581</v>
      </c>
      <c r="C361" s="1" t="s">
        <v>889</v>
      </c>
      <c r="D361" s="1" t="s">
        <v>69</v>
      </c>
      <c r="E361" s="1" t="s">
        <v>1582</v>
      </c>
      <c r="F361" s="1" t="s">
        <v>1583</v>
      </c>
      <c r="G361" s="6">
        <v>56</v>
      </c>
      <c r="H361" s="8">
        <f>tblInventory[[#This Row],[Stock_Quantity]] * tblInventory[[#This Row],[Unit_Price]]</f>
        <v>140</v>
      </c>
      <c r="I361" s="1">
        <v>97</v>
      </c>
      <c r="J361" s="1">
        <v>29</v>
      </c>
      <c r="K361" s="8">
        <f>tblInventory[[#This Row],[Reorder_Quantity]]*M361</f>
        <v>72.5</v>
      </c>
      <c r="L361" s="10">
        <f>tblInventory[[#This Row],[Stock_Quantity]] / tblInventory[[#This Row],[Reorder_Quantity]]</f>
        <v>1.9310344827586208</v>
      </c>
      <c r="M361" s="3">
        <v>2.5</v>
      </c>
      <c r="N361" s="10">
        <f t="shared" si="10"/>
        <v>0.95076400679117146</v>
      </c>
      <c r="O361" s="1" t="s">
        <v>560</v>
      </c>
      <c r="P361" s="1" t="s">
        <v>1099</v>
      </c>
      <c r="Q361" s="2">
        <v>45890</v>
      </c>
      <c r="R361" s="1" t="s">
        <v>1584</v>
      </c>
      <c r="S361" s="1">
        <v>82</v>
      </c>
      <c r="T361" s="1">
        <v>100</v>
      </c>
      <c r="U361" s="1" t="s">
        <v>38</v>
      </c>
      <c r="V361" s="3">
        <f>tblInventory[[#This Row],[Stock_Quantity]]*tblInventory[[#This Row],[Unit_Price]]</f>
        <v>140</v>
      </c>
      <c r="W361" s="1" t="str">
        <f>IF(tblInventory[[#This Row],[Status]]="Discontinued","INACTIVE",
IF(tblInventory[[#This Row],[Stock_Quantity]] &lt; tblInventory[[#This Row],[Reorder_Level]],"REORDER","OK"))</f>
        <v>REORDER</v>
      </c>
      <c r="X361" s="1" t="str">
        <f t="shared" ca="1" si="11"/>
        <v>Expired</v>
      </c>
    </row>
    <row r="362" spans="1:24">
      <c r="A362" s="1">
        <v>361</v>
      </c>
      <c r="B362" s="1" t="s">
        <v>1613</v>
      </c>
      <c r="C362" s="1" t="s">
        <v>889</v>
      </c>
      <c r="D362" s="1" t="s">
        <v>69</v>
      </c>
      <c r="E362" s="1" t="s">
        <v>1614</v>
      </c>
      <c r="F362" s="1" t="s">
        <v>1142</v>
      </c>
      <c r="G362" s="6">
        <v>19</v>
      </c>
      <c r="H362" s="8">
        <f>tblInventory[[#This Row],[Stock_Quantity]] * tblInventory[[#This Row],[Unit_Price]]</f>
        <v>47.5</v>
      </c>
      <c r="I362" s="1">
        <v>100</v>
      </c>
      <c r="J362" s="1">
        <v>83</v>
      </c>
      <c r="K362" s="8">
        <f>tblInventory[[#This Row],[Reorder_Quantity]]*M362</f>
        <v>207.5</v>
      </c>
      <c r="L362" s="10">
        <f>tblInventory[[#This Row],[Stock_Quantity]] / tblInventory[[#This Row],[Reorder_Quantity]]</f>
        <v>0.2289156626506024</v>
      </c>
      <c r="M362" s="3">
        <v>2.5</v>
      </c>
      <c r="N362" s="10">
        <f t="shared" si="10"/>
        <v>0.32258064516129031</v>
      </c>
      <c r="O362" s="1" t="s">
        <v>166</v>
      </c>
      <c r="P362" s="1" t="s">
        <v>372</v>
      </c>
      <c r="Q362" s="2">
        <v>45899</v>
      </c>
      <c r="R362" s="1" t="s">
        <v>1616</v>
      </c>
      <c r="S362" s="1">
        <v>66</v>
      </c>
      <c r="T362" s="1">
        <v>28</v>
      </c>
      <c r="U362" s="1" t="s">
        <v>24</v>
      </c>
      <c r="V362" s="3">
        <f>tblInventory[[#This Row],[Stock_Quantity]]*tblInventory[[#This Row],[Unit_Price]]</f>
        <v>47.5</v>
      </c>
      <c r="W362" s="1" t="str">
        <f>IF(tblInventory[[#This Row],[Status]]="Discontinued","INACTIVE",
IF(tblInventory[[#This Row],[Stock_Quantity]] &lt; tblInventory[[#This Row],[Reorder_Level]],"REORDER","OK"))</f>
        <v>INACTIVE</v>
      </c>
      <c r="X362" s="1" t="str">
        <f t="shared" ca="1" si="11"/>
        <v>Expired</v>
      </c>
    </row>
    <row r="363" spans="1:24">
      <c r="A363" s="1">
        <v>362</v>
      </c>
      <c r="B363" s="1" t="s">
        <v>2030</v>
      </c>
      <c r="C363" s="1" t="s">
        <v>889</v>
      </c>
      <c r="D363" s="1" t="s">
        <v>69</v>
      </c>
      <c r="E363" s="1" t="s">
        <v>2031</v>
      </c>
      <c r="F363" s="1" t="s">
        <v>2032</v>
      </c>
      <c r="G363" s="6">
        <v>23</v>
      </c>
      <c r="H363" s="8">
        <f>tblInventory[[#This Row],[Stock_Quantity]] * tblInventory[[#This Row],[Unit_Price]]</f>
        <v>55.199999999999996</v>
      </c>
      <c r="I363" s="1">
        <v>21</v>
      </c>
      <c r="J363" s="1">
        <v>59</v>
      </c>
      <c r="K363" s="8">
        <f>tblInventory[[#This Row],[Reorder_Quantity]]*M363</f>
        <v>141.6</v>
      </c>
      <c r="L363" s="10">
        <f>tblInventory[[#This Row],[Stock_Quantity]] / tblInventory[[#This Row],[Reorder_Quantity]]</f>
        <v>0.38983050847457629</v>
      </c>
      <c r="M363" s="3">
        <v>2.4</v>
      </c>
      <c r="N363" s="10">
        <f t="shared" si="10"/>
        <v>0.39049235993208831</v>
      </c>
      <c r="O363" s="1" t="s">
        <v>665</v>
      </c>
      <c r="P363" s="2">
        <v>45568</v>
      </c>
      <c r="Q363" s="2">
        <v>46023</v>
      </c>
      <c r="R363" s="1" t="s">
        <v>2033</v>
      </c>
      <c r="S363" s="1">
        <v>81</v>
      </c>
      <c r="T363" s="1">
        <v>8</v>
      </c>
      <c r="U363" s="1" t="s">
        <v>46</v>
      </c>
      <c r="V363" s="3">
        <f>tblInventory[[#This Row],[Stock_Quantity]]*tblInventory[[#This Row],[Unit_Price]]</f>
        <v>55.199999999999996</v>
      </c>
      <c r="W363" s="1" t="str">
        <f>IF(tblInventory[[#This Row],[Status]]="Discontinued","INACTIVE",
IF(tblInventory[[#This Row],[Stock_Quantity]] &lt; tblInventory[[#This Row],[Reorder_Level]],"REORDER","OK"))</f>
        <v>OK</v>
      </c>
      <c r="X363" s="1" t="str">
        <f t="shared" ca="1" si="11"/>
        <v>Valid</v>
      </c>
    </row>
    <row r="364" spans="1:24">
      <c r="A364" s="1">
        <v>363</v>
      </c>
      <c r="B364" s="1" t="s">
        <v>2264</v>
      </c>
      <c r="C364" s="1" t="s">
        <v>889</v>
      </c>
      <c r="D364" s="1" t="s">
        <v>69</v>
      </c>
      <c r="E364" s="1" t="s">
        <v>2265</v>
      </c>
      <c r="F364" s="1" t="s">
        <v>1314</v>
      </c>
      <c r="G364" s="6">
        <v>39</v>
      </c>
      <c r="H364" s="8">
        <f>tblInventory[[#This Row],[Stock_Quantity]] * tblInventory[[#This Row],[Unit_Price]]</f>
        <v>97.5</v>
      </c>
      <c r="I364" s="1">
        <v>93</v>
      </c>
      <c r="J364" s="1">
        <v>57</v>
      </c>
      <c r="K364" s="8">
        <f>tblInventory[[#This Row],[Reorder_Quantity]]*M364</f>
        <v>142.5</v>
      </c>
      <c r="L364" s="10">
        <f>tblInventory[[#This Row],[Stock_Quantity]] / tblInventory[[#This Row],[Reorder_Quantity]]</f>
        <v>0.68421052631578949</v>
      </c>
      <c r="M364" s="3">
        <v>2.5</v>
      </c>
      <c r="N364" s="10">
        <f t="shared" si="10"/>
        <v>0.66213921901528017</v>
      </c>
      <c r="O364" s="2">
        <v>45388</v>
      </c>
      <c r="P364" s="1" t="s">
        <v>150</v>
      </c>
      <c r="Q364" s="2">
        <v>46095</v>
      </c>
      <c r="R364" s="1" t="s">
        <v>2266</v>
      </c>
      <c r="S364" s="1">
        <v>26</v>
      </c>
      <c r="T364" s="1">
        <v>44</v>
      </c>
      <c r="U364" s="1" t="s">
        <v>38</v>
      </c>
      <c r="V364" s="3">
        <f>tblInventory[[#This Row],[Stock_Quantity]]*tblInventory[[#This Row],[Unit_Price]]</f>
        <v>97.5</v>
      </c>
      <c r="W364" s="1" t="str">
        <f>IF(tblInventory[[#This Row],[Status]]="Discontinued","INACTIVE",
IF(tblInventory[[#This Row],[Stock_Quantity]] &lt; tblInventory[[#This Row],[Reorder_Level]],"REORDER","OK"))</f>
        <v>REORDER</v>
      </c>
      <c r="X364" s="1" t="str">
        <f t="shared" ca="1" si="11"/>
        <v>Valid</v>
      </c>
    </row>
    <row r="365" spans="1:24">
      <c r="A365" s="1">
        <v>364</v>
      </c>
      <c r="B365" s="1" t="s">
        <v>2353</v>
      </c>
      <c r="C365" s="1" t="s">
        <v>889</v>
      </c>
      <c r="D365" s="1" t="s">
        <v>69</v>
      </c>
      <c r="E365" s="1" t="s">
        <v>2354</v>
      </c>
      <c r="F365" s="1" t="s">
        <v>2355</v>
      </c>
      <c r="G365" s="6">
        <v>86</v>
      </c>
      <c r="H365" s="8">
        <f>tblInventory[[#This Row],[Stock_Quantity]] * tblInventory[[#This Row],[Unit_Price]]</f>
        <v>215</v>
      </c>
      <c r="I365" s="1">
        <v>16</v>
      </c>
      <c r="J365" s="1">
        <v>37</v>
      </c>
      <c r="K365" s="8">
        <f>tblInventory[[#This Row],[Reorder_Quantity]]*M365</f>
        <v>92.5</v>
      </c>
      <c r="L365" s="10">
        <f>tblInventory[[#This Row],[Stock_Quantity]] / tblInventory[[#This Row],[Reorder_Quantity]]</f>
        <v>2.3243243243243241</v>
      </c>
      <c r="M365" s="3">
        <v>2.5</v>
      </c>
      <c r="N365" s="10">
        <f t="shared" si="10"/>
        <v>1.4601018675721562</v>
      </c>
      <c r="O365" s="1" t="s">
        <v>866</v>
      </c>
      <c r="P365" s="2">
        <v>45540</v>
      </c>
      <c r="Q365" s="2">
        <v>46330</v>
      </c>
      <c r="R365" s="1" t="s">
        <v>2356</v>
      </c>
      <c r="S365" s="1">
        <v>34</v>
      </c>
      <c r="T365" s="1">
        <v>66</v>
      </c>
      <c r="U365" s="1" t="s">
        <v>46</v>
      </c>
      <c r="V365" s="3">
        <f>tblInventory[[#This Row],[Stock_Quantity]]*tblInventory[[#This Row],[Unit_Price]]</f>
        <v>215</v>
      </c>
      <c r="W365" s="1" t="str">
        <f>IF(tblInventory[[#This Row],[Status]]="Discontinued","INACTIVE",
IF(tblInventory[[#This Row],[Stock_Quantity]] &lt; tblInventory[[#This Row],[Reorder_Level]],"REORDER","OK"))</f>
        <v>OK</v>
      </c>
      <c r="X365" s="1" t="str">
        <f t="shared" ca="1" si="11"/>
        <v>Valid</v>
      </c>
    </row>
    <row r="366" spans="1:24">
      <c r="A366" s="1">
        <v>365</v>
      </c>
      <c r="B366" s="1" t="s">
        <v>3057</v>
      </c>
      <c r="C366" s="1" t="s">
        <v>889</v>
      </c>
      <c r="D366" s="1" t="s">
        <v>69</v>
      </c>
      <c r="E366" s="1" t="s">
        <v>3058</v>
      </c>
      <c r="F366" s="1" t="s">
        <v>347</v>
      </c>
      <c r="G366" s="6">
        <v>63</v>
      </c>
      <c r="H366" s="8">
        <f>tblInventory[[#This Row],[Stock_Quantity]] * tblInventory[[#This Row],[Unit_Price]]</f>
        <v>148.05000000000001</v>
      </c>
      <c r="I366" s="1">
        <v>7</v>
      </c>
      <c r="J366" s="1">
        <v>23</v>
      </c>
      <c r="K366" s="8">
        <f>tblInventory[[#This Row],[Reorder_Quantity]]*M366</f>
        <v>54.050000000000004</v>
      </c>
      <c r="L366" s="10">
        <f>tblInventory[[#This Row],[Stock_Quantity]] / tblInventory[[#This Row],[Reorder_Quantity]]</f>
        <v>2.7391304347826089</v>
      </c>
      <c r="M366" s="3">
        <v>2.35</v>
      </c>
      <c r="N366" s="10">
        <f t="shared" si="10"/>
        <v>1.069609507640068</v>
      </c>
      <c r="O366" s="2">
        <v>45482</v>
      </c>
      <c r="P366" s="1" t="s">
        <v>322</v>
      </c>
      <c r="Q366" s="2">
        <v>46340</v>
      </c>
      <c r="R366" s="1" t="s">
        <v>3059</v>
      </c>
      <c r="S366" s="1">
        <v>78</v>
      </c>
      <c r="T366" s="1">
        <v>100</v>
      </c>
      <c r="U366" s="1" t="s">
        <v>46</v>
      </c>
      <c r="V366" s="3">
        <f>tblInventory[[#This Row],[Stock_Quantity]]*tblInventory[[#This Row],[Unit_Price]]</f>
        <v>148.05000000000001</v>
      </c>
      <c r="W366" s="1" t="str">
        <f>IF(tblInventory[[#This Row],[Status]]="Discontinued","INACTIVE",
IF(tblInventory[[#This Row],[Stock_Quantity]] &lt; tblInventory[[#This Row],[Reorder_Level]],"REORDER","OK"))</f>
        <v>OK</v>
      </c>
      <c r="X366" s="1" t="str">
        <f t="shared" ca="1" si="11"/>
        <v>Valid</v>
      </c>
    </row>
    <row r="367" spans="1:24">
      <c r="A367" s="1">
        <v>366</v>
      </c>
      <c r="B367" s="1" t="s">
        <v>3201</v>
      </c>
      <c r="C367" s="1" t="s">
        <v>889</v>
      </c>
      <c r="D367" s="1" t="s">
        <v>69</v>
      </c>
      <c r="E367" s="1" t="s">
        <v>3202</v>
      </c>
      <c r="F367" s="1" t="s">
        <v>896</v>
      </c>
      <c r="G367" s="6">
        <v>42</v>
      </c>
      <c r="H367" s="8">
        <f>tblInventory[[#This Row],[Stock_Quantity]] * tblInventory[[#This Row],[Unit_Price]]</f>
        <v>105</v>
      </c>
      <c r="I367" s="1">
        <v>94</v>
      </c>
      <c r="J367" s="1">
        <v>79</v>
      </c>
      <c r="K367" s="8">
        <f>tblInventory[[#This Row],[Reorder_Quantity]]*M367</f>
        <v>197.5</v>
      </c>
      <c r="L367" s="10">
        <f>tblInventory[[#This Row],[Stock_Quantity]] / tblInventory[[#This Row],[Reorder_Quantity]]</f>
        <v>0.53164556962025311</v>
      </c>
      <c r="M367" s="3">
        <v>2.5</v>
      </c>
      <c r="N367" s="10">
        <f t="shared" si="10"/>
        <v>0.71307300509337868</v>
      </c>
      <c r="O367" s="1" t="s">
        <v>3196</v>
      </c>
      <c r="P367" s="1" t="s">
        <v>177</v>
      </c>
      <c r="Q367" s="2">
        <v>46386</v>
      </c>
      <c r="R367" s="1" t="s">
        <v>3203</v>
      </c>
      <c r="S367" s="1">
        <v>61</v>
      </c>
      <c r="T367" s="1">
        <v>92</v>
      </c>
      <c r="U367" s="1" t="s">
        <v>38</v>
      </c>
      <c r="V367" s="3">
        <f>tblInventory[[#This Row],[Stock_Quantity]]*tblInventory[[#This Row],[Unit_Price]]</f>
        <v>105</v>
      </c>
      <c r="W367" s="1" t="str">
        <f>IF(tblInventory[[#This Row],[Status]]="Discontinued","INACTIVE",
IF(tblInventory[[#This Row],[Stock_Quantity]] &lt; tblInventory[[#This Row],[Reorder_Level]],"REORDER","OK"))</f>
        <v>REORDER</v>
      </c>
      <c r="X367" s="1" t="str">
        <f t="shared" ca="1" si="11"/>
        <v>Valid</v>
      </c>
    </row>
    <row r="368" spans="1:24">
      <c r="A368" s="1">
        <v>367</v>
      </c>
      <c r="B368" s="1" t="s">
        <v>3518</v>
      </c>
      <c r="C368" s="1" t="s">
        <v>889</v>
      </c>
      <c r="D368" s="1" t="s">
        <v>69</v>
      </c>
      <c r="E368" s="1" t="s">
        <v>3519</v>
      </c>
      <c r="F368" s="1" t="s">
        <v>517</v>
      </c>
      <c r="G368" s="6">
        <v>92</v>
      </c>
      <c r="H368" s="8">
        <f>tblInventory[[#This Row],[Stock_Quantity]] * tblInventory[[#This Row],[Unit_Price]]</f>
        <v>230</v>
      </c>
      <c r="I368" s="1">
        <v>1</v>
      </c>
      <c r="J368" s="1">
        <v>23</v>
      </c>
      <c r="K368" s="8">
        <f>tblInventory[[#This Row],[Reorder_Quantity]]*M368</f>
        <v>57.5</v>
      </c>
      <c r="L368" s="10">
        <f>tblInventory[[#This Row],[Stock_Quantity]] / tblInventory[[#This Row],[Reorder_Quantity]]</f>
        <v>4</v>
      </c>
      <c r="M368" s="3">
        <v>2.5</v>
      </c>
      <c r="N368" s="10">
        <f t="shared" si="10"/>
        <v>1.5619694397283532</v>
      </c>
      <c r="O368" s="1" t="s">
        <v>396</v>
      </c>
      <c r="P368" s="2">
        <v>45332</v>
      </c>
      <c r="Q368" s="2">
        <v>46725</v>
      </c>
      <c r="R368" s="1" t="s">
        <v>3520</v>
      </c>
      <c r="S368" s="1">
        <v>78</v>
      </c>
      <c r="T368" s="1">
        <v>36</v>
      </c>
      <c r="U368" s="1" t="s">
        <v>24</v>
      </c>
      <c r="V368" s="3">
        <f>tblInventory[[#This Row],[Stock_Quantity]]*tblInventory[[#This Row],[Unit_Price]]</f>
        <v>230</v>
      </c>
      <c r="W368" s="1" t="str">
        <f>IF(tblInventory[[#This Row],[Status]]="Discontinued","INACTIVE",
IF(tblInventory[[#This Row],[Stock_Quantity]] &lt; tblInventory[[#This Row],[Reorder_Level]],"REORDER","OK"))</f>
        <v>INACTIVE</v>
      </c>
      <c r="X368" s="1" t="str">
        <f t="shared" ca="1" si="11"/>
        <v>Valid</v>
      </c>
    </row>
    <row r="369" spans="1:24">
      <c r="A369" s="1">
        <v>368</v>
      </c>
      <c r="B369" s="1" t="s">
        <v>452</v>
      </c>
      <c r="C369" s="1" t="s">
        <v>453</v>
      </c>
      <c r="D369" s="1" t="s">
        <v>49</v>
      </c>
      <c r="E369" s="1" t="s">
        <v>454</v>
      </c>
      <c r="F369" s="1" t="s">
        <v>455</v>
      </c>
      <c r="G369" s="6">
        <v>39</v>
      </c>
      <c r="H369" s="8">
        <f>tblInventory[[#This Row],[Stock_Quantity]] * tblInventory[[#This Row],[Unit_Price]]</f>
        <v>117</v>
      </c>
      <c r="I369" s="1">
        <v>21</v>
      </c>
      <c r="J369" s="1">
        <v>5</v>
      </c>
      <c r="K369" s="8">
        <f>tblInventory[[#This Row],[Reorder_Quantity]]*M369</f>
        <v>15</v>
      </c>
      <c r="L369" s="10">
        <f>tblInventory[[#This Row],[Stock_Quantity]] / tblInventory[[#This Row],[Reorder_Quantity]]</f>
        <v>7.8</v>
      </c>
      <c r="M369" s="3">
        <v>3</v>
      </c>
      <c r="N369" s="10">
        <f t="shared" si="10"/>
        <v>0.66213921901528017</v>
      </c>
      <c r="O369" s="1" t="s">
        <v>456</v>
      </c>
      <c r="P369" s="2">
        <v>45296</v>
      </c>
      <c r="Q369" s="2">
        <v>45624</v>
      </c>
      <c r="R369" s="1" t="s">
        <v>457</v>
      </c>
      <c r="S369" s="1">
        <v>51</v>
      </c>
      <c r="T369" s="1">
        <v>98</v>
      </c>
      <c r="U369" s="1" t="s">
        <v>38</v>
      </c>
      <c r="V369" s="3">
        <f>tblInventory[[#This Row],[Stock_Quantity]]*tblInventory[[#This Row],[Unit_Price]]</f>
        <v>117</v>
      </c>
      <c r="W369" s="1" t="str">
        <f>IF(tblInventory[[#This Row],[Status]]="Discontinued","INACTIVE",
IF(tblInventory[[#This Row],[Stock_Quantity]] &lt; tblInventory[[#This Row],[Reorder_Level]],"REORDER","OK"))</f>
        <v>OK</v>
      </c>
      <c r="X369" s="1" t="str">
        <f t="shared" ca="1" si="11"/>
        <v>Expired</v>
      </c>
    </row>
    <row r="370" spans="1:24">
      <c r="A370" s="1">
        <v>369</v>
      </c>
      <c r="B370" s="1" t="s">
        <v>579</v>
      </c>
      <c r="C370" s="1" t="s">
        <v>453</v>
      </c>
      <c r="D370" s="1" t="s">
        <v>49</v>
      </c>
      <c r="E370" s="1" t="s">
        <v>580</v>
      </c>
      <c r="F370" s="1" t="s">
        <v>581</v>
      </c>
      <c r="G370" s="6">
        <v>74</v>
      </c>
      <c r="H370" s="8">
        <f>tblInventory[[#This Row],[Stock_Quantity]] * tblInventory[[#This Row],[Unit_Price]]</f>
        <v>222</v>
      </c>
      <c r="I370" s="1">
        <v>30</v>
      </c>
      <c r="J370" s="1">
        <v>24</v>
      </c>
      <c r="K370" s="8">
        <f>tblInventory[[#This Row],[Reorder_Quantity]]*M370</f>
        <v>72</v>
      </c>
      <c r="L370" s="10">
        <f>tblInventory[[#This Row],[Stock_Quantity]] / tblInventory[[#This Row],[Reorder_Quantity]]</f>
        <v>3.0833333333333335</v>
      </c>
      <c r="M370" s="3">
        <v>3</v>
      </c>
      <c r="N370" s="10">
        <f t="shared" si="10"/>
        <v>1.2563667232597624</v>
      </c>
      <c r="O370" s="2">
        <v>45543</v>
      </c>
      <c r="P370" s="1" t="s">
        <v>226</v>
      </c>
      <c r="Q370" s="2">
        <v>45648</v>
      </c>
      <c r="R370" s="1" t="s">
        <v>582</v>
      </c>
      <c r="S370" s="1">
        <v>82</v>
      </c>
      <c r="T370" s="1">
        <v>12</v>
      </c>
      <c r="U370" s="1" t="s">
        <v>46</v>
      </c>
      <c r="V370" s="3">
        <f>tblInventory[[#This Row],[Stock_Quantity]]*tblInventory[[#This Row],[Unit_Price]]</f>
        <v>222</v>
      </c>
      <c r="W370" s="1" t="str">
        <f>IF(tblInventory[[#This Row],[Status]]="Discontinued","INACTIVE",
IF(tblInventory[[#This Row],[Stock_Quantity]] &lt; tblInventory[[#This Row],[Reorder_Level]],"REORDER","OK"))</f>
        <v>OK</v>
      </c>
      <c r="X370" s="1" t="str">
        <f t="shared" ca="1" si="11"/>
        <v>Expired</v>
      </c>
    </row>
    <row r="371" spans="1:24">
      <c r="A371" s="1">
        <v>370</v>
      </c>
      <c r="B371" s="1" t="s">
        <v>860</v>
      </c>
      <c r="C371" s="1" t="s">
        <v>453</v>
      </c>
      <c r="D371" s="1" t="s">
        <v>49</v>
      </c>
      <c r="E371" s="1" t="s">
        <v>861</v>
      </c>
      <c r="F371" s="1" t="s">
        <v>51</v>
      </c>
      <c r="G371" s="6">
        <v>31</v>
      </c>
      <c r="H371" s="8">
        <f>tblInventory[[#This Row],[Stock_Quantity]] * tblInventory[[#This Row],[Unit_Price]]</f>
        <v>93</v>
      </c>
      <c r="I371" s="1">
        <v>44</v>
      </c>
      <c r="J371" s="1">
        <v>9</v>
      </c>
      <c r="K371" s="8">
        <f>tblInventory[[#This Row],[Reorder_Quantity]]*M371</f>
        <v>27</v>
      </c>
      <c r="L371" s="10">
        <f>tblInventory[[#This Row],[Stock_Quantity]] / tblInventory[[#This Row],[Reorder_Quantity]]</f>
        <v>3.4444444444444446</v>
      </c>
      <c r="M371" s="3">
        <v>3</v>
      </c>
      <c r="N371" s="10">
        <f t="shared" si="10"/>
        <v>0.52631578947368418</v>
      </c>
      <c r="O371" s="1" t="s">
        <v>185</v>
      </c>
      <c r="P371" s="1" t="s">
        <v>323</v>
      </c>
      <c r="Q371" s="2">
        <v>45708</v>
      </c>
      <c r="R371" s="1" t="s">
        <v>862</v>
      </c>
      <c r="S371" s="1">
        <v>46</v>
      </c>
      <c r="T371" s="1">
        <v>9</v>
      </c>
      <c r="U371" s="1" t="s">
        <v>24</v>
      </c>
      <c r="V371" s="3">
        <f>tblInventory[[#This Row],[Stock_Quantity]]*tblInventory[[#This Row],[Unit_Price]]</f>
        <v>93</v>
      </c>
      <c r="W371" s="1" t="str">
        <f>IF(tblInventory[[#This Row],[Status]]="Discontinued","INACTIVE",
IF(tblInventory[[#This Row],[Stock_Quantity]] &lt; tblInventory[[#This Row],[Reorder_Level]],"REORDER","OK"))</f>
        <v>INACTIVE</v>
      </c>
      <c r="X371" s="1" t="str">
        <f t="shared" ca="1" si="11"/>
        <v>Expired</v>
      </c>
    </row>
    <row r="372" spans="1:24">
      <c r="A372" s="1">
        <v>371</v>
      </c>
      <c r="B372" s="1" t="s">
        <v>1487</v>
      </c>
      <c r="C372" s="1" t="s">
        <v>453</v>
      </c>
      <c r="D372" s="1" t="s">
        <v>49</v>
      </c>
      <c r="E372" s="1" t="s">
        <v>1488</v>
      </c>
      <c r="F372" s="1" t="s">
        <v>1489</v>
      </c>
      <c r="G372" s="6">
        <v>91</v>
      </c>
      <c r="H372" s="8">
        <f>tblInventory[[#This Row],[Stock_Quantity]] * tblInventory[[#This Row],[Unit_Price]]</f>
        <v>273</v>
      </c>
      <c r="I372" s="1">
        <v>55</v>
      </c>
      <c r="J372" s="1">
        <v>94</v>
      </c>
      <c r="K372" s="8">
        <f>tblInventory[[#This Row],[Reorder_Quantity]]*M372</f>
        <v>282</v>
      </c>
      <c r="L372" s="10">
        <f>tblInventory[[#This Row],[Stock_Quantity]] / tblInventory[[#This Row],[Reorder_Quantity]]</f>
        <v>0.96808510638297873</v>
      </c>
      <c r="M372" s="3">
        <v>3</v>
      </c>
      <c r="N372" s="10">
        <f t="shared" si="10"/>
        <v>1.5449915110356538</v>
      </c>
      <c r="O372" s="2">
        <v>45599</v>
      </c>
      <c r="P372" s="2">
        <v>45569</v>
      </c>
      <c r="Q372" s="2">
        <v>45863</v>
      </c>
      <c r="R372" s="1" t="s">
        <v>1490</v>
      </c>
      <c r="S372" s="1">
        <v>42</v>
      </c>
      <c r="T372" s="1">
        <v>93</v>
      </c>
      <c r="U372" s="1" t="s">
        <v>46</v>
      </c>
      <c r="V372" s="3">
        <f>tblInventory[[#This Row],[Stock_Quantity]]*tblInventory[[#This Row],[Unit_Price]]</f>
        <v>273</v>
      </c>
      <c r="W372" s="1" t="str">
        <f>IF(tblInventory[[#This Row],[Status]]="Discontinued","INACTIVE",
IF(tblInventory[[#This Row],[Stock_Quantity]] &lt; tblInventory[[#This Row],[Reorder_Level]],"REORDER","OK"))</f>
        <v>OK</v>
      </c>
      <c r="X372" s="1" t="str">
        <f t="shared" ca="1" si="11"/>
        <v>Expired</v>
      </c>
    </row>
    <row r="373" spans="1:24">
      <c r="A373" s="1">
        <v>372</v>
      </c>
      <c r="B373" s="1" t="s">
        <v>1620</v>
      </c>
      <c r="C373" s="1" t="s">
        <v>453</v>
      </c>
      <c r="D373" s="1" t="s">
        <v>49</v>
      </c>
      <c r="E373" s="1" t="s">
        <v>1621</v>
      </c>
      <c r="F373" s="1" t="s">
        <v>964</v>
      </c>
      <c r="G373" s="6">
        <v>97</v>
      </c>
      <c r="H373" s="8">
        <f>tblInventory[[#This Row],[Stock_Quantity]] * tblInventory[[#This Row],[Unit_Price]]</f>
        <v>291</v>
      </c>
      <c r="I373" s="1">
        <v>20</v>
      </c>
      <c r="J373" s="1">
        <v>72</v>
      </c>
      <c r="K373" s="8">
        <f>tblInventory[[#This Row],[Reorder_Quantity]]*M373</f>
        <v>216</v>
      </c>
      <c r="L373" s="10">
        <f>tblInventory[[#This Row],[Stock_Quantity]] / tblInventory[[#This Row],[Reorder_Quantity]]</f>
        <v>1.3472222222222223</v>
      </c>
      <c r="M373" s="3">
        <v>3</v>
      </c>
      <c r="N373" s="10">
        <f t="shared" si="10"/>
        <v>1.6468590831918506</v>
      </c>
      <c r="O373" s="1" t="s">
        <v>434</v>
      </c>
      <c r="P373" s="2">
        <v>45810</v>
      </c>
      <c r="Q373" s="2">
        <v>45666</v>
      </c>
      <c r="R373" s="1" t="s">
        <v>1622</v>
      </c>
      <c r="S373" s="1">
        <v>29</v>
      </c>
      <c r="T373" s="1">
        <v>59</v>
      </c>
      <c r="U373" s="1" t="s">
        <v>38</v>
      </c>
      <c r="V373" s="3">
        <f>tblInventory[[#This Row],[Stock_Quantity]]*tblInventory[[#This Row],[Unit_Price]]</f>
        <v>291</v>
      </c>
      <c r="W373" s="1" t="str">
        <f>IF(tblInventory[[#This Row],[Status]]="Discontinued","INACTIVE",
IF(tblInventory[[#This Row],[Stock_Quantity]] &lt; tblInventory[[#This Row],[Reorder_Level]],"REORDER","OK"))</f>
        <v>OK</v>
      </c>
      <c r="X373" s="1" t="str">
        <f t="shared" ca="1" si="11"/>
        <v>Expired</v>
      </c>
    </row>
    <row r="374" spans="1:24">
      <c r="A374" s="1">
        <v>373</v>
      </c>
      <c r="B374" s="1" t="s">
        <v>1653</v>
      </c>
      <c r="C374" s="1" t="s">
        <v>453</v>
      </c>
      <c r="D374" s="1" t="s">
        <v>49</v>
      </c>
      <c r="E374" s="1" t="s">
        <v>1654</v>
      </c>
      <c r="F374" s="1" t="s">
        <v>1655</v>
      </c>
      <c r="G374" s="6">
        <v>17</v>
      </c>
      <c r="H374" s="8">
        <f>tblInventory[[#This Row],[Stock_Quantity]] * tblInventory[[#This Row],[Unit_Price]]</f>
        <v>51</v>
      </c>
      <c r="I374" s="1">
        <v>3</v>
      </c>
      <c r="J374" s="1">
        <v>33</v>
      </c>
      <c r="K374" s="8">
        <f>tblInventory[[#This Row],[Reorder_Quantity]]*M374</f>
        <v>99</v>
      </c>
      <c r="L374" s="10">
        <f>tblInventory[[#This Row],[Stock_Quantity]] / tblInventory[[#This Row],[Reorder_Quantity]]</f>
        <v>0.51515151515151514</v>
      </c>
      <c r="M374" s="3">
        <v>3</v>
      </c>
      <c r="N374" s="10">
        <f t="shared" si="10"/>
        <v>0.28862478777589134</v>
      </c>
      <c r="O374" s="1" t="s">
        <v>519</v>
      </c>
      <c r="P374" s="1" t="s">
        <v>603</v>
      </c>
      <c r="Q374" s="2">
        <v>45939</v>
      </c>
      <c r="R374" s="1" t="s">
        <v>1656</v>
      </c>
      <c r="S374" s="1">
        <v>49</v>
      </c>
      <c r="T374" s="1">
        <v>17</v>
      </c>
      <c r="U374" s="1" t="s">
        <v>38</v>
      </c>
      <c r="V374" s="3">
        <f>tblInventory[[#This Row],[Stock_Quantity]]*tblInventory[[#This Row],[Unit_Price]]</f>
        <v>51</v>
      </c>
      <c r="W374" s="1" t="str">
        <f>IF(tblInventory[[#This Row],[Status]]="Discontinued","INACTIVE",
IF(tblInventory[[#This Row],[Stock_Quantity]] &lt; tblInventory[[#This Row],[Reorder_Level]],"REORDER","OK"))</f>
        <v>OK</v>
      </c>
      <c r="X374" s="1" t="str">
        <f t="shared" ca="1" si="11"/>
        <v>Expired</v>
      </c>
    </row>
    <row r="375" spans="1:24">
      <c r="A375" s="1">
        <v>374</v>
      </c>
      <c r="B375" s="1" t="s">
        <v>1968</v>
      </c>
      <c r="C375" s="1" t="s">
        <v>453</v>
      </c>
      <c r="D375" s="1" t="s">
        <v>49</v>
      </c>
      <c r="E375" s="1" t="s">
        <v>1969</v>
      </c>
      <c r="F375" s="1" t="s">
        <v>310</v>
      </c>
      <c r="G375" s="6">
        <v>47</v>
      </c>
      <c r="H375" s="8">
        <f>tblInventory[[#This Row],[Stock_Quantity]] * tblInventory[[#This Row],[Unit_Price]]</f>
        <v>141</v>
      </c>
      <c r="I375" s="1">
        <v>41</v>
      </c>
      <c r="J375" s="1">
        <v>63</v>
      </c>
      <c r="K375" s="8">
        <f>tblInventory[[#This Row],[Reorder_Quantity]]*M375</f>
        <v>189</v>
      </c>
      <c r="L375" s="10">
        <f>tblInventory[[#This Row],[Stock_Quantity]] / tblInventory[[#This Row],[Reorder_Quantity]]</f>
        <v>0.74603174603174605</v>
      </c>
      <c r="M375" s="3">
        <v>3</v>
      </c>
      <c r="N375" s="10">
        <f t="shared" si="10"/>
        <v>0.79796264855687604</v>
      </c>
      <c r="O375" s="1" t="s">
        <v>609</v>
      </c>
      <c r="P375" s="2">
        <v>45297</v>
      </c>
      <c r="Q375" s="2">
        <v>46004</v>
      </c>
      <c r="R375" s="1" t="s">
        <v>1970</v>
      </c>
      <c r="S375" s="1">
        <v>39</v>
      </c>
      <c r="T375" s="1">
        <v>54</v>
      </c>
      <c r="U375" s="1" t="s">
        <v>46</v>
      </c>
      <c r="V375" s="3">
        <f>tblInventory[[#This Row],[Stock_Quantity]]*tblInventory[[#This Row],[Unit_Price]]</f>
        <v>141</v>
      </c>
      <c r="W375" s="1" t="str">
        <f>IF(tblInventory[[#This Row],[Status]]="Discontinued","INACTIVE",
IF(tblInventory[[#This Row],[Stock_Quantity]] &lt; tblInventory[[#This Row],[Reorder_Level]],"REORDER","OK"))</f>
        <v>OK</v>
      </c>
      <c r="X375" s="1" t="str">
        <f t="shared" ca="1" si="11"/>
        <v>Valid</v>
      </c>
    </row>
    <row r="376" spans="1:24">
      <c r="A376" s="1">
        <v>375</v>
      </c>
      <c r="B376" s="1" t="s">
        <v>2349</v>
      </c>
      <c r="C376" s="1" t="s">
        <v>453</v>
      </c>
      <c r="D376" s="1" t="s">
        <v>49</v>
      </c>
      <c r="E376" s="1" t="s">
        <v>2350</v>
      </c>
      <c r="F376" s="1" t="s">
        <v>2351</v>
      </c>
      <c r="G376" s="6">
        <v>25</v>
      </c>
      <c r="H376" s="8">
        <f>tblInventory[[#This Row],[Stock_Quantity]] * tblInventory[[#This Row],[Unit_Price]]</f>
        <v>75</v>
      </c>
      <c r="I376" s="1">
        <v>62</v>
      </c>
      <c r="J376" s="1">
        <v>11</v>
      </c>
      <c r="K376" s="8">
        <f>tblInventory[[#This Row],[Reorder_Quantity]]*M376</f>
        <v>33</v>
      </c>
      <c r="L376" s="10">
        <f>tblInventory[[#This Row],[Stock_Quantity]] / tblInventory[[#This Row],[Reorder_Quantity]]</f>
        <v>2.2727272727272729</v>
      </c>
      <c r="M376" s="3">
        <v>3</v>
      </c>
      <c r="N376" s="10">
        <f t="shared" si="10"/>
        <v>0.42444821731748728</v>
      </c>
      <c r="O376" s="2">
        <v>45301</v>
      </c>
      <c r="P376" s="2">
        <v>45303</v>
      </c>
      <c r="Q376" s="2">
        <v>46299</v>
      </c>
      <c r="R376" s="1" t="s">
        <v>2352</v>
      </c>
      <c r="S376" s="1">
        <v>57</v>
      </c>
      <c r="T376" s="1">
        <v>98</v>
      </c>
      <c r="U376" s="1" t="s">
        <v>38</v>
      </c>
      <c r="V376" s="3">
        <f>tblInventory[[#This Row],[Stock_Quantity]]*tblInventory[[#This Row],[Unit_Price]]</f>
        <v>75</v>
      </c>
      <c r="W376" s="1" t="str">
        <f>IF(tblInventory[[#This Row],[Status]]="Discontinued","INACTIVE",
IF(tblInventory[[#This Row],[Stock_Quantity]] &lt; tblInventory[[#This Row],[Reorder_Level]],"REORDER","OK"))</f>
        <v>REORDER</v>
      </c>
      <c r="X376" s="1" t="str">
        <f t="shared" ca="1" si="11"/>
        <v>Valid</v>
      </c>
    </row>
    <row r="377" spans="1:24">
      <c r="A377" s="1">
        <v>376</v>
      </c>
      <c r="B377" s="1" t="s">
        <v>2435</v>
      </c>
      <c r="C377" s="1" t="s">
        <v>453</v>
      </c>
      <c r="D377" s="1" t="s">
        <v>49</v>
      </c>
      <c r="E377" s="1" t="s">
        <v>2436</v>
      </c>
      <c r="F377" s="1" t="s">
        <v>1375</v>
      </c>
      <c r="G377" s="6">
        <v>49</v>
      </c>
      <c r="H377" s="8">
        <f>tblInventory[[#This Row],[Stock_Quantity]] * tblInventory[[#This Row],[Unit_Price]]</f>
        <v>147</v>
      </c>
      <c r="I377" s="1">
        <v>89</v>
      </c>
      <c r="J377" s="1">
        <v>65</v>
      </c>
      <c r="K377" s="8">
        <f>tblInventory[[#This Row],[Reorder_Quantity]]*M377</f>
        <v>195</v>
      </c>
      <c r="L377" s="10">
        <f>tblInventory[[#This Row],[Stock_Quantity]] / tblInventory[[#This Row],[Reorder_Quantity]]</f>
        <v>0.75384615384615383</v>
      </c>
      <c r="M377" s="3">
        <v>3</v>
      </c>
      <c r="N377" s="10">
        <f t="shared" si="10"/>
        <v>0.83191850594227501</v>
      </c>
      <c r="O377" s="1" t="s">
        <v>89</v>
      </c>
      <c r="P377" s="2">
        <v>45604</v>
      </c>
      <c r="Q377" s="2">
        <v>46178</v>
      </c>
      <c r="R377" s="1" t="s">
        <v>2437</v>
      </c>
      <c r="S377" s="1">
        <v>37</v>
      </c>
      <c r="T377" s="1">
        <v>48</v>
      </c>
      <c r="U377" s="1" t="s">
        <v>46</v>
      </c>
      <c r="V377" s="3">
        <f>tblInventory[[#This Row],[Stock_Quantity]]*tblInventory[[#This Row],[Unit_Price]]</f>
        <v>147</v>
      </c>
      <c r="W377" s="1" t="str">
        <f>IF(tblInventory[[#This Row],[Status]]="Discontinued","INACTIVE",
IF(tblInventory[[#This Row],[Stock_Quantity]] &lt; tblInventory[[#This Row],[Reorder_Level]],"REORDER","OK"))</f>
        <v>REORDER</v>
      </c>
      <c r="X377" s="1" t="str">
        <f t="shared" ca="1" si="11"/>
        <v>Valid</v>
      </c>
    </row>
    <row r="378" spans="1:24">
      <c r="A378" s="1">
        <v>377</v>
      </c>
      <c r="B378" s="1" t="s">
        <v>3641</v>
      </c>
      <c r="C378" s="1" t="s">
        <v>453</v>
      </c>
      <c r="D378" s="1" t="s">
        <v>49</v>
      </c>
      <c r="E378" s="1" t="s">
        <v>3642</v>
      </c>
      <c r="F378" s="1" t="s">
        <v>460</v>
      </c>
      <c r="G378" s="6">
        <v>97</v>
      </c>
      <c r="H378" s="8">
        <f>tblInventory[[#This Row],[Stock_Quantity]] * tblInventory[[#This Row],[Unit_Price]]</f>
        <v>291</v>
      </c>
      <c r="I378" s="1">
        <v>52</v>
      </c>
      <c r="J378" s="1">
        <v>80</v>
      </c>
      <c r="K378" s="8">
        <f>tblInventory[[#This Row],[Reorder_Quantity]]*M378</f>
        <v>240</v>
      </c>
      <c r="L378" s="10">
        <f>tblInventory[[#This Row],[Stock_Quantity]] / tblInventory[[#This Row],[Reorder_Quantity]]</f>
        <v>1.2124999999999999</v>
      </c>
      <c r="M378" s="3">
        <v>3</v>
      </c>
      <c r="N378" s="10">
        <f t="shared" si="10"/>
        <v>1.6468590831918506</v>
      </c>
      <c r="O378" s="1" t="s">
        <v>258</v>
      </c>
      <c r="P378" s="1" t="s">
        <v>1099</v>
      </c>
      <c r="Q378" s="2">
        <v>46529</v>
      </c>
      <c r="R378" s="1" t="s">
        <v>3643</v>
      </c>
      <c r="S378" s="1">
        <v>22</v>
      </c>
      <c r="T378" s="1">
        <v>90</v>
      </c>
      <c r="U378" s="1" t="s">
        <v>38</v>
      </c>
      <c r="V378" s="3">
        <f>tblInventory[[#This Row],[Stock_Quantity]]*tblInventory[[#This Row],[Unit_Price]]</f>
        <v>291</v>
      </c>
      <c r="W378" s="1" t="str">
        <f>IF(tblInventory[[#This Row],[Status]]="Discontinued","INACTIVE",
IF(tblInventory[[#This Row],[Stock_Quantity]] &lt; tblInventory[[#This Row],[Reorder_Level]],"REORDER","OK"))</f>
        <v>OK</v>
      </c>
      <c r="X378" s="1" t="str">
        <f t="shared" ca="1" si="11"/>
        <v>Valid</v>
      </c>
    </row>
    <row r="379" spans="1:24">
      <c r="A379" s="1">
        <v>378</v>
      </c>
      <c r="B379" s="1" t="s">
        <v>1392</v>
      </c>
      <c r="C379" s="1" t="s">
        <v>1393</v>
      </c>
      <c r="D379" s="1" t="s">
        <v>69</v>
      </c>
      <c r="E379" s="1" t="s">
        <v>1394</v>
      </c>
      <c r="F379" s="1" t="s">
        <v>1395</v>
      </c>
      <c r="G379" s="6">
        <v>23</v>
      </c>
      <c r="H379" s="8">
        <f>tblInventory[[#This Row],[Stock_Quantity]] * tblInventory[[#This Row],[Unit_Price]]</f>
        <v>46</v>
      </c>
      <c r="I379" s="1">
        <v>100</v>
      </c>
      <c r="J379" s="1">
        <v>77</v>
      </c>
      <c r="K379" s="8">
        <f>tblInventory[[#This Row],[Reorder_Quantity]]*M379</f>
        <v>154</v>
      </c>
      <c r="L379" s="10">
        <f>tblInventory[[#This Row],[Stock_Quantity]] / tblInventory[[#This Row],[Reorder_Quantity]]</f>
        <v>0.29870129870129869</v>
      </c>
      <c r="M379" s="3">
        <v>2</v>
      </c>
      <c r="N379" s="10">
        <f t="shared" si="10"/>
        <v>0.39049235993208831</v>
      </c>
      <c r="O379" s="2">
        <v>45570</v>
      </c>
      <c r="P379" s="2">
        <v>45573</v>
      </c>
      <c r="Q379" s="2">
        <v>45664</v>
      </c>
      <c r="R379" s="1" t="s">
        <v>1396</v>
      </c>
      <c r="S379" s="1">
        <v>63</v>
      </c>
      <c r="T379" s="1">
        <v>26</v>
      </c>
      <c r="U379" s="1" t="s">
        <v>24</v>
      </c>
      <c r="V379" s="3">
        <f>tblInventory[[#This Row],[Stock_Quantity]]*tblInventory[[#This Row],[Unit_Price]]</f>
        <v>46</v>
      </c>
      <c r="W379" s="1" t="str">
        <f>IF(tblInventory[[#This Row],[Status]]="Discontinued","INACTIVE",
IF(tblInventory[[#This Row],[Stock_Quantity]] &lt; tblInventory[[#This Row],[Reorder_Level]],"REORDER","OK"))</f>
        <v>INACTIVE</v>
      </c>
      <c r="X379" s="1" t="str">
        <f t="shared" ca="1" si="11"/>
        <v>Expired</v>
      </c>
    </row>
    <row r="380" spans="1:24">
      <c r="A380" s="1">
        <v>379</v>
      </c>
      <c r="B380" s="1" t="s">
        <v>1657</v>
      </c>
      <c r="C380" s="1" t="s">
        <v>1393</v>
      </c>
      <c r="D380" s="1" t="s">
        <v>69</v>
      </c>
      <c r="E380" s="1" t="s">
        <v>1658</v>
      </c>
      <c r="F380" s="1" t="s">
        <v>1583</v>
      </c>
      <c r="G380" s="6">
        <v>64</v>
      </c>
      <c r="H380" s="8">
        <f>tblInventory[[#This Row],[Stock_Quantity]] * tblInventory[[#This Row],[Unit_Price]]</f>
        <v>121.6</v>
      </c>
      <c r="I380" s="1">
        <v>31</v>
      </c>
      <c r="J380" s="1">
        <v>91</v>
      </c>
      <c r="K380" s="8">
        <f>tblInventory[[#This Row],[Reorder_Quantity]]*M380</f>
        <v>172.9</v>
      </c>
      <c r="L380" s="10">
        <f>tblInventory[[#This Row],[Stock_Quantity]] / tblInventory[[#This Row],[Reorder_Quantity]]</f>
        <v>0.70329670329670335</v>
      </c>
      <c r="M380" s="3">
        <v>1.9</v>
      </c>
      <c r="N380" s="10">
        <f t="shared" si="10"/>
        <v>1.0865874363327674</v>
      </c>
      <c r="O380" s="1" t="s">
        <v>751</v>
      </c>
      <c r="P380" s="2">
        <v>45390</v>
      </c>
      <c r="Q380" s="2">
        <v>45970</v>
      </c>
      <c r="R380" s="1" t="s">
        <v>1659</v>
      </c>
      <c r="S380" s="1">
        <v>85</v>
      </c>
      <c r="T380" s="1">
        <v>42</v>
      </c>
      <c r="U380" s="1" t="s">
        <v>24</v>
      </c>
      <c r="V380" s="3">
        <f>tblInventory[[#This Row],[Stock_Quantity]]*tblInventory[[#This Row],[Unit_Price]]</f>
        <v>121.6</v>
      </c>
      <c r="W380" s="1" t="str">
        <f>IF(tblInventory[[#This Row],[Status]]="Discontinued","INACTIVE",
IF(tblInventory[[#This Row],[Stock_Quantity]] &lt; tblInventory[[#This Row],[Reorder_Level]],"REORDER","OK"))</f>
        <v>INACTIVE</v>
      </c>
      <c r="X380" s="1" t="str">
        <f t="shared" ca="1" si="11"/>
        <v>Expired</v>
      </c>
    </row>
    <row r="381" spans="1:24">
      <c r="A381" s="1">
        <v>380</v>
      </c>
      <c r="B381" s="1" t="s">
        <v>2041</v>
      </c>
      <c r="C381" s="1" t="s">
        <v>1393</v>
      </c>
      <c r="D381" s="1" t="s">
        <v>69</v>
      </c>
      <c r="E381" s="1" t="s">
        <v>2042</v>
      </c>
      <c r="F381" s="1" t="s">
        <v>823</v>
      </c>
      <c r="G381" s="6">
        <v>11</v>
      </c>
      <c r="H381" s="8">
        <f>tblInventory[[#This Row],[Stock_Quantity]] * tblInventory[[#This Row],[Unit_Price]]</f>
        <v>22</v>
      </c>
      <c r="I381" s="1">
        <v>9</v>
      </c>
      <c r="J381" s="1">
        <v>65</v>
      </c>
      <c r="K381" s="8">
        <f>tblInventory[[#This Row],[Reorder_Quantity]]*M381</f>
        <v>130</v>
      </c>
      <c r="L381" s="10">
        <f>tblInventory[[#This Row],[Stock_Quantity]] / tblInventory[[#This Row],[Reorder_Quantity]]</f>
        <v>0.16923076923076924</v>
      </c>
      <c r="M381" s="3">
        <v>2</v>
      </c>
      <c r="N381" s="10">
        <f t="shared" si="10"/>
        <v>0.18675721561969441</v>
      </c>
      <c r="O381" s="1" t="s">
        <v>226</v>
      </c>
      <c r="P381" s="2">
        <v>45394</v>
      </c>
      <c r="Q381" s="2">
        <v>46113</v>
      </c>
      <c r="R381" s="1" t="s">
        <v>2043</v>
      </c>
      <c r="S381" s="1">
        <v>48</v>
      </c>
      <c r="T381" s="1">
        <v>96</v>
      </c>
      <c r="U381" s="1" t="s">
        <v>24</v>
      </c>
      <c r="V381" s="3">
        <f>tblInventory[[#This Row],[Stock_Quantity]]*tblInventory[[#This Row],[Unit_Price]]</f>
        <v>22</v>
      </c>
      <c r="W381" s="1" t="str">
        <f>IF(tblInventory[[#This Row],[Status]]="Discontinued","INACTIVE",
IF(tblInventory[[#This Row],[Stock_Quantity]] &lt; tblInventory[[#This Row],[Reorder_Level]],"REORDER","OK"))</f>
        <v>INACTIVE</v>
      </c>
      <c r="X381" s="1" t="str">
        <f t="shared" ca="1" si="11"/>
        <v>Valid</v>
      </c>
    </row>
    <row r="382" spans="1:24">
      <c r="A382" s="1">
        <v>381</v>
      </c>
      <c r="B382" s="1" t="s">
        <v>2415</v>
      </c>
      <c r="C382" s="1" t="s">
        <v>1393</v>
      </c>
      <c r="D382" s="1" t="s">
        <v>69</v>
      </c>
      <c r="E382" s="1" t="s">
        <v>2416</v>
      </c>
      <c r="F382" s="1" t="s">
        <v>703</v>
      </c>
      <c r="G382" s="6">
        <v>15</v>
      </c>
      <c r="H382" s="8">
        <f>tblInventory[[#This Row],[Stock_Quantity]] * tblInventory[[#This Row],[Unit_Price]]</f>
        <v>28.5</v>
      </c>
      <c r="I382" s="1">
        <v>75</v>
      </c>
      <c r="J382" s="1">
        <v>78</v>
      </c>
      <c r="K382" s="8">
        <f>tblInventory[[#This Row],[Reorder_Quantity]]*M382</f>
        <v>148.19999999999999</v>
      </c>
      <c r="L382" s="10">
        <f>tblInventory[[#This Row],[Stock_Quantity]] / tblInventory[[#This Row],[Reorder_Quantity]]</f>
        <v>0.19230769230769232</v>
      </c>
      <c r="M382" s="3">
        <v>1.9</v>
      </c>
      <c r="N382" s="10">
        <f t="shared" si="10"/>
        <v>0.25466893039049238</v>
      </c>
      <c r="O382" s="2">
        <v>45659</v>
      </c>
      <c r="P382" s="2">
        <v>45993</v>
      </c>
      <c r="Q382" s="2">
        <v>46142</v>
      </c>
      <c r="R382" s="1" t="s">
        <v>2417</v>
      </c>
      <c r="S382" s="1">
        <v>71</v>
      </c>
      <c r="T382" s="1">
        <v>21</v>
      </c>
      <c r="U382" s="1" t="s">
        <v>24</v>
      </c>
      <c r="V382" s="3">
        <f>tblInventory[[#This Row],[Stock_Quantity]]*tblInventory[[#This Row],[Unit_Price]]</f>
        <v>28.5</v>
      </c>
      <c r="W382" s="1" t="str">
        <f>IF(tblInventory[[#This Row],[Status]]="Discontinued","INACTIVE",
IF(tblInventory[[#This Row],[Stock_Quantity]] &lt; tblInventory[[#This Row],[Reorder_Level]],"REORDER","OK"))</f>
        <v>INACTIVE</v>
      </c>
      <c r="X382" s="1" t="str">
        <f t="shared" ca="1" si="11"/>
        <v>Valid</v>
      </c>
    </row>
    <row r="383" spans="1:24">
      <c r="A383" s="1">
        <v>382</v>
      </c>
      <c r="B383" s="1" t="s">
        <v>2836</v>
      </c>
      <c r="C383" s="1" t="s">
        <v>1393</v>
      </c>
      <c r="D383" s="1" t="s">
        <v>69</v>
      </c>
      <c r="E383" s="1" t="s">
        <v>2837</v>
      </c>
      <c r="F383" s="1" t="s">
        <v>1423</v>
      </c>
      <c r="G383" s="6">
        <v>70</v>
      </c>
      <c r="H383" s="8">
        <f>tblInventory[[#This Row],[Stock_Quantity]] * tblInventory[[#This Row],[Unit_Price]]</f>
        <v>140</v>
      </c>
      <c r="I383" s="1">
        <v>81</v>
      </c>
      <c r="J383" s="1">
        <v>75</v>
      </c>
      <c r="K383" s="8">
        <f>tblInventory[[#This Row],[Reorder_Quantity]]*M383</f>
        <v>150</v>
      </c>
      <c r="L383" s="10">
        <f>tblInventory[[#This Row],[Stock_Quantity]] / tblInventory[[#This Row],[Reorder_Quantity]]</f>
        <v>0.93333333333333335</v>
      </c>
      <c r="M383" s="3">
        <v>2</v>
      </c>
      <c r="N383" s="10">
        <f t="shared" si="10"/>
        <v>1.1884550084889645</v>
      </c>
      <c r="O383" s="2">
        <v>45513</v>
      </c>
      <c r="P383" s="1" t="s">
        <v>122</v>
      </c>
      <c r="Q383" s="2">
        <v>46151</v>
      </c>
      <c r="R383" s="1" t="s">
        <v>2838</v>
      </c>
      <c r="S383" s="1">
        <v>24</v>
      </c>
      <c r="T383" s="1">
        <v>54</v>
      </c>
      <c r="U383" s="1" t="s">
        <v>38</v>
      </c>
      <c r="V383" s="3">
        <f>tblInventory[[#This Row],[Stock_Quantity]]*tblInventory[[#This Row],[Unit_Price]]</f>
        <v>140</v>
      </c>
      <c r="W383" s="1" t="str">
        <f>IF(tblInventory[[#This Row],[Status]]="Discontinued","INACTIVE",
IF(tblInventory[[#This Row],[Stock_Quantity]] &lt; tblInventory[[#This Row],[Reorder_Level]],"REORDER","OK"))</f>
        <v>REORDER</v>
      </c>
      <c r="X383" s="1" t="str">
        <f t="shared" ca="1" si="11"/>
        <v>Valid</v>
      </c>
    </row>
    <row r="384" spans="1:24">
      <c r="A384" s="1">
        <v>383</v>
      </c>
      <c r="B384" s="1" t="s">
        <v>3176</v>
      </c>
      <c r="C384" s="1" t="s">
        <v>1393</v>
      </c>
      <c r="D384" s="1" t="s">
        <v>69</v>
      </c>
      <c r="E384" s="1" t="s">
        <v>3177</v>
      </c>
      <c r="F384" s="1" t="s">
        <v>614</v>
      </c>
      <c r="G384" s="6">
        <v>72</v>
      </c>
      <c r="H384" s="8">
        <f>tblInventory[[#This Row],[Stock_Quantity]] * tblInventory[[#This Row],[Unit_Price]]</f>
        <v>144</v>
      </c>
      <c r="I384" s="1">
        <v>3</v>
      </c>
      <c r="J384" s="1">
        <v>10</v>
      </c>
      <c r="K384" s="8">
        <f>tblInventory[[#This Row],[Reorder_Quantity]]*M384</f>
        <v>20</v>
      </c>
      <c r="L384" s="10">
        <f>tblInventory[[#This Row],[Stock_Quantity]] / tblInventory[[#This Row],[Reorder_Quantity]]</f>
        <v>7.2</v>
      </c>
      <c r="M384" s="3">
        <v>2</v>
      </c>
      <c r="N384" s="10">
        <f t="shared" si="10"/>
        <v>1.2224108658743633</v>
      </c>
      <c r="O384" s="1" t="s">
        <v>615</v>
      </c>
      <c r="P384" s="1" t="s">
        <v>577</v>
      </c>
      <c r="Q384" s="2">
        <v>46378</v>
      </c>
      <c r="R384" s="1" t="s">
        <v>3178</v>
      </c>
      <c r="S384" s="1">
        <v>52</v>
      </c>
      <c r="T384" s="1">
        <v>14</v>
      </c>
      <c r="U384" s="1" t="s">
        <v>38</v>
      </c>
      <c r="V384" s="3">
        <f>tblInventory[[#This Row],[Stock_Quantity]]*tblInventory[[#This Row],[Unit_Price]]</f>
        <v>144</v>
      </c>
      <c r="W384" s="1" t="str">
        <f>IF(tblInventory[[#This Row],[Status]]="Discontinued","INACTIVE",
IF(tblInventory[[#This Row],[Stock_Quantity]] &lt; tblInventory[[#This Row],[Reorder_Level]],"REORDER","OK"))</f>
        <v>OK</v>
      </c>
      <c r="X384" s="1" t="str">
        <f t="shared" ca="1" si="11"/>
        <v>Valid</v>
      </c>
    </row>
    <row r="385" spans="1:24">
      <c r="A385" s="1">
        <v>384</v>
      </c>
      <c r="B385" s="1" t="s">
        <v>3268</v>
      </c>
      <c r="C385" s="1" t="s">
        <v>1393</v>
      </c>
      <c r="D385" s="1" t="s">
        <v>69</v>
      </c>
      <c r="E385" s="1" t="s">
        <v>3269</v>
      </c>
      <c r="F385" s="1" t="s">
        <v>2198</v>
      </c>
      <c r="G385" s="6">
        <v>23</v>
      </c>
      <c r="H385" s="8">
        <f>tblInventory[[#This Row],[Stock_Quantity]] * tblInventory[[#This Row],[Unit_Price]]</f>
        <v>46</v>
      </c>
      <c r="I385" s="1">
        <v>99</v>
      </c>
      <c r="J385" s="1">
        <v>97</v>
      </c>
      <c r="K385" s="8">
        <f>tblInventory[[#This Row],[Reorder_Quantity]]*M385</f>
        <v>194</v>
      </c>
      <c r="L385" s="10">
        <f>tblInventory[[#This Row],[Stock_Quantity]] / tblInventory[[#This Row],[Reorder_Quantity]]</f>
        <v>0.23711340206185566</v>
      </c>
      <c r="M385" s="3">
        <v>2</v>
      </c>
      <c r="N385" s="10">
        <f t="shared" si="10"/>
        <v>0.39049235993208831</v>
      </c>
      <c r="O385" s="2">
        <v>45541</v>
      </c>
      <c r="P385" s="2">
        <v>45447</v>
      </c>
      <c r="Q385" s="2">
        <v>46408</v>
      </c>
      <c r="R385" s="1" t="s">
        <v>3270</v>
      </c>
      <c r="S385" s="1">
        <v>68</v>
      </c>
      <c r="T385" s="1">
        <v>76</v>
      </c>
      <c r="U385" s="1" t="s">
        <v>24</v>
      </c>
      <c r="V385" s="3">
        <f>tblInventory[[#This Row],[Stock_Quantity]]*tblInventory[[#This Row],[Unit_Price]]</f>
        <v>46</v>
      </c>
      <c r="W385" s="1" t="str">
        <f>IF(tblInventory[[#This Row],[Status]]="Discontinued","INACTIVE",
IF(tblInventory[[#This Row],[Stock_Quantity]] &lt; tblInventory[[#This Row],[Reorder_Level]],"REORDER","OK"))</f>
        <v>INACTIVE</v>
      </c>
      <c r="X385" s="1" t="str">
        <f t="shared" ca="1" si="11"/>
        <v>Valid</v>
      </c>
    </row>
    <row r="386" spans="1:24">
      <c r="A386" s="1">
        <v>385</v>
      </c>
      <c r="B386" s="1" t="s">
        <v>3534</v>
      </c>
      <c r="C386" s="1" t="s">
        <v>1393</v>
      </c>
      <c r="D386" s="1" t="s">
        <v>69</v>
      </c>
      <c r="E386" s="1" t="s">
        <v>3535</v>
      </c>
      <c r="F386" s="1" t="s">
        <v>1339</v>
      </c>
      <c r="G386" s="6">
        <v>64</v>
      </c>
      <c r="H386" s="8">
        <f>tblInventory[[#This Row],[Stock_Quantity]] * tblInventory[[#This Row],[Unit_Price]]</f>
        <v>128</v>
      </c>
      <c r="I386" s="1">
        <v>28</v>
      </c>
      <c r="J386" s="1">
        <v>35</v>
      </c>
      <c r="K386" s="8">
        <f>tblInventory[[#This Row],[Reorder_Quantity]]*M386</f>
        <v>70</v>
      </c>
      <c r="L386" s="10">
        <f>tblInventory[[#This Row],[Stock_Quantity]] / tblInventory[[#This Row],[Reorder_Quantity]]</f>
        <v>1.8285714285714285</v>
      </c>
      <c r="M386" s="3">
        <v>2</v>
      </c>
      <c r="N386" s="10">
        <f t="shared" ref="N386:N449" si="12">G386 / 58.9</f>
        <v>1.0865874363327674</v>
      </c>
      <c r="O386" s="2">
        <v>45423</v>
      </c>
      <c r="P386" s="2">
        <v>45484</v>
      </c>
      <c r="Q386" s="2">
        <v>46494</v>
      </c>
      <c r="R386" s="1" t="s">
        <v>3536</v>
      </c>
      <c r="S386" s="1">
        <v>74</v>
      </c>
      <c r="T386" s="1">
        <v>50</v>
      </c>
      <c r="U386" s="1" t="s">
        <v>46</v>
      </c>
      <c r="V386" s="3">
        <f>tblInventory[[#This Row],[Stock_Quantity]]*tblInventory[[#This Row],[Unit_Price]]</f>
        <v>128</v>
      </c>
      <c r="W386" s="1" t="str">
        <f>IF(tblInventory[[#This Row],[Status]]="Discontinued","INACTIVE",
IF(tblInventory[[#This Row],[Stock_Quantity]] &lt; tblInventory[[#This Row],[Reorder_Level]],"REORDER","OK"))</f>
        <v>OK</v>
      </c>
      <c r="X386" s="1" t="str">
        <f t="shared" ref="X386:X449" ca="1" si="13">IF(Q386&lt;TODAY(),"Expired","Valid")</f>
        <v>Valid</v>
      </c>
    </row>
    <row r="387" spans="1:24">
      <c r="A387" s="1">
        <v>386</v>
      </c>
      <c r="B387" s="1" t="s">
        <v>118</v>
      </c>
      <c r="C387" s="1" t="s">
        <v>119</v>
      </c>
      <c r="D387" s="1" t="s">
        <v>69</v>
      </c>
      <c r="E387" s="1" t="s">
        <v>120</v>
      </c>
      <c r="F387" s="1" t="s">
        <v>121</v>
      </c>
      <c r="G387" s="6">
        <v>94</v>
      </c>
      <c r="H387" s="8">
        <f>tblInventory[[#This Row],[Stock_Quantity]] * tblInventory[[#This Row],[Unit_Price]]</f>
        <v>658</v>
      </c>
      <c r="I387" s="1">
        <v>13</v>
      </c>
      <c r="J387" s="1">
        <v>15</v>
      </c>
      <c r="K387" s="8">
        <f>tblInventory[[#This Row],[Reorder_Quantity]]*M387</f>
        <v>105</v>
      </c>
      <c r="L387" s="10">
        <f>tblInventory[[#This Row],[Stock_Quantity]] / tblInventory[[#This Row],[Reorder_Quantity]]</f>
        <v>6.2666666666666666</v>
      </c>
      <c r="M387" s="3">
        <v>7</v>
      </c>
      <c r="N387" s="10">
        <f t="shared" si="12"/>
        <v>1.5959252971137521</v>
      </c>
      <c r="O387" s="1" t="s">
        <v>122</v>
      </c>
      <c r="P387" s="2">
        <v>45326</v>
      </c>
      <c r="Q387" s="2">
        <v>45392</v>
      </c>
      <c r="R387" s="1" t="s">
        <v>123</v>
      </c>
      <c r="S387" s="1">
        <v>20</v>
      </c>
      <c r="T387" s="1">
        <v>24</v>
      </c>
      <c r="U387" s="1" t="s">
        <v>38</v>
      </c>
      <c r="V387" s="3">
        <f>tblInventory[[#This Row],[Stock_Quantity]]*tblInventory[[#This Row],[Unit_Price]]</f>
        <v>658</v>
      </c>
      <c r="W387" s="1" t="str">
        <f>IF(tblInventory[[#This Row],[Status]]="Discontinued","INACTIVE",
IF(tblInventory[[#This Row],[Stock_Quantity]] &lt; tblInventory[[#This Row],[Reorder_Level]],"REORDER","OK"))</f>
        <v>OK</v>
      </c>
      <c r="X387" s="1" t="str">
        <f t="shared" ca="1" si="13"/>
        <v>Expired</v>
      </c>
    </row>
    <row r="388" spans="1:24">
      <c r="A388" s="1">
        <v>387</v>
      </c>
      <c r="B388" s="1" t="s">
        <v>1164</v>
      </c>
      <c r="C388" s="1" t="s">
        <v>119</v>
      </c>
      <c r="D388" s="1" t="s">
        <v>69</v>
      </c>
      <c r="E388" s="1" t="s">
        <v>1165</v>
      </c>
      <c r="F388" s="1" t="s">
        <v>1166</v>
      </c>
      <c r="G388" s="6">
        <v>98</v>
      </c>
      <c r="H388" s="8">
        <f>tblInventory[[#This Row],[Stock_Quantity]] * tblInventory[[#This Row],[Unit_Price]]</f>
        <v>686</v>
      </c>
      <c r="I388" s="1">
        <v>77</v>
      </c>
      <c r="J388" s="1">
        <v>7</v>
      </c>
      <c r="K388" s="8">
        <f>tblInventory[[#This Row],[Reorder_Quantity]]*M388</f>
        <v>49</v>
      </c>
      <c r="L388" s="10">
        <f>tblInventory[[#This Row],[Stock_Quantity]] / tblInventory[[#This Row],[Reorder_Quantity]]</f>
        <v>14</v>
      </c>
      <c r="M388" s="3">
        <v>7</v>
      </c>
      <c r="N388" s="10">
        <f t="shared" si="12"/>
        <v>1.66383701188455</v>
      </c>
      <c r="O388" s="2">
        <v>45332</v>
      </c>
      <c r="P388" s="1" t="s">
        <v>212</v>
      </c>
      <c r="Q388" s="2">
        <v>45721</v>
      </c>
      <c r="R388" s="1" t="s">
        <v>1167</v>
      </c>
      <c r="S388" s="1">
        <v>92</v>
      </c>
      <c r="T388" s="1">
        <v>29</v>
      </c>
      <c r="U388" s="1" t="s">
        <v>24</v>
      </c>
      <c r="V388" s="3">
        <f>tblInventory[[#This Row],[Stock_Quantity]]*tblInventory[[#This Row],[Unit_Price]]</f>
        <v>686</v>
      </c>
      <c r="W388" s="1" t="str">
        <f>IF(tblInventory[[#This Row],[Status]]="Discontinued","INACTIVE",
IF(tblInventory[[#This Row],[Stock_Quantity]] &lt; tblInventory[[#This Row],[Reorder_Level]],"REORDER","OK"))</f>
        <v>INACTIVE</v>
      </c>
      <c r="X388" s="1" t="str">
        <f t="shared" ca="1" si="13"/>
        <v>Expired</v>
      </c>
    </row>
    <row r="389" spans="1:24">
      <c r="A389" s="1">
        <v>388</v>
      </c>
      <c r="B389" s="1" t="s">
        <v>1291</v>
      </c>
      <c r="C389" s="1" t="s">
        <v>119</v>
      </c>
      <c r="D389" s="1" t="s">
        <v>69</v>
      </c>
      <c r="E389" s="1" t="s">
        <v>1292</v>
      </c>
      <c r="F389" s="1" t="s">
        <v>401</v>
      </c>
      <c r="G389" s="6">
        <v>97</v>
      </c>
      <c r="H389" s="8">
        <f>tblInventory[[#This Row],[Stock_Quantity]] * tblInventory[[#This Row],[Unit_Price]]</f>
        <v>679</v>
      </c>
      <c r="I389" s="1">
        <v>57</v>
      </c>
      <c r="J389" s="1">
        <v>84</v>
      </c>
      <c r="K389" s="8">
        <f>tblInventory[[#This Row],[Reorder_Quantity]]*M389</f>
        <v>588</v>
      </c>
      <c r="L389" s="10">
        <f>tblInventory[[#This Row],[Stock_Quantity]] / tblInventory[[#This Row],[Reorder_Quantity]]</f>
        <v>1.1547619047619047</v>
      </c>
      <c r="M389" s="3">
        <v>7</v>
      </c>
      <c r="N389" s="10">
        <f t="shared" si="12"/>
        <v>1.6468590831918506</v>
      </c>
      <c r="O389" s="1" t="s">
        <v>1293</v>
      </c>
      <c r="P389" s="1" t="s">
        <v>761</v>
      </c>
      <c r="Q389" s="2">
        <v>45783</v>
      </c>
      <c r="R389" s="1" t="s">
        <v>1294</v>
      </c>
      <c r="S389" s="1">
        <v>95</v>
      </c>
      <c r="T389" s="1">
        <v>28</v>
      </c>
      <c r="U389" s="1" t="s">
        <v>46</v>
      </c>
      <c r="V389" s="3">
        <f>tblInventory[[#This Row],[Stock_Quantity]]*tblInventory[[#This Row],[Unit_Price]]</f>
        <v>679</v>
      </c>
      <c r="W389" s="1" t="str">
        <f>IF(tblInventory[[#This Row],[Status]]="Discontinued","INACTIVE",
IF(tblInventory[[#This Row],[Stock_Quantity]] &lt; tblInventory[[#This Row],[Reorder_Level]],"REORDER","OK"))</f>
        <v>OK</v>
      </c>
      <c r="X389" s="1" t="str">
        <f t="shared" ca="1" si="13"/>
        <v>Expired</v>
      </c>
    </row>
    <row r="390" spans="1:24">
      <c r="A390" s="1">
        <v>389</v>
      </c>
      <c r="B390" s="1" t="s">
        <v>1739</v>
      </c>
      <c r="C390" s="1" t="s">
        <v>119</v>
      </c>
      <c r="D390" s="1" t="s">
        <v>69</v>
      </c>
      <c r="E390" s="1" t="s">
        <v>1740</v>
      </c>
      <c r="F390" s="1" t="s">
        <v>1339</v>
      </c>
      <c r="G390" s="6">
        <v>80</v>
      </c>
      <c r="H390" s="8">
        <f>tblInventory[[#This Row],[Stock_Quantity]] * tblInventory[[#This Row],[Unit_Price]]</f>
        <v>560</v>
      </c>
      <c r="I390" s="1">
        <v>43</v>
      </c>
      <c r="J390" s="1">
        <v>80</v>
      </c>
      <c r="K390" s="8">
        <f>tblInventory[[#This Row],[Reorder_Quantity]]*M390</f>
        <v>560</v>
      </c>
      <c r="L390" s="10">
        <f>tblInventory[[#This Row],[Stock_Quantity]] / tblInventory[[#This Row],[Reorder_Quantity]]</f>
        <v>1</v>
      </c>
      <c r="M390" s="3">
        <v>7</v>
      </c>
      <c r="N390" s="10">
        <f t="shared" si="12"/>
        <v>1.3582342954159592</v>
      </c>
      <c r="O390" s="1" t="s">
        <v>191</v>
      </c>
      <c r="P390" s="2">
        <v>45421</v>
      </c>
      <c r="Q390" s="2">
        <v>45787</v>
      </c>
      <c r="R390" s="1" t="s">
        <v>1741</v>
      </c>
      <c r="S390" s="1">
        <v>64</v>
      </c>
      <c r="T390" s="1">
        <v>53</v>
      </c>
      <c r="U390" s="1" t="s">
        <v>46</v>
      </c>
      <c r="V390" s="3">
        <f>tblInventory[[#This Row],[Stock_Quantity]]*tblInventory[[#This Row],[Unit_Price]]</f>
        <v>560</v>
      </c>
      <c r="W390" s="1" t="str">
        <f>IF(tblInventory[[#This Row],[Status]]="Discontinued","INACTIVE",
IF(tblInventory[[#This Row],[Stock_Quantity]] &lt; tblInventory[[#This Row],[Reorder_Level]],"REORDER","OK"))</f>
        <v>OK</v>
      </c>
      <c r="X390" s="1" t="str">
        <f t="shared" ca="1" si="13"/>
        <v>Expired</v>
      </c>
    </row>
    <row r="391" spans="1:24">
      <c r="A391" s="1">
        <v>390</v>
      </c>
      <c r="B391" s="1" t="s">
        <v>1823</v>
      </c>
      <c r="C391" s="1" t="s">
        <v>119</v>
      </c>
      <c r="D391" s="1" t="s">
        <v>69</v>
      </c>
      <c r="E391" s="1" t="s">
        <v>1824</v>
      </c>
      <c r="F391" s="1" t="s">
        <v>76</v>
      </c>
      <c r="G391" s="6">
        <v>74</v>
      </c>
      <c r="H391" s="8">
        <f>tblInventory[[#This Row],[Stock_Quantity]] * tblInventory[[#This Row],[Unit_Price]]</f>
        <v>518</v>
      </c>
      <c r="I391" s="1">
        <v>65</v>
      </c>
      <c r="J391" s="1">
        <v>5</v>
      </c>
      <c r="K391" s="8">
        <f>tblInventory[[#This Row],[Reorder_Quantity]]*M391</f>
        <v>35</v>
      </c>
      <c r="L391" s="10">
        <f>tblInventory[[#This Row],[Stock_Quantity]] / tblInventory[[#This Row],[Reorder_Quantity]]</f>
        <v>14.8</v>
      </c>
      <c r="M391" s="3">
        <v>7</v>
      </c>
      <c r="N391" s="10">
        <f t="shared" si="12"/>
        <v>1.2563667232597624</v>
      </c>
      <c r="O391" s="1" t="s">
        <v>554</v>
      </c>
      <c r="P391" s="1" t="s">
        <v>812</v>
      </c>
      <c r="Q391" s="2">
        <v>45960</v>
      </c>
      <c r="R391" s="1" t="s">
        <v>1825</v>
      </c>
      <c r="S391" s="1">
        <v>21</v>
      </c>
      <c r="T391" s="1">
        <v>42</v>
      </c>
      <c r="U391" s="1" t="s">
        <v>24</v>
      </c>
      <c r="V391" s="3">
        <f>tblInventory[[#This Row],[Stock_Quantity]]*tblInventory[[#This Row],[Unit_Price]]</f>
        <v>518</v>
      </c>
      <c r="W391" s="1" t="str">
        <f>IF(tblInventory[[#This Row],[Status]]="Discontinued","INACTIVE",
IF(tblInventory[[#This Row],[Stock_Quantity]] &lt; tblInventory[[#This Row],[Reorder_Level]],"REORDER","OK"))</f>
        <v>INACTIVE</v>
      </c>
      <c r="X391" s="1" t="str">
        <f t="shared" ca="1" si="13"/>
        <v>Expired</v>
      </c>
    </row>
    <row r="392" spans="1:24">
      <c r="A392" s="1">
        <v>391</v>
      </c>
      <c r="B392" s="1" t="s">
        <v>2919</v>
      </c>
      <c r="C392" s="1" t="s">
        <v>119</v>
      </c>
      <c r="D392" s="1" t="s">
        <v>69</v>
      </c>
      <c r="E392" s="1" t="s">
        <v>2920</v>
      </c>
      <c r="F392" s="1" t="s">
        <v>2778</v>
      </c>
      <c r="G392" s="6">
        <v>91</v>
      </c>
      <c r="H392" s="8">
        <f>tblInventory[[#This Row],[Stock_Quantity]] * tblInventory[[#This Row],[Unit_Price]]</f>
        <v>637</v>
      </c>
      <c r="I392" s="1">
        <v>7</v>
      </c>
      <c r="J392" s="1">
        <v>64</v>
      </c>
      <c r="K392" s="8">
        <f>tblInventory[[#This Row],[Reorder_Quantity]]*M392</f>
        <v>448</v>
      </c>
      <c r="L392" s="10">
        <f>tblInventory[[#This Row],[Stock_Quantity]] / tblInventory[[#This Row],[Reorder_Quantity]]</f>
        <v>1.421875</v>
      </c>
      <c r="M392" s="3">
        <v>7</v>
      </c>
      <c r="N392" s="10">
        <f t="shared" si="12"/>
        <v>1.5449915110356538</v>
      </c>
      <c r="O392" s="2">
        <v>45546</v>
      </c>
      <c r="P392" s="2">
        <v>45634</v>
      </c>
      <c r="Q392" s="2">
        <v>46295</v>
      </c>
      <c r="R392" s="1" t="s">
        <v>2921</v>
      </c>
      <c r="S392" s="1">
        <v>32</v>
      </c>
      <c r="T392" s="1">
        <v>65</v>
      </c>
      <c r="U392" s="1" t="s">
        <v>24</v>
      </c>
      <c r="V392" s="3">
        <f>tblInventory[[#This Row],[Stock_Quantity]]*tblInventory[[#This Row],[Unit_Price]]</f>
        <v>637</v>
      </c>
      <c r="W392" s="1" t="str">
        <f>IF(tblInventory[[#This Row],[Status]]="Discontinued","INACTIVE",
IF(tblInventory[[#This Row],[Stock_Quantity]] &lt; tblInventory[[#This Row],[Reorder_Level]],"REORDER","OK"))</f>
        <v>INACTIVE</v>
      </c>
      <c r="X392" s="1" t="str">
        <f t="shared" ca="1" si="13"/>
        <v>Valid</v>
      </c>
    </row>
    <row r="393" spans="1:24">
      <c r="A393" s="1">
        <v>392</v>
      </c>
      <c r="B393" s="1" t="s">
        <v>583</v>
      </c>
      <c r="C393" s="1" t="s">
        <v>584</v>
      </c>
      <c r="D393" s="1" t="s">
        <v>49</v>
      </c>
      <c r="E393" s="1" t="s">
        <v>585</v>
      </c>
      <c r="F393" s="1" t="s">
        <v>347</v>
      </c>
      <c r="G393" s="6">
        <v>27</v>
      </c>
      <c r="H393" s="8">
        <f>tblInventory[[#This Row],[Stock_Quantity]] * tblInventory[[#This Row],[Unit_Price]]</f>
        <v>189</v>
      </c>
      <c r="I393" s="1">
        <v>22</v>
      </c>
      <c r="J393" s="1">
        <v>89</v>
      </c>
      <c r="K393" s="8">
        <f>tblInventory[[#This Row],[Reorder_Quantity]]*M393</f>
        <v>623</v>
      </c>
      <c r="L393" s="10">
        <f>tblInventory[[#This Row],[Stock_Quantity]] / tblInventory[[#This Row],[Reorder_Quantity]]</f>
        <v>0.30337078651685395</v>
      </c>
      <c r="M393" s="3">
        <v>7</v>
      </c>
      <c r="N393" s="10">
        <f t="shared" si="12"/>
        <v>0.45840407470288624</v>
      </c>
      <c r="O393" s="2">
        <v>45296</v>
      </c>
      <c r="P393" s="1" t="s">
        <v>334</v>
      </c>
      <c r="Q393" s="2">
        <v>45649</v>
      </c>
      <c r="R393" s="1" t="s">
        <v>587</v>
      </c>
      <c r="S393" s="1">
        <v>91</v>
      </c>
      <c r="T393" s="1">
        <v>77</v>
      </c>
      <c r="U393" s="1" t="s">
        <v>24</v>
      </c>
      <c r="V393" s="3">
        <f>tblInventory[[#This Row],[Stock_Quantity]]*tblInventory[[#This Row],[Unit_Price]]</f>
        <v>189</v>
      </c>
      <c r="W393" s="1" t="str">
        <f>IF(tblInventory[[#This Row],[Status]]="Discontinued","INACTIVE",
IF(tblInventory[[#This Row],[Stock_Quantity]] &lt; tblInventory[[#This Row],[Reorder_Level]],"REORDER","OK"))</f>
        <v>INACTIVE</v>
      </c>
      <c r="X393" s="1" t="str">
        <f t="shared" ca="1" si="13"/>
        <v>Expired</v>
      </c>
    </row>
    <row r="394" spans="1:24">
      <c r="A394" s="1">
        <v>393</v>
      </c>
      <c r="B394" s="1" t="s">
        <v>863</v>
      </c>
      <c r="C394" s="1" t="s">
        <v>584</v>
      </c>
      <c r="D394" s="1" t="s">
        <v>49</v>
      </c>
      <c r="E394" s="1" t="s">
        <v>864</v>
      </c>
      <c r="F394" s="1" t="s">
        <v>865</v>
      </c>
      <c r="G394" s="6">
        <v>76</v>
      </c>
      <c r="H394" s="8">
        <f>tblInventory[[#This Row],[Stock_Quantity]] * tblInventory[[#This Row],[Unit_Price]]</f>
        <v>532</v>
      </c>
      <c r="I394" s="1">
        <v>97</v>
      </c>
      <c r="J394" s="1">
        <v>20</v>
      </c>
      <c r="K394" s="8">
        <f>tblInventory[[#This Row],[Reorder_Quantity]]*M394</f>
        <v>140</v>
      </c>
      <c r="L394" s="10">
        <f>tblInventory[[#This Row],[Stock_Quantity]] / tblInventory[[#This Row],[Reorder_Quantity]]</f>
        <v>3.8</v>
      </c>
      <c r="M394" s="3">
        <v>7</v>
      </c>
      <c r="N394" s="10">
        <f t="shared" si="12"/>
        <v>1.2903225806451613</v>
      </c>
      <c r="O394" s="1" t="s">
        <v>866</v>
      </c>
      <c r="P394" s="1" t="s">
        <v>279</v>
      </c>
      <c r="Q394" s="2">
        <v>45709</v>
      </c>
      <c r="R394" s="1" t="s">
        <v>867</v>
      </c>
      <c r="S394" s="1">
        <v>52</v>
      </c>
      <c r="T394" s="1">
        <v>82</v>
      </c>
      <c r="U394" s="1" t="s">
        <v>24</v>
      </c>
      <c r="V394" s="3">
        <f>tblInventory[[#This Row],[Stock_Quantity]]*tblInventory[[#This Row],[Unit_Price]]</f>
        <v>532</v>
      </c>
      <c r="W394" s="1" t="str">
        <f>IF(tblInventory[[#This Row],[Status]]="Discontinued","INACTIVE",
IF(tblInventory[[#This Row],[Stock_Quantity]] &lt; tblInventory[[#This Row],[Reorder_Level]],"REORDER","OK"))</f>
        <v>INACTIVE</v>
      </c>
      <c r="X394" s="1" t="str">
        <f t="shared" ca="1" si="13"/>
        <v>Expired</v>
      </c>
    </row>
    <row r="395" spans="1:24">
      <c r="A395" s="1">
        <v>394</v>
      </c>
      <c r="B395" s="1" t="s">
        <v>1709</v>
      </c>
      <c r="C395" s="1" t="s">
        <v>584</v>
      </c>
      <c r="D395" s="1" t="s">
        <v>49</v>
      </c>
      <c r="E395" s="1" t="s">
        <v>1710</v>
      </c>
      <c r="F395" s="1" t="s">
        <v>1711</v>
      </c>
      <c r="G395" s="6">
        <v>43</v>
      </c>
      <c r="H395" s="8">
        <f>tblInventory[[#This Row],[Stock_Quantity]] * tblInventory[[#This Row],[Unit_Price]]</f>
        <v>301</v>
      </c>
      <c r="I395" s="1">
        <v>40</v>
      </c>
      <c r="J395" s="1">
        <v>30</v>
      </c>
      <c r="K395" s="8">
        <f>tblInventory[[#This Row],[Reorder_Quantity]]*M395</f>
        <v>210</v>
      </c>
      <c r="L395" s="10">
        <f>tblInventory[[#This Row],[Stock_Quantity]] / tblInventory[[#This Row],[Reorder_Quantity]]</f>
        <v>1.4333333333333333</v>
      </c>
      <c r="M395" s="3">
        <v>7</v>
      </c>
      <c r="N395" s="10">
        <f t="shared" si="12"/>
        <v>0.7300509337860781</v>
      </c>
      <c r="O395" s="1" t="s">
        <v>824</v>
      </c>
      <c r="P395" s="2">
        <v>45332</v>
      </c>
      <c r="Q395" s="2">
        <v>45926</v>
      </c>
      <c r="R395" s="1" t="s">
        <v>1712</v>
      </c>
      <c r="S395" s="1">
        <v>95</v>
      </c>
      <c r="T395" s="1">
        <v>26</v>
      </c>
      <c r="U395" s="1" t="s">
        <v>46</v>
      </c>
      <c r="V395" s="3">
        <f>tblInventory[[#This Row],[Stock_Quantity]]*tblInventory[[#This Row],[Unit_Price]]</f>
        <v>301</v>
      </c>
      <c r="W395" s="1" t="str">
        <f>IF(tblInventory[[#This Row],[Status]]="Discontinued","INACTIVE",
IF(tblInventory[[#This Row],[Stock_Quantity]] &lt; tblInventory[[#This Row],[Reorder_Level]],"REORDER","OK"))</f>
        <v>OK</v>
      </c>
      <c r="X395" s="1" t="str">
        <f t="shared" ca="1" si="13"/>
        <v>Expired</v>
      </c>
    </row>
    <row r="396" spans="1:24">
      <c r="A396" s="1">
        <v>395</v>
      </c>
      <c r="B396" s="1" t="s">
        <v>2379</v>
      </c>
      <c r="C396" s="1" t="s">
        <v>584</v>
      </c>
      <c r="D396" s="1" t="s">
        <v>49</v>
      </c>
      <c r="E396" s="1" t="s">
        <v>2380</v>
      </c>
      <c r="F396" s="1" t="s">
        <v>291</v>
      </c>
      <c r="G396" s="6">
        <v>33</v>
      </c>
      <c r="H396" s="8">
        <f>tblInventory[[#This Row],[Stock_Quantity]] * tblInventory[[#This Row],[Unit_Price]]</f>
        <v>231</v>
      </c>
      <c r="I396" s="1">
        <v>4</v>
      </c>
      <c r="J396" s="1">
        <v>31</v>
      </c>
      <c r="K396" s="8">
        <f>tblInventory[[#This Row],[Reorder_Quantity]]*M396</f>
        <v>217</v>
      </c>
      <c r="L396" s="10">
        <f>tblInventory[[#This Row],[Stock_Quantity]] / tblInventory[[#This Row],[Reorder_Quantity]]</f>
        <v>1.064516129032258</v>
      </c>
      <c r="M396" s="3">
        <v>7</v>
      </c>
      <c r="N396" s="10">
        <f t="shared" si="12"/>
        <v>0.56027164685908315</v>
      </c>
      <c r="O396" s="1" t="s">
        <v>1563</v>
      </c>
      <c r="P396" s="2">
        <v>45992</v>
      </c>
      <c r="Q396" s="2">
        <v>46131</v>
      </c>
      <c r="R396" s="1" t="s">
        <v>2381</v>
      </c>
      <c r="S396" s="1">
        <v>46</v>
      </c>
      <c r="T396" s="1">
        <v>92</v>
      </c>
      <c r="U396" s="1" t="s">
        <v>46</v>
      </c>
      <c r="V396" s="3">
        <f>tblInventory[[#This Row],[Stock_Quantity]]*tblInventory[[#This Row],[Unit_Price]]</f>
        <v>231</v>
      </c>
      <c r="W396" s="1" t="str">
        <f>IF(tblInventory[[#This Row],[Status]]="Discontinued","INACTIVE",
IF(tblInventory[[#This Row],[Stock_Quantity]] &lt; tblInventory[[#This Row],[Reorder_Level]],"REORDER","OK"))</f>
        <v>OK</v>
      </c>
      <c r="X396" s="1" t="str">
        <f t="shared" ca="1" si="13"/>
        <v>Valid</v>
      </c>
    </row>
    <row r="397" spans="1:24">
      <c r="A397" s="1">
        <v>396</v>
      </c>
      <c r="B397" s="1" t="s">
        <v>757</v>
      </c>
      <c r="C397" s="1" t="s">
        <v>758</v>
      </c>
      <c r="D397" s="1" t="s">
        <v>69</v>
      </c>
      <c r="E397" s="1" t="s">
        <v>759</v>
      </c>
      <c r="F397" s="1" t="s">
        <v>760</v>
      </c>
      <c r="G397" s="6">
        <v>100</v>
      </c>
      <c r="H397" s="8">
        <f>tblInventory[[#This Row],[Stock_Quantity]] * tblInventory[[#This Row],[Unit_Price]]</f>
        <v>700</v>
      </c>
      <c r="I397" s="1">
        <v>21</v>
      </c>
      <c r="J397" s="1">
        <v>64</v>
      </c>
      <c r="K397" s="8">
        <f>tblInventory[[#This Row],[Reorder_Quantity]]*M397</f>
        <v>448</v>
      </c>
      <c r="L397" s="10">
        <f>tblInventory[[#This Row],[Stock_Quantity]] / tblInventory[[#This Row],[Reorder_Quantity]]</f>
        <v>1.5625</v>
      </c>
      <c r="M397" s="3">
        <v>7</v>
      </c>
      <c r="N397" s="10">
        <f t="shared" si="12"/>
        <v>1.6977928692699491</v>
      </c>
      <c r="O397" s="1" t="s">
        <v>751</v>
      </c>
      <c r="P397" s="2">
        <v>45599</v>
      </c>
      <c r="Q397" s="2">
        <v>45685</v>
      </c>
      <c r="R397" s="1" t="s">
        <v>762</v>
      </c>
      <c r="S397" s="1">
        <v>20</v>
      </c>
      <c r="T397" s="1">
        <v>13</v>
      </c>
      <c r="U397" s="1" t="s">
        <v>38</v>
      </c>
      <c r="V397" s="3">
        <f>tblInventory[[#This Row],[Stock_Quantity]]*tblInventory[[#This Row],[Unit_Price]]</f>
        <v>700</v>
      </c>
      <c r="W397" s="1" t="str">
        <f>IF(tblInventory[[#This Row],[Status]]="Discontinued","INACTIVE",
IF(tblInventory[[#This Row],[Stock_Quantity]] &lt; tblInventory[[#This Row],[Reorder_Level]],"REORDER","OK"))</f>
        <v>OK</v>
      </c>
      <c r="X397" s="1" t="str">
        <f t="shared" ca="1" si="13"/>
        <v>Expired</v>
      </c>
    </row>
    <row r="398" spans="1:24">
      <c r="A398" s="1">
        <v>397</v>
      </c>
      <c r="B398" s="1" t="s">
        <v>1025</v>
      </c>
      <c r="C398" s="1" t="s">
        <v>758</v>
      </c>
      <c r="D398" s="1" t="s">
        <v>69</v>
      </c>
      <c r="E398" s="1" t="s">
        <v>1026</v>
      </c>
      <c r="F398" s="1" t="s">
        <v>816</v>
      </c>
      <c r="G398" s="6">
        <v>97</v>
      </c>
      <c r="H398" s="8">
        <f>tblInventory[[#This Row],[Stock_Quantity]] * tblInventory[[#This Row],[Unit_Price]]</f>
        <v>679</v>
      </c>
      <c r="I398" s="1">
        <v>77</v>
      </c>
      <c r="J398" s="1">
        <v>13</v>
      </c>
      <c r="K398" s="8">
        <f>tblInventory[[#This Row],[Reorder_Quantity]]*M398</f>
        <v>91</v>
      </c>
      <c r="L398" s="10">
        <f>tblInventory[[#This Row],[Stock_Quantity]] / tblInventory[[#This Row],[Reorder_Quantity]]</f>
        <v>7.4615384615384617</v>
      </c>
      <c r="M398" s="3">
        <v>7</v>
      </c>
      <c r="N398" s="10">
        <f t="shared" si="12"/>
        <v>1.6468590831918506</v>
      </c>
      <c r="O398" s="2">
        <v>45607</v>
      </c>
      <c r="P398" s="1" t="s">
        <v>408</v>
      </c>
      <c r="Q398" s="2">
        <v>45746</v>
      </c>
      <c r="R398" s="1" t="s">
        <v>1027</v>
      </c>
      <c r="S398" s="1">
        <v>43</v>
      </c>
      <c r="T398" s="1">
        <v>40</v>
      </c>
      <c r="U398" s="1" t="s">
        <v>38</v>
      </c>
      <c r="V398" s="3">
        <f>tblInventory[[#This Row],[Stock_Quantity]]*tblInventory[[#This Row],[Unit_Price]]</f>
        <v>679</v>
      </c>
      <c r="W398" s="1" t="str">
        <f>IF(tblInventory[[#This Row],[Status]]="Discontinued","INACTIVE",
IF(tblInventory[[#This Row],[Stock_Quantity]] &lt; tblInventory[[#This Row],[Reorder_Level]],"REORDER","OK"))</f>
        <v>OK</v>
      </c>
      <c r="X398" s="1" t="str">
        <f t="shared" ca="1" si="13"/>
        <v>Expired</v>
      </c>
    </row>
    <row r="399" spans="1:24">
      <c r="A399" s="1">
        <v>398</v>
      </c>
      <c r="B399" s="1" t="s">
        <v>1211</v>
      </c>
      <c r="C399" s="1" t="s">
        <v>758</v>
      </c>
      <c r="D399" s="1" t="s">
        <v>69</v>
      </c>
      <c r="E399" s="1" t="s">
        <v>1212</v>
      </c>
      <c r="F399" s="1" t="s">
        <v>231</v>
      </c>
      <c r="G399" s="6">
        <v>68</v>
      </c>
      <c r="H399" s="8">
        <f>tblInventory[[#This Row],[Stock_Quantity]] * tblInventory[[#This Row],[Unit_Price]]</f>
        <v>476</v>
      </c>
      <c r="I399" s="1">
        <v>29</v>
      </c>
      <c r="J399" s="1">
        <v>31</v>
      </c>
      <c r="K399" s="8">
        <f>tblInventory[[#This Row],[Reorder_Quantity]]*M399</f>
        <v>217</v>
      </c>
      <c r="L399" s="10">
        <f>tblInventory[[#This Row],[Stock_Quantity]] / tblInventory[[#This Row],[Reorder_Quantity]]</f>
        <v>2.193548387096774</v>
      </c>
      <c r="M399" s="3">
        <v>7</v>
      </c>
      <c r="N399" s="10">
        <f t="shared" si="12"/>
        <v>1.1544991511035654</v>
      </c>
      <c r="O399" s="2">
        <v>45451</v>
      </c>
      <c r="P399" s="2">
        <v>45357</v>
      </c>
      <c r="Q399" s="2">
        <v>45792</v>
      </c>
      <c r="R399" s="1" t="s">
        <v>1213</v>
      </c>
      <c r="S399" s="1">
        <v>53</v>
      </c>
      <c r="T399" s="1">
        <v>20</v>
      </c>
      <c r="U399" s="1" t="s">
        <v>38</v>
      </c>
      <c r="V399" s="3">
        <f>tblInventory[[#This Row],[Stock_Quantity]]*tblInventory[[#This Row],[Unit_Price]]</f>
        <v>476</v>
      </c>
      <c r="W399" s="1" t="str">
        <f>IF(tblInventory[[#This Row],[Status]]="Discontinued","INACTIVE",
IF(tblInventory[[#This Row],[Stock_Quantity]] &lt; tblInventory[[#This Row],[Reorder_Level]],"REORDER","OK"))</f>
        <v>OK</v>
      </c>
      <c r="X399" s="1" t="str">
        <f t="shared" ca="1" si="13"/>
        <v>Expired</v>
      </c>
    </row>
    <row r="400" spans="1:24">
      <c r="A400" s="1">
        <v>399</v>
      </c>
      <c r="B400" s="1" t="s">
        <v>1519</v>
      </c>
      <c r="C400" s="1" t="s">
        <v>758</v>
      </c>
      <c r="D400" s="1" t="s">
        <v>69</v>
      </c>
      <c r="E400" s="1" t="s">
        <v>1520</v>
      </c>
      <c r="F400" s="1" t="s">
        <v>1521</v>
      </c>
      <c r="G400" s="6">
        <v>67</v>
      </c>
      <c r="H400" s="8">
        <f>tblInventory[[#This Row],[Stock_Quantity]] * tblInventory[[#This Row],[Unit_Price]]</f>
        <v>469</v>
      </c>
      <c r="I400" s="1">
        <v>79</v>
      </c>
      <c r="J400" s="1">
        <v>98</v>
      </c>
      <c r="K400" s="8">
        <f>tblInventory[[#This Row],[Reorder_Quantity]]*M400</f>
        <v>686</v>
      </c>
      <c r="L400" s="10">
        <f>tblInventory[[#This Row],[Stock_Quantity]] / tblInventory[[#This Row],[Reorder_Quantity]]</f>
        <v>0.68367346938775508</v>
      </c>
      <c r="M400" s="3">
        <v>7</v>
      </c>
      <c r="N400" s="10">
        <f t="shared" si="12"/>
        <v>1.137521222410866</v>
      </c>
      <c r="O400" s="1" t="s">
        <v>785</v>
      </c>
      <c r="P400" s="2">
        <v>45604</v>
      </c>
      <c r="Q400" s="2">
        <v>45724</v>
      </c>
      <c r="R400" s="1" t="s">
        <v>1522</v>
      </c>
      <c r="S400" s="1">
        <v>73</v>
      </c>
      <c r="T400" s="1">
        <v>36</v>
      </c>
      <c r="U400" s="1" t="s">
        <v>46</v>
      </c>
      <c r="V400" s="3">
        <f>tblInventory[[#This Row],[Stock_Quantity]]*tblInventory[[#This Row],[Unit_Price]]</f>
        <v>469</v>
      </c>
      <c r="W400" s="1" t="str">
        <f>IF(tblInventory[[#This Row],[Status]]="Discontinued","INACTIVE",
IF(tblInventory[[#This Row],[Stock_Quantity]] &lt; tblInventory[[#This Row],[Reorder_Level]],"REORDER","OK"))</f>
        <v>REORDER</v>
      </c>
      <c r="X400" s="1" t="str">
        <f t="shared" ca="1" si="13"/>
        <v>Expired</v>
      </c>
    </row>
    <row r="401" spans="1:24">
      <c r="A401" s="1">
        <v>400</v>
      </c>
      <c r="B401" s="1" t="s">
        <v>2750</v>
      </c>
      <c r="C401" s="1" t="s">
        <v>758</v>
      </c>
      <c r="D401" s="1" t="s">
        <v>69</v>
      </c>
      <c r="E401" s="1" t="s">
        <v>2751</v>
      </c>
      <c r="F401" s="1" t="s">
        <v>163</v>
      </c>
      <c r="G401" s="6">
        <v>41</v>
      </c>
      <c r="H401" s="8">
        <f>tblInventory[[#This Row],[Stock_Quantity]] * tblInventory[[#This Row],[Unit_Price]]</f>
        <v>287</v>
      </c>
      <c r="I401" s="1">
        <v>22</v>
      </c>
      <c r="J401" s="1">
        <v>11</v>
      </c>
      <c r="K401" s="8">
        <f>tblInventory[[#This Row],[Reorder_Quantity]]*M401</f>
        <v>77</v>
      </c>
      <c r="L401" s="10">
        <f>tblInventory[[#This Row],[Stock_Quantity]] / tblInventory[[#This Row],[Reorder_Quantity]]</f>
        <v>3.7272727272727271</v>
      </c>
      <c r="M401" s="3">
        <v>7</v>
      </c>
      <c r="N401" s="10">
        <f t="shared" si="12"/>
        <v>0.69609507640067914</v>
      </c>
      <c r="O401" s="1" t="s">
        <v>751</v>
      </c>
      <c r="P401" s="1" t="s">
        <v>910</v>
      </c>
      <c r="Q401" s="2">
        <v>46334</v>
      </c>
      <c r="R401" s="1" t="s">
        <v>2752</v>
      </c>
      <c r="S401" s="1">
        <v>86</v>
      </c>
      <c r="T401" s="1">
        <v>30</v>
      </c>
      <c r="U401" s="1" t="s">
        <v>46</v>
      </c>
      <c r="V401" s="3">
        <f>tblInventory[[#This Row],[Stock_Quantity]]*tblInventory[[#This Row],[Unit_Price]]</f>
        <v>287</v>
      </c>
      <c r="W401" s="1" t="str">
        <f>IF(tblInventory[[#This Row],[Status]]="Discontinued","INACTIVE",
IF(tblInventory[[#This Row],[Stock_Quantity]] &lt; tblInventory[[#This Row],[Reorder_Level]],"REORDER","OK"))</f>
        <v>OK</v>
      </c>
      <c r="X401" s="1" t="str">
        <f t="shared" ca="1" si="13"/>
        <v>Valid</v>
      </c>
    </row>
    <row r="402" spans="1:24">
      <c r="A402" s="1">
        <v>401</v>
      </c>
      <c r="B402" s="1" t="s">
        <v>3032</v>
      </c>
      <c r="C402" s="1" t="s">
        <v>758</v>
      </c>
      <c r="D402" s="1" t="s">
        <v>69</v>
      </c>
      <c r="E402" s="1" t="s">
        <v>3033</v>
      </c>
      <c r="F402" s="1" t="s">
        <v>401</v>
      </c>
      <c r="G402" s="6">
        <v>48</v>
      </c>
      <c r="H402" s="8">
        <f>tblInventory[[#This Row],[Stock_Quantity]] * tblInventory[[#This Row],[Unit_Price]]</f>
        <v>336</v>
      </c>
      <c r="I402" s="1">
        <v>12</v>
      </c>
      <c r="J402" s="1">
        <v>62</v>
      </c>
      <c r="K402" s="8">
        <f>tblInventory[[#This Row],[Reorder_Quantity]]*M402</f>
        <v>434</v>
      </c>
      <c r="L402" s="10">
        <f>tblInventory[[#This Row],[Stock_Quantity]] / tblInventory[[#This Row],[Reorder_Quantity]]</f>
        <v>0.77419354838709675</v>
      </c>
      <c r="M402" s="3">
        <v>7</v>
      </c>
      <c r="N402" s="10">
        <f t="shared" si="12"/>
        <v>0.81494057724957558</v>
      </c>
      <c r="O402" s="1" t="s">
        <v>956</v>
      </c>
      <c r="P402" s="2">
        <v>45387</v>
      </c>
      <c r="Q402" s="2">
        <v>46184</v>
      </c>
      <c r="R402" s="1" t="s">
        <v>3034</v>
      </c>
      <c r="S402" s="1">
        <v>59</v>
      </c>
      <c r="T402" s="1">
        <v>23</v>
      </c>
      <c r="U402" s="1" t="s">
        <v>46</v>
      </c>
      <c r="V402" s="3">
        <f>tblInventory[[#This Row],[Stock_Quantity]]*tblInventory[[#This Row],[Unit_Price]]</f>
        <v>336</v>
      </c>
      <c r="W402" s="1" t="str">
        <f>IF(tblInventory[[#This Row],[Status]]="Discontinued","INACTIVE",
IF(tblInventory[[#This Row],[Stock_Quantity]] &lt; tblInventory[[#This Row],[Reorder_Level]],"REORDER","OK"))</f>
        <v>OK</v>
      </c>
      <c r="X402" s="1" t="str">
        <f t="shared" ca="1" si="13"/>
        <v>Valid</v>
      </c>
    </row>
    <row r="403" spans="1:24">
      <c r="A403" s="1">
        <v>402</v>
      </c>
      <c r="B403" s="1" t="s">
        <v>3380</v>
      </c>
      <c r="C403" s="1" t="s">
        <v>758</v>
      </c>
      <c r="D403" s="1" t="s">
        <v>69</v>
      </c>
      <c r="E403" s="1" t="s">
        <v>3381</v>
      </c>
      <c r="F403" s="1" t="s">
        <v>1932</v>
      </c>
      <c r="G403" s="6">
        <v>71</v>
      </c>
      <c r="H403" s="8">
        <f>tblInventory[[#This Row],[Stock_Quantity]] * tblInventory[[#This Row],[Unit_Price]]</f>
        <v>497</v>
      </c>
      <c r="I403" s="1">
        <v>93</v>
      </c>
      <c r="J403" s="1">
        <v>75</v>
      </c>
      <c r="K403" s="8">
        <f>tblInventory[[#This Row],[Reorder_Quantity]]*M403</f>
        <v>525</v>
      </c>
      <c r="L403" s="10">
        <f>tblInventory[[#This Row],[Stock_Quantity]] / tblInventory[[#This Row],[Reorder_Quantity]]</f>
        <v>0.94666666666666666</v>
      </c>
      <c r="M403" s="3">
        <v>7</v>
      </c>
      <c r="N403" s="10">
        <f t="shared" si="12"/>
        <v>1.2054329371816639</v>
      </c>
      <c r="O403" s="2">
        <v>45545</v>
      </c>
      <c r="P403" s="1" t="s">
        <v>239</v>
      </c>
      <c r="Q403" s="2">
        <v>46444</v>
      </c>
      <c r="R403" s="1" t="s">
        <v>3382</v>
      </c>
      <c r="S403" s="1">
        <v>77</v>
      </c>
      <c r="T403" s="1">
        <v>58</v>
      </c>
      <c r="U403" s="1" t="s">
        <v>24</v>
      </c>
      <c r="V403" s="3">
        <f>tblInventory[[#This Row],[Stock_Quantity]]*tblInventory[[#This Row],[Unit_Price]]</f>
        <v>497</v>
      </c>
      <c r="W403" s="1" t="str">
        <f>IF(tblInventory[[#This Row],[Status]]="Discontinued","INACTIVE",
IF(tblInventory[[#This Row],[Stock_Quantity]] &lt; tblInventory[[#This Row],[Reorder_Level]],"REORDER","OK"))</f>
        <v>INACTIVE</v>
      </c>
      <c r="X403" s="1" t="str">
        <f t="shared" ca="1" si="13"/>
        <v>Valid</v>
      </c>
    </row>
    <row r="404" spans="1:24">
      <c r="A404" s="1">
        <v>403</v>
      </c>
      <c r="B404" s="1" t="s">
        <v>1323</v>
      </c>
      <c r="C404" s="1" t="s">
        <v>1324</v>
      </c>
      <c r="D404" s="1" t="s">
        <v>49</v>
      </c>
      <c r="E404" s="1" t="s">
        <v>1325</v>
      </c>
      <c r="F404" s="1" t="s">
        <v>1326</v>
      </c>
      <c r="G404" s="6">
        <v>88</v>
      </c>
      <c r="H404" s="8">
        <f>tblInventory[[#This Row],[Stock_Quantity]] * tblInventory[[#This Row],[Unit_Price]]</f>
        <v>484</v>
      </c>
      <c r="I404" s="1">
        <v>99</v>
      </c>
      <c r="J404" s="1">
        <v>41</v>
      </c>
      <c r="K404" s="8">
        <f>tblInventory[[#This Row],[Reorder_Quantity]]*M404</f>
        <v>225.5</v>
      </c>
      <c r="L404" s="10">
        <f>tblInventory[[#This Row],[Stock_Quantity]] / tblInventory[[#This Row],[Reorder_Quantity]]</f>
        <v>2.1463414634146343</v>
      </c>
      <c r="M404" s="3">
        <v>5.5</v>
      </c>
      <c r="N404" s="10">
        <f t="shared" si="12"/>
        <v>1.4940577249575553</v>
      </c>
      <c r="O404" s="1" t="s">
        <v>1327</v>
      </c>
      <c r="P404" s="1" t="s">
        <v>586</v>
      </c>
      <c r="Q404" s="2">
        <v>45821</v>
      </c>
      <c r="R404" s="1" t="s">
        <v>1328</v>
      </c>
      <c r="S404" s="1">
        <v>93</v>
      </c>
      <c r="T404" s="1">
        <v>99</v>
      </c>
      <c r="U404" s="1" t="s">
        <v>38</v>
      </c>
      <c r="V404" s="3">
        <f>tblInventory[[#This Row],[Stock_Quantity]]*tblInventory[[#This Row],[Unit_Price]]</f>
        <v>484</v>
      </c>
      <c r="W404" s="1" t="str">
        <f>IF(tblInventory[[#This Row],[Status]]="Discontinued","INACTIVE",
IF(tblInventory[[#This Row],[Stock_Quantity]] &lt; tblInventory[[#This Row],[Reorder_Level]],"REORDER","OK"))</f>
        <v>REORDER</v>
      </c>
      <c r="X404" s="1" t="str">
        <f t="shared" ca="1" si="13"/>
        <v>Expired</v>
      </c>
    </row>
    <row r="405" spans="1:24">
      <c r="A405" s="1">
        <v>404</v>
      </c>
      <c r="B405" s="1" t="s">
        <v>1491</v>
      </c>
      <c r="C405" s="1" t="s">
        <v>1324</v>
      </c>
      <c r="D405" s="1" t="s">
        <v>49</v>
      </c>
      <c r="E405" s="1" t="s">
        <v>1492</v>
      </c>
      <c r="F405" s="1" t="s">
        <v>1493</v>
      </c>
      <c r="G405" s="6">
        <v>82</v>
      </c>
      <c r="H405" s="8">
        <f>tblInventory[[#This Row],[Stock_Quantity]] * tblInventory[[#This Row],[Unit_Price]]</f>
        <v>451</v>
      </c>
      <c r="I405" s="1">
        <v>21</v>
      </c>
      <c r="J405" s="1">
        <v>85</v>
      </c>
      <c r="K405" s="8">
        <f>tblInventory[[#This Row],[Reorder_Quantity]]*M405</f>
        <v>467.5</v>
      </c>
      <c r="L405" s="10">
        <f>tblInventory[[#This Row],[Stock_Quantity]] / tblInventory[[#This Row],[Reorder_Quantity]]</f>
        <v>0.96470588235294119</v>
      </c>
      <c r="M405" s="3">
        <v>5.5</v>
      </c>
      <c r="N405" s="10">
        <f t="shared" si="12"/>
        <v>1.3921901528013583</v>
      </c>
      <c r="O405" s="1" t="s">
        <v>1418</v>
      </c>
      <c r="P405" s="1" t="s">
        <v>383</v>
      </c>
      <c r="Q405" s="2">
        <v>45864</v>
      </c>
      <c r="R405" s="1" t="s">
        <v>1494</v>
      </c>
      <c r="S405" s="1">
        <v>39</v>
      </c>
      <c r="T405" s="1">
        <v>18</v>
      </c>
      <c r="U405" s="1" t="s">
        <v>38</v>
      </c>
      <c r="V405" s="3">
        <f>tblInventory[[#This Row],[Stock_Quantity]]*tblInventory[[#This Row],[Unit_Price]]</f>
        <v>451</v>
      </c>
      <c r="W405" s="1" t="str">
        <f>IF(tblInventory[[#This Row],[Status]]="Discontinued","INACTIVE",
IF(tblInventory[[#This Row],[Stock_Quantity]] &lt; tblInventory[[#This Row],[Reorder_Level]],"REORDER","OK"))</f>
        <v>OK</v>
      </c>
      <c r="X405" s="1" t="str">
        <f t="shared" ca="1" si="13"/>
        <v>Expired</v>
      </c>
    </row>
    <row r="406" spans="1:24">
      <c r="A406" s="1">
        <v>405</v>
      </c>
      <c r="B406" s="1" t="s">
        <v>1515</v>
      </c>
      <c r="C406" s="1" t="s">
        <v>1324</v>
      </c>
      <c r="D406" s="1" t="s">
        <v>49</v>
      </c>
      <c r="E406" s="1" t="s">
        <v>1516</v>
      </c>
      <c r="F406" s="1" t="s">
        <v>1517</v>
      </c>
      <c r="G406" s="6">
        <v>22</v>
      </c>
      <c r="H406" s="8">
        <f>tblInventory[[#This Row],[Stock_Quantity]] * tblInventory[[#This Row],[Unit_Price]]</f>
        <v>121</v>
      </c>
      <c r="I406" s="1">
        <v>69</v>
      </c>
      <c r="J406" s="1">
        <v>87</v>
      </c>
      <c r="K406" s="8">
        <f>tblInventory[[#This Row],[Reorder_Quantity]]*M406</f>
        <v>478.5</v>
      </c>
      <c r="L406" s="10">
        <f>tblInventory[[#This Row],[Stock_Quantity]] / tblInventory[[#This Row],[Reorder_Quantity]]</f>
        <v>0.25287356321839083</v>
      </c>
      <c r="M406" s="3">
        <v>5.5</v>
      </c>
      <c r="N406" s="10">
        <f t="shared" si="12"/>
        <v>0.37351443123938882</v>
      </c>
      <c r="O406" s="2">
        <v>45902</v>
      </c>
      <c r="P406" s="1" t="s">
        <v>956</v>
      </c>
      <c r="Q406" s="2">
        <v>45696</v>
      </c>
      <c r="R406" s="1" t="s">
        <v>1518</v>
      </c>
      <c r="S406" s="1">
        <v>34</v>
      </c>
      <c r="T406" s="1">
        <v>26</v>
      </c>
      <c r="U406" s="1" t="s">
        <v>38</v>
      </c>
      <c r="V406" s="3">
        <f>tblInventory[[#This Row],[Stock_Quantity]]*tblInventory[[#This Row],[Unit_Price]]</f>
        <v>121</v>
      </c>
      <c r="W406" s="1" t="str">
        <f>IF(tblInventory[[#This Row],[Status]]="Discontinued","INACTIVE",
IF(tblInventory[[#This Row],[Stock_Quantity]] &lt; tblInventory[[#This Row],[Reorder_Level]],"REORDER","OK"))</f>
        <v>REORDER</v>
      </c>
      <c r="X406" s="1" t="str">
        <f t="shared" ca="1" si="13"/>
        <v>Expired</v>
      </c>
    </row>
    <row r="407" spans="1:24">
      <c r="A407" s="1">
        <v>406</v>
      </c>
      <c r="B407" s="1" t="s">
        <v>1540</v>
      </c>
      <c r="C407" s="1" t="s">
        <v>1324</v>
      </c>
      <c r="D407" s="1" t="s">
        <v>49</v>
      </c>
      <c r="E407" s="1" t="s">
        <v>1541</v>
      </c>
      <c r="F407" s="1" t="s">
        <v>1542</v>
      </c>
      <c r="G407" s="6">
        <v>88</v>
      </c>
      <c r="H407" s="8">
        <f>tblInventory[[#This Row],[Stock_Quantity]] * tblInventory[[#This Row],[Unit_Price]]</f>
        <v>484</v>
      </c>
      <c r="I407" s="1">
        <v>27</v>
      </c>
      <c r="J407" s="1">
        <v>92</v>
      </c>
      <c r="K407" s="8">
        <f>tblInventory[[#This Row],[Reorder_Quantity]]*M407</f>
        <v>506</v>
      </c>
      <c r="L407" s="10">
        <f>tblInventory[[#This Row],[Stock_Quantity]] / tblInventory[[#This Row],[Reorder_Quantity]]</f>
        <v>0.95652173913043481</v>
      </c>
      <c r="M407" s="3">
        <v>5.5</v>
      </c>
      <c r="N407" s="10">
        <f t="shared" si="12"/>
        <v>1.4940577249575553</v>
      </c>
      <c r="O407" s="1" t="s">
        <v>597</v>
      </c>
      <c r="P407" s="1" t="s">
        <v>304</v>
      </c>
      <c r="Q407" s="2">
        <v>45908</v>
      </c>
      <c r="R407" s="1" t="s">
        <v>1543</v>
      </c>
      <c r="S407" s="1">
        <v>57</v>
      </c>
      <c r="T407" s="1">
        <v>37</v>
      </c>
      <c r="U407" s="1" t="s">
        <v>24</v>
      </c>
      <c r="V407" s="3">
        <f>tblInventory[[#This Row],[Stock_Quantity]]*tblInventory[[#This Row],[Unit_Price]]</f>
        <v>484</v>
      </c>
      <c r="W407" s="1" t="str">
        <f>IF(tblInventory[[#This Row],[Status]]="Discontinued","INACTIVE",
IF(tblInventory[[#This Row],[Stock_Quantity]] &lt; tblInventory[[#This Row],[Reorder_Level]],"REORDER","OK"))</f>
        <v>INACTIVE</v>
      </c>
      <c r="X407" s="1" t="str">
        <f t="shared" ca="1" si="13"/>
        <v>Expired</v>
      </c>
    </row>
    <row r="408" spans="1:24">
      <c r="A408" s="1">
        <v>407</v>
      </c>
      <c r="B408" s="1" t="s">
        <v>1971</v>
      </c>
      <c r="C408" s="1" t="s">
        <v>1324</v>
      </c>
      <c r="D408" s="1" t="s">
        <v>49</v>
      </c>
      <c r="E408" s="1" t="s">
        <v>1972</v>
      </c>
      <c r="F408" s="1" t="s">
        <v>1688</v>
      </c>
      <c r="G408" s="6">
        <v>98</v>
      </c>
      <c r="H408" s="8">
        <f>tblInventory[[#This Row],[Stock_Quantity]] * tblInventory[[#This Row],[Unit_Price]]</f>
        <v>539</v>
      </c>
      <c r="I408" s="1">
        <v>62</v>
      </c>
      <c r="J408" s="1">
        <v>97</v>
      </c>
      <c r="K408" s="8">
        <f>tblInventory[[#This Row],[Reorder_Quantity]]*M408</f>
        <v>533.5</v>
      </c>
      <c r="L408" s="10">
        <f>tblInventory[[#This Row],[Stock_Quantity]] / tblInventory[[#This Row],[Reorder_Quantity]]</f>
        <v>1.0103092783505154</v>
      </c>
      <c r="M408" s="3">
        <v>5.5</v>
      </c>
      <c r="N408" s="10">
        <f t="shared" si="12"/>
        <v>1.66383701188455</v>
      </c>
      <c r="O408" s="1" t="s">
        <v>632</v>
      </c>
      <c r="P408" s="1" t="s">
        <v>1273</v>
      </c>
      <c r="Q408" s="2">
        <v>46005</v>
      </c>
      <c r="R408" s="1" t="s">
        <v>1973</v>
      </c>
      <c r="S408" s="1">
        <v>59</v>
      </c>
      <c r="T408" s="1">
        <v>19</v>
      </c>
      <c r="U408" s="1" t="s">
        <v>46</v>
      </c>
      <c r="V408" s="3">
        <f>tblInventory[[#This Row],[Stock_Quantity]]*tblInventory[[#This Row],[Unit_Price]]</f>
        <v>539</v>
      </c>
      <c r="W408" s="1" t="str">
        <f>IF(tblInventory[[#This Row],[Status]]="Discontinued","INACTIVE",
IF(tblInventory[[#This Row],[Stock_Quantity]] &lt; tblInventory[[#This Row],[Reorder_Level]],"REORDER","OK"))</f>
        <v>OK</v>
      </c>
      <c r="X408" s="1" t="str">
        <f t="shared" ca="1" si="13"/>
        <v>Valid</v>
      </c>
    </row>
    <row r="409" spans="1:24">
      <c r="A409" s="1">
        <v>408</v>
      </c>
      <c r="B409" s="1" t="s">
        <v>2122</v>
      </c>
      <c r="C409" s="1" t="s">
        <v>1324</v>
      </c>
      <c r="D409" s="1" t="s">
        <v>49</v>
      </c>
      <c r="E409" s="1" t="s">
        <v>2123</v>
      </c>
      <c r="F409" s="1" t="s">
        <v>1166</v>
      </c>
      <c r="G409" s="6">
        <v>13</v>
      </c>
      <c r="H409" s="8">
        <f>tblInventory[[#This Row],[Stock_Quantity]] * tblInventory[[#This Row],[Unit_Price]]</f>
        <v>71.5</v>
      </c>
      <c r="I409" s="1">
        <v>61</v>
      </c>
      <c r="J409" s="1">
        <v>77</v>
      </c>
      <c r="K409" s="8">
        <f>tblInventory[[#This Row],[Reorder_Quantity]]*M409</f>
        <v>423.5</v>
      </c>
      <c r="L409" s="10">
        <f>tblInventory[[#This Row],[Stock_Quantity]] / tblInventory[[#This Row],[Reorder_Quantity]]</f>
        <v>0.16883116883116883</v>
      </c>
      <c r="M409" s="3">
        <v>5.5</v>
      </c>
      <c r="N409" s="10">
        <f t="shared" si="12"/>
        <v>0.22071307300509338</v>
      </c>
      <c r="O409" s="1" t="s">
        <v>298</v>
      </c>
      <c r="P409" s="1" t="s">
        <v>1066</v>
      </c>
      <c r="Q409" s="2">
        <v>46052</v>
      </c>
      <c r="R409" s="1" t="s">
        <v>2124</v>
      </c>
      <c r="S409" s="1">
        <v>42</v>
      </c>
      <c r="T409" s="1">
        <v>18</v>
      </c>
      <c r="U409" s="1" t="s">
        <v>38</v>
      </c>
      <c r="V409" s="3">
        <f>tblInventory[[#This Row],[Stock_Quantity]]*tblInventory[[#This Row],[Unit_Price]]</f>
        <v>71.5</v>
      </c>
      <c r="W409" s="1" t="str">
        <f>IF(tblInventory[[#This Row],[Status]]="Discontinued","INACTIVE",
IF(tblInventory[[#This Row],[Stock_Quantity]] &lt; tblInventory[[#This Row],[Reorder_Level]],"REORDER","OK"))</f>
        <v>REORDER</v>
      </c>
      <c r="X409" s="1" t="str">
        <f t="shared" ca="1" si="13"/>
        <v>Valid</v>
      </c>
    </row>
    <row r="410" spans="1:24">
      <c r="A410" s="1">
        <v>409</v>
      </c>
      <c r="B410" s="1" t="s">
        <v>2226</v>
      </c>
      <c r="C410" s="1" t="s">
        <v>1324</v>
      </c>
      <c r="D410" s="1" t="s">
        <v>49</v>
      </c>
      <c r="E410" s="1" t="s">
        <v>2227</v>
      </c>
      <c r="F410" s="1" t="s">
        <v>790</v>
      </c>
      <c r="G410" s="6">
        <v>37</v>
      </c>
      <c r="H410" s="8">
        <f>tblInventory[[#This Row],[Stock_Quantity]] * tblInventory[[#This Row],[Unit_Price]]</f>
        <v>203.5</v>
      </c>
      <c r="I410" s="1">
        <v>45</v>
      </c>
      <c r="J410" s="1">
        <v>62</v>
      </c>
      <c r="K410" s="8">
        <f>tblInventory[[#This Row],[Reorder_Quantity]]*M410</f>
        <v>341</v>
      </c>
      <c r="L410" s="10">
        <f>tblInventory[[#This Row],[Stock_Quantity]] / tblInventory[[#This Row],[Reorder_Quantity]]</f>
        <v>0.59677419354838712</v>
      </c>
      <c r="M410" s="3">
        <v>5.5</v>
      </c>
      <c r="N410" s="10">
        <f t="shared" si="12"/>
        <v>0.6281833616298812</v>
      </c>
      <c r="O410" s="2">
        <v>45516</v>
      </c>
      <c r="P410" s="2">
        <v>45992</v>
      </c>
      <c r="Q410" s="2">
        <v>46056</v>
      </c>
      <c r="R410" s="1" t="s">
        <v>2228</v>
      </c>
      <c r="S410" s="1">
        <v>34</v>
      </c>
      <c r="T410" s="1">
        <v>23</v>
      </c>
      <c r="U410" s="1" t="s">
        <v>38</v>
      </c>
      <c r="V410" s="3">
        <f>tblInventory[[#This Row],[Stock_Quantity]]*tblInventory[[#This Row],[Unit_Price]]</f>
        <v>203.5</v>
      </c>
      <c r="W410" s="1" t="str">
        <f>IF(tblInventory[[#This Row],[Status]]="Discontinued","INACTIVE",
IF(tblInventory[[#This Row],[Stock_Quantity]] &lt; tblInventory[[#This Row],[Reorder_Level]],"REORDER","OK"))</f>
        <v>REORDER</v>
      </c>
      <c r="X410" s="1" t="str">
        <f t="shared" ca="1" si="13"/>
        <v>Valid</v>
      </c>
    </row>
    <row r="411" spans="1:24">
      <c r="A411" s="1">
        <v>410</v>
      </c>
      <c r="B411" s="1" t="s">
        <v>2302</v>
      </c>
      <c r="C411" s="1" t="s">
        <v>1324</v>
      </c>
      <c r="D411" s="1" t="s">
        <v>49</v>
      </c>
      <c r="E411" s="1" t="s">
        <v>2303</v>
      </c>
      <c r="F411" s="1" t="s">
        <v>1485</v>
      </c>
      <c r="G411" s="6">
        <v>87</v>
      </c>
      <c r="H411" s="8">
        <f>tblInventory[[#This Row],[Stock_Quantity]] * tblInventory[[#This Row],[Unit_Price]]</f>
        <v>478.5</v>
      </c>
      <c r="I411" s="1">
        <v>62</v>
      </c>
      <c r="J411" s="1">
        <v>2</v>
      </c>
      <c r="K411" s="8">
        <f>tblInventory[[#This Row],[Reorder_Quantity]]*M411</f>
        <v>11</v>
      </c>
      <c r="L411" s="10">
        <f>tblInventory[[#This Row],[Stock_Quantity]] / tblInventory[[#This Row],[Reorder_Quantity]]</f>
        <v>43.5</v>
      </c>
      <c r="M411" s="3">
        <v>5.5</v>
      </c>
      <c r="N411" s="10">
        <f t="shared" si="12"/>
        <v>1.4770797962648556</v>
      </c>
      <c r="O411" s="2">
        <v>45542</v>
      </c>
      <c r="P411" s="1" t="s">
        <v>681</v>
      </c>
      <c r="Q411" s="2">
        <v>46107</v>
      </c>
      <c r="R411" s="1" t="s">
        <v>2304</v>
      </c>
      <c r="S411" s="1">
        <v>22</v>
      </c>
      <c r="T411" s="1">
        <v>38</v>
      </c>
      <c r="U411" s="1" t="s">
        <v>38</v>
      </c>
      <c r="V411" s="3">
        <f>tblInventory[[#This Row],[Stock_Quantity]]*tblInventory[[#This Row],[Unit_Price]]</f>
        <v>478.5</v>
      </c>
      <c r="W411" s="1" t="str">
        <f>IF(tblInventory[[#This Row],[Status]]="Discontinued","INACTIVE",
IF(tblInventory[[#This Row],[Stock_Quantity]] &lt; tblInventory[[#This Row],[Reorder_Level]],"REORDER","OK"))</f>
        <v>OK</v>
      </c>
      <c r="X411" s="1" t="str">
        <f t="shared" ca="1" si="13"/>
        <v>Valid</v>
      </c>
    </row>
    <row r="412" spans="1:24">
      <c r="A412" s="1">
        <v>411</v>
      </c>
      <c r="B412" s="1" t="s">
        <v>2339</v>
      </c>
      <c r="C412" s="1" t="s">
        <v>1324</v>
      </c>
      <c r="D412" s="1" t="s">
        <v>49</v>
      </c>
      <c r="E412" s="1" t="s">
        <v>2340</v>
      </c>
      <c r="F412" s="1" t="s">
        <v>291</v>
      </c>
      <c r="G412" s="6">
        <v>38</v>
      </c>
      <c r="H412" s="8">
        <f>tblInventory[[#This Row],[Stock_Quantity]] * tblInventory[[#This Row],[Unit_Price]]</f>
        <v>209</v>
      </c>
      <c r="I412" s="1">
        <v>72</v>
      </c>
      <c r="J412" s="1">
        <v>39</v>
      </c>
      <c r="K412" s="8">
        <f>tblInventory[[#This Row],[Reorder_Quantity]]*M412</f>
        <v>214.5</v>
      </c>
      <c r="L412" s="10">
        <f>tblInventory[[#This Row],[Stock_Quantity]] / tblInventory[[#This Row],[Reorder_Quantity]]</f>
        <v>0.97435897435897434</v>
      </c>
      <c r="M412" s="3">
        <v>5.5</v>
      </c>
      <c r="N412" s="10">
        <f t="shared" si="12"/>
        <v>0.64516129032258063</v>
      </c>
      <c r="O412" s="2">
        <v>45572</v>
      </c>
      <c r="P412" s="1" t="s">
        <v>197</v>
      </c>
      <c r="Q412" s="2">
        <v>46207</v>
      </c>
      <c r="R412" s="1" t="s">
        <v>2341</v>
      </c>
      <c r="S412" s="1">
        <v>59</v>
      </c>
      <c r="T412" s="1">
        <v>8</v>
      </c>
      <c r="U412" s="1" t="s">
        <v>46</v>
      </c>
      <c r="V412" s="3">
        <f>tblInventory[[#This Row],[Stock_Quantity]]*tblInventory[[#This Row],[Unit_Price]]</f>
        <v>209</v>
      </c>
      <c r="W412" s="1" t="str">
        <f>IF(tblInventory[[#This Row],[Status]]="Discontinued","INACTIVE",
IF(tblInventory[[#This Row],[Stock_Quantity]] &lt; tblInventory[[#This Row],[Reorder_Level]],"REORDER","OK"))</f>
        <v>REORDER</v>
      </c>
      <c r="X412" s="1" t="str">
        <f t="shared" ca="1" si="13"/>
        <v>Valid</v>
      </c>
    </row>
    <row r="413" spans="1:24">
      <c r="A413" s="1">
        <v>412</v>
      </c>
      <c r="B413" s="1" t="s">
        <v>2438</v>
      </c>
      <c r="C413" s="1" t="s">
        <v>1324</v>
      </c>
      <c r="D413" s="1" t="s">
        <v>49</v>
      </c>
      <c r="E413" s="1" t="s">
        <v>2439</v>
      </c>
      <c r="F413" s="1" t="s">
        <v>719</v>
      </c>
      <c r="G413" s="6">
        <v>25</v>
      </c>
      <c r="H413" s="8">
        <f>tblInventory[[#This Row],[Stock_Quantity]] * tblInventory[[#This Row],[Unit_Price]]</f>
        <v>137.5</v>
      </c>
      <c r="I413" s="1">
        <v>74</v>
      </c>
      <c r="J413" s="1">
        <v>100</v>
      </c>
      <c r="K413" s="8">
        <f>tblInventory[[#This Row],[Reorder_Quantity]]*M413</f>
        <v>550</v>
      </c>
      <c r="L413" s="10">
        <f>tblInventory[[#This Row],[Stock_Quantity]] / tblInventory[[#This Row],[Reorder_Quantity]]</f>
        <v>0.25</v>
      </c>
      <c r="M413" s="3">
        <v>5.5</v>
      </c>
      <c r="N413" s="10">
        <f t="shared" si="12"/>
        <v>0.42444821731748728</v>
      </c>
      <c r="O413" s="2">
        <v>45479</v>
      </c>
      <c r="P413" s="2">
        <v>45485</v>
      </c>
      <c r="Q413" s="2">
        <v>46208</v>
      </c>
      <c r="R413" s="1" t="s">
        <v>2440</v>
      </c>
      <c r="S413" s="1">
        <v>41</v>
      </c>
      <c r="T413" s="1">
        <v>59</v>
      </c>
      <c r="U413" s="1" t="s">
        <v>24</v>
      </c>
      <c r="V413" s="3">
        <f>tblInventory[[#This Row],[Stock_Quantity]]*tblInventory[[#This Row],[Unit_Price]]</f>
        <v>137.5</v>
      </c>
      <c r="W413" s="1" t="str">
        <f>IF(tblInventory[[#This Row],[Status]]="Discontinued","INACTIVE",
IF(tblInventory[[#This Row],[Stock_Quantity]] &lt; tblInventory[[#This Row],[Reorder_Level]],"REORDER","OK"))</f>
        <v>INACTIVE</v>
      </c>
      <c r="X413" s="1" t="str">
        <f t="shared" ca="1" si="13"/>
        <v>Valid</v>
      </c>
    </row>
    <row r="414" spans="1:24">
      <c r="A414" s="1">
        <v>413</v>
      </c>
      <c r="B414" s="1" t="s">
        <v>2518</v>
      </c>
      <c r="C414" s="1" t="s">
        <v>1324</v>
      </c>
      <c r="D414" s="1" t="s">
        <v>49</v>
      </c>
      <c r="E414" s="1" t="s">
        <v>2519</v>
      </c>
      <c r="F414" s="1" t="s">
        <v>1882</v>
      </c>
      <c r="G414" s="6">
        <v>99</v>
      </c>
      <c r="H414" s="8">
        <f>tblInventory[[#This Row],[Stock_Quantity]] * tblInventory[[#This Row],[Unit_Price]]</f>
        <v>544.5</v>
      </c>
      <c r="I414" s="1">
        <v>68</v>
      </c>
      <c r="J414" s="1">
        <v>1</v>
      </c>
      <c r="K414" s="8">
        <f>tblInventory[[#This Row],[Reorder_Quantity]]*M414</f>
        <v>5.5</v>
      </c>
      <c r="L414" s="10">
        <f>tblInventory[[#This Row],[Stock_Quantity]] / tblInventory[[#This Row],[Reorder_Quantity]]</f>
        <v>99</v>
      </c>
      <c r="M414" s="3">
        <v>5.5</v>
      </c>
      <c r="N414" s="10">
        <f t="shared" si="12"/>
        <v>1.6808149405772497</v>
      </c>
      <c r="O414" s="1" t="s">
        <v>824</v>
      </c>
      <c r="P414" s="1" t="s">
        <v>622</v>
      </c>
      <c r="Q414" s="2">
        <v>46173</v>
      </c>
      <c r="R414" s="1" t="s">
        <v>2520</v>
      </c>
      <c r="S414" s="1">
        <v>59</v>
      </c>
      <c r="T414" s="1">
        <v>16</v>
      </c>
      <c r="U414" s="1" t="s">
        <v>24</v>
      </c>
      <c r="V414" s="3">
        <f>tblInventory[[#This Row],[Stock_Quantity]]*tblInventory[[#This Row],[Unit_Price]]</f>
        <v>544.5</v>
      </c>
      <c r="W414" s="1" t="str">
        <f>IF(tblInventory[[#This Row],[Status]]="Discontinued","INACTIVE",
IF(tblInventory[[#This Row],[Stock_Quantity]] &lt; tblInventory[[#This Row],[Reorder_Level]],"REORDER","OK"))</f>
        <v>INACTIVE</v>
      </c>
      <c r="X414" s="1" t="str">
        <f t="shared" ca="1" si="13"/>
        <v>Valid</v>
      </c>
    </row>
    <row r="415" spans="1:24">
      <c r="A415" s="1">
        <v>414</v>
      </c>
      <c r="B415" s="1" t="s">
        <v>2565</v>
      </c>
      <c r="C415" s="1" t="s">
        <v>1324</v>
      </c>
      <c r="D415" s="1" t="s">
        <v>49</v>
      </c>
      <c r="E415" s="1" t="s">
        <v>2566</v>
      </c>
      <c r="F415" s="1" t="s">
        <v>2567</v>
      </c>
      <c r="G415" s="6">
        <v>59</v>
      </c>
      <c r="H415" s="8">
        <f>tblInventory[[#This Row],[Stock_Quantity]] * tblInventory[[#This Row],[Unit_Price]]</f>
        <v>324.5</v>
      </c>
      <c r="I415" s="1">
        <v>29</v>
      </c>
      <c r="J415" s="1">
        <v>100</v>
      </c>
      <c r="K415" s="8">
        <f>tblInventory[[#This Row],[Reorder_Quantity]]*M415</f>
        <v>550</v>
      </c>
      <c r="L415" s="10">
        <f>tblInventory[[#This Row],[Stock_Quantity]] / tblInventory[[#This Row],[Reorder_Quantity]]</f>
        <v>0.59</v>
      </c>
      <c r="M415" s="3">
        <v>5.5</v>
      </c>
      <c r="N415" s="10">
        <f t="shared" si="12"/>
        <v>1.0016977928692701</v>
      </c>
      <c r="O415" s="2">
        <v>45386</v>
      </c>
      <c r="P415" s="1" t="s">
        <v>1134</v>
      </c>
      <c r="Q415" s="2">
        <v>46187</v>
      </c>
      <c r="R415" s="1" t="s">
        <v>2568</v>
      </c>
      <c r="S415" s="1">
        <v>74</v>
      </c>
      <c r="T415" s="1">
        <v>16</v>
      </c>
      <c r="U415" s="1" t="s">
        <v>24</v>
      </c>
      <c r="V415" s="3">
        <f>tblInventory[[#This Row],[Stock_Quantity]]*tblInventory[[#This Row],[Unit_Price]]</f>
        <v>324.5</v>
      </c>
      <c r="W415" s="1" t="str">
        <f>IF(tblInventory[[#This Row],[Status]]="Discontinued","INACTIVE",
IF(tblInventory[[#This Row],[Stock_Quantity]] &lt; tblInventory[[#This Row],[Reorder_Level]],"REORDER","OK"))</f>
        <v>INACTIVE</v>
      </c>
      <c r="X415" s="1" t="str">
        <f t="shared" ca="1" si="13"/>
        <v>Valid</v>
      </c>
    </row>
    <row r="416" spans="1:24">
      <c r="A416" s="1">
        <v>415</v>
      </c>
      <c r="B416" s="1" t="s">
        <v>3142</v>
      </c>
      <c r="C416" s="1" t="s">
        <v>1324</v>
      </c>
      <c r="D416" s="1" t="s">
        <v>49</v>
      </c>
      <c r="E416" s="1" t="s">
        <v>3143</v>
      </c>
      <c r="F416" s="1" t="s">
        <v>210</v>
      </c>
      <c r="G416" s="6">
        <v>54</v>
      </c>
      <c r="H416" s="8">
        <f>tblInventory[[#This Row],[Stock_Quantity]] * tblInventory[[#This Row],[Unit_Price]]</f>
        <v>297</v>
      </c>
      <c r="I416" s="1">
        <v>88</v>
      </c>
      <c r="J416" s="1">
        <v>43</v>
      </c>
      <c r="K416" s="8">
        <f>tblInventory[[#This Row],[Reorder_Quantity]]*M416</f>
        <v>236.5</v>
      </c>
      <c r="L416" s="10">
        <f>tblInventory[[#This Row],[Stock_Quantity]] / tblInventory[[#This Row],[Reorder_Quantity]]</f>
        <v>1.2558139534883721</v>
      </c>
      <c r="M416" s="3">
        <v>5.5</v>
      </c>
      <c r="N416" s="10">
        <f t="shared" si="12"/>
        <v>0.91680814940577249</v>
      </c>
      <c r="O416" s="2">
        <v>45993</v>
      </c>
      <c r="P416" s="1" t="s">
        <v>89</v>
      </c>
      <c r="Q416" s="2">
        <v>46338</v>
      </c>
      <c r="R416" s="1" t="s">
        <v>3144</v>
      </c>
      <c r="S416" s="1">
        <v>81</v>
      </c>
      <c r="T416" s="1">
        <v>77</v>
      </c>
      <c r="U416" s="1" t="s">
        <v>38</v>
      </c>
      <c r="V416" s="3">
        <f>tblInventory[[#This Row],[Stock_Quantity]]*tblInventory[[#This Row],[Unit_Price]]</f>
        <v>297</v>
      </c>
      <c r="W416" s="1" t="str">
        <f>IF(tblInventory[[#This Row],[Status]]="Discontinued","INACTIVE",
IF(tblInventory[[#This Row],[Stock_Quantity]] &lt; tblInventory[[#This Row],[Reorder_Level]],"REORDER","OK"))</f>
        <v>REORDER</v>
      </c>
      <c r="X416" s="1" t="str">
        <f t="shared" ca="1" si="13"/>
        <v>Valid</v>
      </c>
    </row>
    <row r="417" spans="1:24">
      <c r="A417" s="1">
        <v>416</v>
      </c>
      <c r="B417" s="1" t="s">
        <v>3182</v>
      </c>
      <c r="C417" s="1" t="s">
        <v>1324</v>
      </c>
      <c r="D417" s="1" t="s">
        <v>49</v>
      </c>
      <c r="E417" s="1" t="s">
        <v>3183</v>
      </c>
      <c r="F417" s="1" t="s">
        <v>2181</v>
      </c>
      <c r="G417" s="6">
        <v>30</v>
      </c>
      <c r="H417" s="8">
        <f>tblInventory[[#This Row],[Stock_Quantity]] * tblInventory[[#This Row],[Unit_Price]]</f>
        <v>165</v>
      </c>
      <c r="I417" s="1">
        <v>66</v>
      </c>
      <c r="J417" s="1">
        <v>28</v>
      </c>
      <c r="K417" s="8">
        <f>tblInventory[[#This Row],[Reorder_Quantity]]*M417</f>
        <v>154</v>
      </c>
      <c r="L417" s="10">
        <f>tblInventory[[#This Row],[Stock_Quantity]] / tblInventory[[#This Row],[Reorder_Quantity]]</f>
        <v>1.0714285714285714</v>
      </c>
      <c r="M417" s="3">
        <v>5.5</v>
      </c>
      <c r="N417" s="10">
        <f t="shared" si="12"/>
        <v>0.50933786078098475</v>
      </c>
      <c r="O417" s="2">
        <v>45543</v>
      </c>
      <c r="P417" s="2">
        <v>45871</v>
      </c>
      <c r="Q417" s="2">
        <v>46380</v>
      </c>
      <c r="R417" s="1" t="s">
        <v>3184</v>
      </c>
      <c r="S417" s="1">
        <v>63</v>
      </c>
      <c r="T417" s="1">
        <v>98</v>
      </c>
      <c r="U417" s="1" t="s">
        <v>46</v>
      </c>
      <c r="V417" s="3">
        <f>tblInventory[[#This Row],[Stock_Quantity]]*tblInventory[[#This Row],[Unit_Price]]</f>
        <v>165</v>
      </c>
      <c r="W417" s="1" t="str">
        <f>IF(tblInventory[[#This Row],[Status]]="Discontinued","INACTIVE",
IF(tblInventory[[#This Row],[Stock_Quantity]] &lt; tblInventory[[#This Row],[Reorder_Level]],"REORDER","OK"))</f>
        <v>REORDER</v>
      </c>
      <c r="X417" s="1" t="str">
        <f t="shared" ca="1" si="13"/>
        <v>Valid</v>
      </c>
    </row>
    <row r="418" spans="1:24">
      <c r="A418" s="1">
        <v>417</v>
      </c>
      <c r="B418" s="1" t="s">
        <v>73</v>
      </c>
      <c r="C418" s="1" t="s">
        <v>74</v>
      </c>
      <c r="D418" s="1" t="s">
        <v>69</v>
      </c>
      <c r="E418" s="1" t="s">
        <v>75</v>
      </c>
      <c r="F418" s="1" t="s">
        <v>76</v>
      </c>
      <c r="G418" s="6">
        <v>91</v>
      </c>
      <c r="H418" s="8">
        <f>tblInventory[[#This Row],[Stock_Quantity]] * tblInventory[[#This Row],[Unit_Price]]</f>
        <v>273</v>
      </c>
      <c r="I418" s="1">
        <v>84</v>
      </c>
      <c r="J418" s="1">
        <v>11</v>
      </c>
      <c r="K418" s="8">
        <f>tblInventory[[#This Row],[Reorder_Quantity]]*M418</f>
        <v>33</v>
      </c>
      <c r="L418" s="10">
        <f>tblInventory[[#This Row],[Stock_Quantity]] / tblInventory[[#This Row],[Reorder_Quantity]]</f>
        <v>8.2727272727272734</v>
      </c>
      <c r="M418" s="3">
        <v>3</v>
      </c>
      <c r="N418" s="10">
        <f t="shared" si="12"/>
        <v>1.5449915110356538</v>
      </c>
      <c r="O418" s="2">
        <v>45394</v>
      </c>
      <c r="P418" s="2">
        <v>45328</v>
      </c>
      <c r="Q418" s="2">
        <v>45562</v>
      </c>
      <c r="R418" s="1" t="s">
        <v>77</v>
      </c>
      <c r="S418" s="1">
        <v>56</v>
      </c>
      <c r="T418" s="1">
        <v>90</v>
      </c>
      <c r="U418" s="1" t="s">
        <v>46</v>
      </c>
      <c r="V418" s="3">
        <f>tblInventory[[#This Row],[Stock_Quantity]]*tblInventory[[#This Row],[Unit_Price]]</f>
        <v>273</v>
      </c>
      <c r="W418" s="1" t="str">
        <f>IF(tblInventory[[#This Row],[Status]]="Discontinued","INACTIVE",
IF(tblInventory[[#This Row],[Stock_Quantity]] &lt; tblInventory[[#This Row],[Reorder_Level]],"REORDER","OK"))</f>
        <v>OK</v>
      </c>
      <c r="X418" s="1" t="str">
        <f t="shared" ca="1" si="13"/>
        <v>Expired</v>
      </c>
    </row>
    <row r="419" spans="1:24">
      <c r="A419" s="1">
        <v>418</v>
      </c>
      <c r="B419" s="1" t="s">
        <v>768</v>
      </c>
      <c r="C419" s="1" t="s">
        <v>74</v>
      </c>
      <c r="D419" s="1" t="s">
        <v>69</v>
      </c>
      <c r="E419" s="1" t="s">
        <v>769</v>
      </c>
      <c r="F419" s="1" t="s">
        <v>760</v>
      </c>
      <c r="G419" s="6">
        <v>62</v>
      </c>
      <c r="H419" s="8">
        <f>tblInventory[[#This Row],[Stock_Quantity]] * tblInventory[[#This Row],[Unit_Price]]</f>
        <v>186</v>
      </c>
      <c r="I419" s="1">
        <v>2</v>
      </c>
      <c r="J419" s="1">
        <v>98</v>
      </c>
      <c r="K419" s="8">
        <f>tblInventory[[#This Row],[Reorder_Quantity]]*M419</f>
        <v>294</v>
      </c>
      <c r="L419" s="10">
        <f>tblInventory[[#This Row],[Stock_Quantity]] / tblInventory[[#This Row],[Reorder_Quantity]]</f>
        <v>0.63265306122448983</v>
      </c>
      <c r="M419" s="3">
        <v>3</v>
      </c>
      <c r="N419" s="10">
        <f t="shared" si="12"/>
        <v>1.0526315789473684</v>
      </c>
      <c r="O419" s="1" t="s">
        <v>770</v>
      </c>
      <c r="P419" s="1" t="s">
        <v>335</v>
      </c>
      <c r="Q419" s="2">
        <v>45687</v>
      </c>
      <c r="R419" s="1" t="s">
        <v>771</v>
      </c>
      <c r="S419" s="1">
        <v>50</v>
      </c>
      <c r="T419" s="1">
        <v>11</v>
      </c>
      <c r="U419" s="1" t="s">
        <v>24</v>
      </c>
      <c r="V419" s="3">
        <f>tblInventory[[#This Row],[Stock_Quantity]]*tblInventory[[#This Row],[Unit_Price]]</f>
        <v>186</v>
      </c>
      <c r="W419" s="1" t="str">
        <f>IF(tblInventory[[#This Row],[Status]]="Discontinued","INACTIVE",
IF(tblInventory[[#This Row],[Stock_Quantity]] &lt; tblInventory[[#This Row],[Reorder_Level]],"REORDER","OK"))</f>
        <v>INACTIVE</v>
      </c>
      <c r="X419" s="1" t="str">
        <f t="shared" ca="1" si="13"/>
        <v>Expired</v>
      </c>
    </row>
    <row r="420" spans="1:24">
      <c r="A420" s="1">
        <v>419</v>
      </c>
      <c r="B420" s="1" t="s">
        <v>1088</v>
      </c>
      <c r="C420" s="1" t="s">
        <v>74</v>
      </c>
      <c r="D420" s="1" t="s">
        <v>49</v>
      </c>
      <c r="E420" s="1" t="s">
        <v>1089</v>
      </c>
      <c r="F420" s="1" t="s">
        <v>845</v>
      </c>
      <c r="G420" s="6">
        <v>62</v>
      </c>
      <c r="H420" s="8">
        <f>tblInventory[[#This Row],[Stock_Quantity]] * tblInventory[[#This Row],[Unit_Price]]</f>
        <v>3172.54</v>
      </c>
      <c r="I420" s="1">
        <v>44</v>
      </c>
      <c r="J420" s="1">
        <v>11</v>
      </c>
      <c r="K420" s="8">
        <f>tblInventory[[#This Row],[Reorder_Quantity]]*M420</f>
        <v>562.87</v>
      </c>
      <c r="L420" s="10">
        <f>tblInventory[[#This Row],[Stock_Quantity]] / tblInventory[[#This Row],[Reorder_Quantity]]</f>
        <v>5.6363636363636367</v>
      </c>
      <c r="M420" s="3">
        <v>51.17</v>
      </c>
      <c r="N420" s="10">
        <f t="shared" si="12"/>
        <v>1.0526315789473684</v>
      </c>
      <c r="O420" s="2">
        <v>45870</v>
      </c>
      <c r="P420" s="1" t="s">
        <v>1090</v>
      </c>
      <c r="Q420" s="2">
        <v>45762</v>
      </c>
      <c r="R420" s="1" t="s">
        <v>1091</v>
      </c>
      <c r="S420" s="1">
        <v>92</v>
      </c>
      <c r="T420" s="1">
        <v>37</v>
      </c>
      <c r="U420" s="1" t="s">
        <v>24</v>
      </c>
      <c r="V420" s="3">
        <f>tblInventory[[#This Row],[Stock_Quantity]]*tblInventory[[#This Row],[Unit_Price]]</f>
        <v>3172.54</v>
      </c>
      <c r="W420" s="1" t="str">
        <f>IF(tblInventory[[#This Row],[Status]]="Discontinued","INACTIVE",
IF(tblInventory[[#This Row],[Stock_Quantity]] &lt; tblInventory[[#This Row],[Reorder_Level]],"REORDER","OK"))</f>
        <v>INACTIVE</v>
      </c>
      <c r="X420" s="1" t="str">
        <f t="shared" ca="1" si="13"/>
        <v>Expired</v>
      </c>
    </row>
    <row r="421" spans="1:24">
      <c r="A421" s="1">
        <v>420</v>
      </c>
      <c r="B421" s="1" t="s">
        <v>1122</v>
      </c>
      <c r="C421" s="1" t="s">
        <v>74</v>
      </c>
      <c r="D421" s="1" t="s">
        <v>69</v>
      </c>
      <c r="E421" s="1" t="s">
        <v>1123</v>
      </c>
      <c r="F421" s="1" t="s">
        <v>1124</v>
      </c>
      <c r="G421" s="6">
        <v>90</v>
      </c>
      <c r="H421" s="8">
        <f>tblInventory[[#This Row],[Stock_Quantity]] * tblInventory[[#This Row],[Unit_Price]]</f>
        <v>270</v>
      </c>
      <c r="I421" s="1">
        <v>62</v>
      </c>
      <c r="J421" s="1">
        <v>54</v>
      </c>
      <c r="K421" s="8">
        <f>tblInventory[[#This Row],[Reorder_Quantity]]*M421</f>
        <v>162</v>
      </c>
      <c r="L421" s="10">
        <f>tblInventory[[#This Row],[Stock_Quantity]] / tblInventory[[#This Row],[Reorder_Quantity]]</f>
        <v>1.6666666666666667</v>
      </c>
      <c r="M421" s="3">
        <v>3</v>
      </c>
      <c r="N421" s="10">
        <f t="shared" si="12"/>
        <v>1.5280135823429541</v>
      </c>
      <c r="O421" s="1" t="s">
        <v>1120</v>
      </c>
      <c r="P421" s="2">
        <v>45482</v>
      </c>
      <c r="Q421" s="2">
        <v>45770</v>
      </c>
      <c r="R421" s="1" t="s">
        <v>1126</v>
      </c>
      <c r="S421" s="1">
        <v>70</v>
      </c>
      <c r="T421" s="1">
        <v>83</v>
      </c>
      <c r="U421" s="1" t="s">
        <v>24</v>
      </c>
      <c r="V421" s="3">
        <f>tblInventory[[#This Row],[Stock_Quantity]]*tblInventory[[#This Row],[Unit_Price]]</f>
        <v>270</v>
      </c>
      <c r="W421" s="1" t="str">
        <f>IF(tblInventory[[#This Row],[Status]]="Discontinued","INACTIVE",
IF(tblInventory[[#This Row],[Stock_Quantity]] &lt; tblInventory[[#This Row],[Reorder_Level]],"REORDER","OK"))</f>
        <v>INACTIVE</v>
      </c>
      <c r="X421" s="1" t="str">
        <f t="shared" ca="1" si="13"/>
        <v>Expired</v>
      </c>
    </row>
    <row r="422" spans="1:24">
      <c r="A422" s="1">
        <v>421</v>
      </c>
      <c r="B422" s="1" t="s">
        <v>1450</v>
      </c>
      <c r="C422" s="1" t="s">
        <v>74</v>
      </c>
      <c r="D422" s="1" t="s">
        <v>69</v>
      </c>
      <c r="E422" s="1" t="s">
        <v>1451</v>
      </c>
      <c r="F422" s="1" t="s">
        <v>1452</v>
      </c>
      <c r="G422" s="6">
        <v>26</v>
      </c>
      <c r="H422" s="8">
        <f>tblInventory[[#This Row],[Stock_Quantity]] * tblInventory[[#This Row],[Unit_Price]]</f>
        <v>78</v>
      </c>
      <c r="I422" s="1">
        <v>54</v>
      </c>
      <c r="J422" s="1">
        <v>90</v>
      </c>
      <c r="K422" s="8">
        <f>tblInventory[[#This Row],[Reorder_Quantity]]*M422</f>
        <v>270</v>
      </c>
      <c r="L422" s="10">
        <f>tblInventory[[#This Row],[Stock_Quantity]] / tblInventory[[#This Row],[Reorder_Quantity]]</f>
        <v>0.28888888888888886</v>
      </c>
      <c r="M422" s="3">
        <v>3</v>
      </c>
      <c r="N422" s="10">
        <f t="shared" si="12"/>
        <v>0.44142614601018676</v>
      </c>
      <c r="O422" s="1" t="s">
        <v>1150</v>
      </c>
      <c r="P422" s="1" t="s">
        <v>751</v>
      </c>
      <c r="Q422" s="2">
        <v>45853</v>
      </c>
      <c r="R422" s="1" t="s">
        <v>1453</v>
      </c>
      <c r="S422" s="1">
        <v>25</v>
      </c>
      <c r="T422" s="1">
        <v>81</v>
      </c>
      <c r="U422" s="1" t="s">
        <v>46</v>
      </c>
      <c r="V422" s="3">
        <f>tblInventory[[#This Row],[Stock_Quantity]]*tblInventory[[#This Row],[Unit_Price]]</f>
        <v>78</v>
      </c>
      <c r="W422" s="1" t="str">
        <f>IF(tblInventory[[#This Row],[Status]]="Discontinued","INACTIVE",
IF(tblInventory[[#This Row],[Stock_Quantity]] &lt; tblInventory[[#This Row],[Reorder_Level]],"REORDER","OK"))</f>
        <v>REORDER</v>
      </c>
      <c r="X422" s="1" t="str">
        <f t="shared" ca="1" si="13"/>
        <v>Expired</v>
      </c>
    </row>
    <row r="423" spans="1:24">
      <c r="A423" s="1">
        <v>422</v>
      </c>
      <c r="B423" s="1" t="s">
        <v>2274</v>
      </c>
      <c r="C423" s="1" t="s">
        <v>74</v>
      </c>
      <c r="D423" s="1" t="s">
        <v>69</v>
      </c>
      <c r="E423" s="1" t="s">
        <v>2275</v>
      </c>
      <c r="F423" s="1" t="s">
        <v>740</v>
      </c>
      <c r="G423" s="6">
        <v>39</v>
      </c>
      <c r="H423" s="8">
        <f>tblInventory[[#This Row],[Stock_Quantity]] * tblInventory[[#This Row],[Unit_Price]]</f>
        <v>117</v>
      </c>
      <c r="I423" s="1">
        <v>55</v>
      </c>
      <c r="J423" s="1">
        <v>39</v>
      </c>
      <c r="K423" s="8">
        <f>tblInventory[[#This Row],[Reorder_Quantity]]*M423</f>
        <v>117</v>
      </c>
      <c r="L423" s="10">
        <f>tblInventory[[#This Row],[Stock_Quantity]] / tblInventory[[#This Row],[Reorder_Quantity]]</f>
        <v>1</v>
      </c>
      <c r="M423" s="3">
        <v>3</v>
      </c>
      <c r="N423" s="10">
        <f t="shared" si="12"/>
        <v>0.66213921901528017</v>
      </c>
      <c r="O423" s="1" t="s">
        <v>665</v>
      </c>
      <c r="P423" s="2">
        <v>45480</v>
      </c>
      <c r="Q423" s="2">
        <v>46098</v>
      </c>
      <c r="R423" s="1" t="s">
        <v>2276</v>
      </c>
      <c r="S423" s="1">
        <v>47</v>
      </c>
      <c r="T423" s="1">
        <v>59</v>
      </c>
      <c r="U423" s="1" t="s">
        <v>38</v>
      </c>
      <c r="V423" s="3">
        <f>tblInventory[[#This Row],[Stock_Quantity]]*tblInventory[[#This Row],[Unit_Price]]</f>
        <v>117</v>
      </c>
      <c r="W423" s="1" t="str">
        <f>IF(tblInventory[[#This Row],[Status]]="Discontinued","INACTIVE",
IF(tblInventory[[#This Row],[Stock_Quantity]] &lt; tblInventory[[#This Row],[Reorder_Level]],"REORDER","OK"))</f>
        <v>REORDER</v>
      </c>
      <c r="X423" s="1" t="str">
        <f t="shared" ca="1" si="13"/>
        <v>Valid</v>
      </c>
    </row>
    <row r="424" spans="1:24">
      <c r="A424" s="1">
        <v>423</v>
      </c>
      <c r="B424" s="1" t="s">
        <v>2776</v>
      </c>
      <c r="C424" s="1" t="s">
        <v>74</v>
      </c>
      <c r="D424" s="1" t="s">
        <v>49</v>
      </c>
      <c r="E424" s="1" t="s">
        <v>2777</v>
      </c>
      <c r="F424" s="1" t="s">
        <v>2778</v>
      </c>
      <c r="G424" s="6">
        <v>28</v>
      </c>
      <c r="H424" s="8">
        <f>tblInventory[[#This Row],[Stock_Quantity]] * tblInventory[[#This Row],[Unit_Price]]</f>
        <v>1192.24</v>
      </c>
      <c r="I424" s="1">
        <v>38</v>
      </c>
      <c r="J424" s="1">
        <v>23</v>
      </c>
      <c r="K424" s="8">
        <f>tblInventory[[#This Row],[Reorder_Quantity]]*M424</f>
        <v>979.33999999999992</v>
      </c>
      <c r="L424" s="10">
        <f>tblInventory[[#This Row],[Stock_Quantity]] / tblInventory[[#This Row],[Reorder_Quantity]]</f>
        <v>1.2173913043478262</v>
      </c>
      <c r="M424" s="3">
        <v>42.58</v>
      </c>
      <c r="N424" s="10">
        <f t="shared" si="12"/>
        <v>0.47538200339558573</v>
      </c>
      <c r="O424" s="1" t="s">
        <v>246</v>
      </c>
      <c r="P424" s="1" t="s">
        <v>1125</v>
      </c>
      <c r="Q424" s="2">
        <v>46253</v>
      </c>
      <c r="R424" s="1" t="s">
        <v>2779</v>
      </c>
      <c r="S424" s="1">
        <v>48</v>
      </c>
      <c r="T424" s="1">
        <v>56</v>
      </c>
      <c r="U424" s="1" t="s">
        <v>38</v>
      </c>
      <c r="V424" s="3">
        <f>tblInventory[[#This Row],[Stock_Quantity]]*tblInventory[[#This Row],[Unit_Price]]</f>
        <v>1192.24</v>
      </c>
      <c r="W424" s="1" t="str">
        <f>IF(tblInventory[[#This Row],[Status]]="Discontinued","INACTIVE",
IF(tblInventory[[#This Row],[Stock_Quantity]] &lt; tblInventory[[#This Row],[Reorder_Level]],"REORDER","OK"))</f>
        <v>REORDER</v>
      </c>
      <c r="X424" s="1" t="str">
        <f t="shared" ca="1" si="13"/>
        <v>Valid</v>
      </c>
    </row>
    <row r="425" spans="1:24">
      <c r="A425" s="1">
        <v>424</v>
      </c>
      <c r="B425" s="1" t="s">
        <v>160</v>
      </c>
      <c r="C425" s="1" t="s">
        <v>161</v>
      </c>
      <c r="D425" s="1" t="s">
        <v>49</v>
      </c>
      <c r="E425" s="1" t="s">
        <v>162</v>
      </c>
      <c r="F425" s="1" t="s">
        <v>163</v>
      </c>
      <c r="G425" s="6">
        <v>81</v>
      </c>
      <c r="H425" s="8">
        <f>tblInventory[[#This Row],[Stock_Quantity]] * tblInventory[[#This Row],[Unit_Price]]</f>
        <v>162</v>
      </c>
      <c r="I425" s="1">
        <v>99</v>
      </c>
      <c r="J425" s="1">
        <v>28</v>
      </c>
      <c r="K425" s="8">
        <f>tblInventory[[#This Row],[Reorder_Quantity]]*M425</f>
        <v>56</v>
      </c>
      <c r="L425" s="10">
        <f>tblInventory[[#This Row],[Stock_Quantity]] / tblInventory[[#This Row],[Reorder_Quantity]]</f>
        <v>2.8928571428571428</v>
      </c>
      <c r="M425" s="3">
        <v>2</v>
      </c>
      <c r="N425" s="10">
        <f t="shared" si="12"/>
        <v>1.3752122241086588</v>
      </c>
      <c r="O425" s="1" t="s">
        <v>164</v>
      </c>
      <c r="P425" s="1" t="s">
        <v>165</v>
      </c>
      <c r="Q425" s="2">
        <v>45606</v>
      </c>
      <c r="R425" s="1" t="s">
        <v>167</v>
      </c>
      <c r="S425" s="1">
        <v>20</v>
      </c>
      <c r="T425" s="1">
        <v>85</v>
      </c>
      <c r="U425" s="1" t="s">
        <v>24</v>
      </c>
      <c r="V425" s="3">
        <f>tblInventory[[#This Row],[Stock_Quantity]]*tblInventory[[#This Row],[Unit_Price]]</f>
        <v>162</v>
      </c>
      <c r="W425" s="1" t="str">
        <f>IF(tblInventory[[#This Row],[Status]]="Discontinued","INACTIVE",
IF(tblInventory[[#This Row],[Stock_Quantity]] &lt; tblInventory[[#This Row],[Reorder_Level]],"REORDER","OK"))</f>
        <v>INACTIVE</v>
      </c>
      <c r="X425" s="1" t="str">
        <f t="shared" ca="1" si="13"/>
        <v>Expired</v>
      </c>
    </row>
    <row r="426" spans="1:24">
      <c r="A426" s="1">
        <v>425</v>
      </c>
      <c r="B426" s="1" t="s">
        <v>1551</v>
      </c>
      <c r="C426" s="1" t="s">
        <v>161</v>
      </c>
      <c r="D426" s="1" t="s">
        <v>49</v>
      </c>
      <c r="E426" s="1" t="s">
        <v>1552</v>
      </c>
      <c r="F426" s="1" t="s">
        <v>1138</v>
      </c>
      <c r="G426" s="6">
        <v>31</v>
      </c>
      <c r="H426" s="8">
        <f>tblInventory[[#This Row],[Stock_Quantity]] * tblInventory[[#This Row],[Unit_Price]]</f>
        <v>62</v>
      </c>
      <c r="I426" s="1">
        <v>55</v>
      </c>
      <c r="J426" s="1">
        <v>5</v>
      </c>
      <c r="K426" s="8">
        <f>tblInventory[[#This Row],[Reorder_Quantity]]*M426</f>
        <v>10</v>
      </c>
      <c r="L426" s="10">
        <f>tblInventory[[#This Row],[Stock_Quantity]] / tblInventory[[#This Row],[Reorder_Quantity]]</f>
        <v>6.2</v>
      </c>
      <c r="M426" s="3">
        <v>2</v>
      </c>
      <c r="N426" s="10">
        <f t="shared" si="12"/>
        <v>0.52631578947368418</v>
      </c>
      <c r="O426" s="2">
        <v>45574</v>
      </c>
      <c r="P426" s="1" t="s">
        <v>1532</v>
      </c>
      <c r="Q426" s="2">
        <v>45999</v>
      </c>
      <c r="R426" s="1" t="s">
        <v>1553</v>
      </c>
      <c r="S426" s="1">
        <v>71</v>
      </c>
      <c r="T426" s="1">
        <v>46</v>
      </c>
      <c r="U426" s="1" t="s">
        <v>46</v>
      </c>
      <c r="V426" s="3">
        <f>tblInventory[[#This Row],[Stock_Quantity]]*tblInventory[[#This Row],[Unit_Price]]</f>
        <v>62</v>
      </c>
      <c r="W426" s="1" t="str">
        <f>IF(tblInventory[[#This Row],[Status]]="Discontinued","INACTIVE",
IF(tblInventory[[#This Row],[Stock_Quantity]] &lt; tblInventory[[#This Row],[Reorder_Level]],"REORDER","OK"))</f>
        <v>REORDER</v>
      </c>
      <c r="X426" s="1" t="str">
        <f t="shared" ca="1" si="13"/>
        <v>Valid</v>
      </c>
    </row>
    <row r="427" spans="1:24">
      <c r="A427" s="1">
        <v>426</v>
      </c>
      <c r="B427" s="1" t="s">
        <v>1802</v>
      </c>
      <c r="C427" s="1" t="s">
        <v>161</v>
      </c>
      <c r="D427" s="1" t="s">
        <v>49</v>
      </c>
      <c r="E427" s="1" t="s">
        <v>1803</v>
      </c>
      <c r="F427" s="1" t="s">
        <v>990</v>
      </c>
      <c r="G427" s="6">
        <v>86</v>
      </c>
      <c r="H427" s="8">
        <f>tblInventory[[#This Row],[Stock_Quantity]] * tblInventory[[#This Row],[Unit_Price]]</f>
        <v>180.6</v>
      </c>
      <c r="I427" s="1">
        <v>90</v>
      </c>
      <c r="J427" s="1">
        <v>39</v>
      </c>
      <c r="K427" s="8">
        <f>tblInventory[[#This Row],[Reorder_Quantity]]*M427</f>
        <v>81.900000000000006</v>
      </c>
      <c r="L427" s="10">
        <f>tblInventory[[#This Row],[Stock_Quantity]] / tblInventory[[#This Row],[Reorder_Quantity]]</f>
        <v>2.2051282051282053</v>
      </c>
      <c r="M427" s="3">
        <v>2.1</v>
      </c>
      <c r="N427" s="10">
        <f t="shared" si="12"/>
        <v>1.4601018675721562</v>
      </c>
      <c r="O427" s="1" t="s">
        <v>986</v>
      </c>
      <c r="P427" s="1" t="s">
        <v>560</v>
      </c>
      <c r="Q427" s="2">
        <v>45954</v>
      </c>
      <c r="R427" s="1" t="s">
        <v>1804</v>
      </c>
      <c r="S427" s="1">
        <v>98</v>
      </c>
      <c r="T427" s="1">
        <v>85</v>
      </c>
      <c r="U427" s="1" t="s">
        <v>46</v>
      </c>
      <c r="V427" s="3">
        <f>tblInventory[[#This Row],[Stock_Quantity]]*tblInventory[[#This Row],[Unit_Price]]</f>
        <v>180.6</v>
      </c>
      <c r="W427" s="1" t="str">
        <f>IF(tblInventory[[#This Row],[Status]]="Discontinued","INACTIVE",
IF(tblInventory[[#This Row],[Stock_Quantity]] &lt; tblInventory[[#This Row],[Reorder_Level]],"REORDER","OK"))</f>
        <v>REORDER</v>
      </c>
      <c r="X427" s="1" t="str">
        <f t="shared" ca="1" si="13"/>
        <v>Expired</v>
      </c>
    </row>
    <row r="428" spans="1:24">
      <c r="A428" s="1">
        <v>427</v>
      </c>
      <c r="B428" s="1" t="s">
        <v>2871</v>
      </c>
      <c r="C428" s="1" t="s">
        <v>161</v>
      </c>
      <c r="D428" s="1" t="s">
        <v>49</v>
      </c>
      <c r="E428" s="1" t="s">
        <v>2872</v>
      </c>
      <c r="F428" s="1" t="s">
        <v>1175</v>
      </c>
      <c r="G428" s="6">
        <v>19</v>
      </c>
      <c r="H428" s="8">
        <f>tblInventory[[#This Row],[Stock_Quantity]] * tblInventory[[#This Row],[Unit_Price]]</f>
        <v>38</v>
      </c>
      <c r="I428" s="1">
        <v>92</v>
      </c>
      <c r="J428" s="1">
        <v>41</v>
      </c>
      <c r="K428" s="8">
        <f>tblInventory[[#This Row],[Reorder_Quantity]]*M428</f>
        <v>82</v>
      </c>
      <c r="L428" s="10">
        <f>tblInventory[[#This Row],[Stock_Quantity]] / tblInventory[[#This Row],[Reorder_Quantity]]</f>
        <v>0.46341463414634149</v>
      </c>
      <c r="M428" s="3">
        <v>2</v>
      </c>
      <c r="N428" s="10">
        <f t="shared" si="12"/>
        <v>0.32258064516129031</v>
      </c>
      <c r="O428" s="2">
        <v>45778</v>
      </c>
      <c r="P428" s="2">
        <v>45962</v>
      </c>
      <c r="Q428" s="2">
        <v>46280</v>
      </c>
      <c r="R428" s="1" t="s">
        <v>2873</v>
      </c>
      <c r="S428" s="1">
        <v>51</v>
      </c>
      <c r="T428" s="1">
        <v>79</v>
      </c>
      <c r="U428" s="1" t="s">
        <v>46</v>
      </c>
      <c r="V428" s="3">
        <f>tblInventory[[#This Row],[Stock_Quantity]]*tblInventory[[#This Row],[Unit_Price]]</f>
        <v>38</v>
      </c>
      <c r="W428" s="1" t="str">
        <f>IF(tblInventory[[#This Row],[Status]]="Discontinued","INACTIVE",
IF(tblInventory[[#This Row],[Stock_Quantity]] &lt; tblInventory[[#This Row],[Reorder_Level]],"REORDER","OK"))</f>
        <v>REORDER</v>
      </c>
      <c r="X428" s="1" t="str">
        <f t="shared" ca="1" si="13"/>
        <v>Valid</v>
      </c>
    </row>
    <row r="429" spans="1:24">
      <c r="A429" s="1">
        <v>428</v>
      </c>
      <c r="B429" s="1" t="s">
        <v>3373</v>
      </c>
      <c r="C429" s="1" t="s">
        <v>161</v>
      </c>
      <c r="D429" s="1" t="s">
        <v>49</v>
      </c>
      <c r="E429" s="1" t="s">
        <v>3374</v>
      </c>
      <c r="F429" s="1" t="s">
        <v>974</v>
      </c>
      <c r="G429" s="6">
        <v>31</v>
      </c>
      <c r="H429" s="8">
        <f>tblInventory[[#This Row],[Stock_Quantity]] * tblInventory[[#This Row],[Unit_Price]]</f>
        <v>65.100000000000009</v>
      </c>
      <c r="I429" s="1">
        <v>61</v>
      </c>
      <c r="J429" s="1">
        <v>28</v>
      </c>
      <c r="K429" s="8">
        <f>tblInventory[[#This Row],[Reorder_Quantity]]*M429</f>
        <v>58.800000000000004</v>
      </c>
      <c r="L429" s="10">
        <f>tblInventory[[#This Row],[Stock_Quantity]] / tblInventory[[#This Row],[Reorder_Quantity]]</f>
        <v>1.1071428571428572</v>
      </c>
      <c r="M429" s="3">
        <v>2.1</v>
      </c>
      <c r="N429" s="10">
        <f t="shared" si="12"/>
        <v>0.52631578947368418</v>
      </c>
      <c r="O429" s="2">
        <v>45568</v>
      </c>
      <c r="P429" s="2">
        <v>45542</v>
      </c>
      <c r="Q429" s="2">
        <v>46442</v>
      </c>
      <c r="R429" s="1" t="s">
        <v>3375</v>
      </c>
      <c r="S429" s="1">
        <v>55</v>
      </c>
      <c r="T429" s="1">
        <v>70</v>
      </c>
      <c r="U429" s="1" t="s">
        <v>46</v>
      </c>
      <c r="V429" s="3">
        <f>tblInventory[[#This Row],[Stock_Quantity]]*tblInventory[[#This Row],[Unit_Price]]</f>
        <v>65.100000000000009</v>
      </c>
      <c r="W429" s="1" t="str">
        <f>IF(tblInventory[[#This Row],[Status]]="Discontinued","INACTIVE",
IF(tblInventory[[#This Row],[Stock_Quantity]] &lt; tblInventory[[#This Row],[Reorder_Level]],"REORDER","OK"))</f>
        <v>REORDER</v>
      </c>
      <c r="X429" s="1" t="str">
        <f t="shared" ca="1" si="13"/>
        <v>Valid</v>
      </c>
    </row>
    <row r="430" spans="1:24">
      <c r="A430" s="1">
        <v>429</v>
      </c>
      <c r="B430" s="1" t="s">
        <v>3438</v>
      </c>
      <c r="C430" s="1" t="s">
        <v>161</v>
      </c>
      <c r="D430" s="1" t="s">
        <v>49</v>
      </c>
      <c r="E430" s="1" t="s">
        <v>3439</v>
      </c>
      <c r="F430" s="1" t="s">
        <v>3440</v>
      </c>
      <c r="G430" s="6">
        <v>99</v>
      </c>
      <c r="H430" s="8">
        <f>tblInventory[[#This Row],[Stock_Quantity]] * tblInventory[[#This Row],[Unit_Price]]</f>
        <v>207.9</v>
      </c>
      <c r="I430" s="1">
        <v>37</v>
      </c>
      <c r="J430" s="1">
        <v>74</v>
      </c>
      <c r="K430" s="8">
        <f>tblInventory[[#This Row],[Reorder_Quantity]]*M430</f>
        <v>155.4</v>
      </c>
      <c r="L430" s="10">
        <f>tblInventory[[#This Row],[Stock_Quantity]] / tblInventory[[#This Row],[Reorder_Quantity]]</f>
        <v>1.3378378378378379</v>
      </c>
      <c r="M430" s="3">
        <v>2.1</v>
      </c>
      <c r="N430" s="10">
        <f t="shared" si="12"/>
        <v>1.6808149405772497</v>
      </c>
      <c r="O430" s="1" t="s">
        <v>872</v>
      </c>
      <c r="P430" s="1" t="s">
        <v>177</v>
      </c>
      <c r="Q430" s="2">
        <v>46463</v>
      </c>
      <c r="R430" s="1" t="s">
        <v>3441</v>
      </c>
      <c r="S430" s="1">
        <v>46</v>
      </c>
      <c r="T430" s="1">
        <v>46</v>
      </c>
      <c r="U430" s="1" t="s">
        <v>46</v>
      </c>
      <c r="V430" s="3">
        <f>tblInventory[[#This Row],[Stock_Quantity]]*tblInventory[[#This Row],[Unit_Price]]</f>
        <v>207.9</v>
      </c>
      <c r="W430" s="1" t="str">
        <f>IF(tblInventory[[#This Row],[Status]]="Discontinued","INACTIVE",
IF(tblInventory[[#This Row],[Stock_Quantity]] &lt; tblInventory[[#This Row],[Reorder_Level]],"REORDER","OK"))</f>
        <v>OK</v>
      </c>
      <c r="X430" s="1" t="str">
        <f t="shared" ca="1" si="13"/>
        <v>Valid</v>
      </c>
    </row>
    <row r="431" spans="1:24">
      <c r="A431" s="1">
        <v>430</v>
      </c>
      <c r="B431" s="1" t="s">
        <v>3460</v>
      </c>
      <c r="C431" s="1" t="s">
        <v>161</v>
      </c>
      <c r="D431" s="1" t="s">
        <v>49</v>
      </c>
      <c r="E431" s="1" t="s">
        <v>3461</v>
      </c>
      <c r="F431" s="1" t="s">
        <v>1149</v>
      </c>
      <c r="G431" s="6">
        <v>26</v>
      </c>
      <c r="H431" s="8">
        <f>tblInventory[[#This Row],[Stock_Quantity]] * tblInventory[[#This Row],[Unit_Price]]</f>
        <v>52</v>
      </c>
      <c r="I431" s="1">
        <v>70</v>
      </c>
      <c r="J431" s="1">
        <v>52</v>
      </c>
      <c r="K431" s="8">
        <f>tblInventory[[#This Row],[Reorder_Quantity]]*M431</f>
        <v>104</v>
      </c>
      <c r="L431" s="10">
        <f>tblInventory[[#This Row],[Stock_Quantity]] / tblInventory[[#This Row],[Reorder_Quantity]]</f>
        <v>0.5</v>
      </c>
      <c r="M431" s="3">
        <v>2</v>
      </c>
      <c r="N431" s="10">
        <f t="shared" si="12"/>
        <v>0.44142614601018676</v>
      </c>
      <c r="O431" s="2">
        <v>45482</v>
      </c>
      <c r="P431" s="2">
        <v>45568</v>
      </c>
      <c r="Q431" s="2">
        <v>46470</v>
      </c>
      <c r="R431" s="1" t="s">
        <v>3462</v>
      </c>
      <c r="S431" s="1">
        <v>36</v>
      </c>
      <c r="T431" s="1">
        <v>10</v>
      </c>
      <c r="U431" s="1" t="s">
        <v>24</v>
      </c>
      <c r="V431" s="3">
        <f>tblInventory[[#This Row],[Stock_Quantity]]*tblInventory[[#This Row],[Unit_Price]]</f>
        <v>52</v>
      </c>
      <c r="W431" s="1" t="str">
        <f>IF(tblInventory[[#This Row],[Status]]="Discontinued","INACTIVE",
IF(tblInventory[[#This Row],[Stock_Quantity]] &lt; tblInventory[[#This Row],[Reorder_Level]],"REORDER","OK"))</f>
        <v>INACTIVE</v>
      </c>
      <c r="X431" s="1" t="str">
        <f t="shared" ca="1" si="13"/>
        <v>Valid</v>
      </c>
    </row>
    <row r="432" spans="1:24">
      <c r="A432" s="1">
        <v>431</v>
      </c>
      <c r="B432" s="1" t="s">
        <v>3515</v>
      </c>
      <c r="C432" s="1" t="s">
        <v>161</v>
      </c>
      <c r="D432" s="1" t="s">
        <v>49</v>
      </c>
      <c r="E432" s="1" t="s">
        <v>3516</v>
      </c>
      <c r="F432" s="1" t="s">
        <v>783</v>
      </c>
      <c r="G432" s="6">
        <v>42</v>
      </c>
      <c r="H432" s="8">
        <f>tblInventory[[#This Row],[Stock_Quantity]] * tblInventory[[#This Row],[Unit_Price]]</f>
        <v>84</v>
      </c>
      <c r="I432" s="1">
        <v>48</v>
      </c>
      <c r="J432" s="1">
        <v>18</v>
      </c>
      <c r="K432" s="8">
        <f>tblInventory[[#This Row],[Reorder_Quantity]]*M432</f>
        <v>36</v>
      </c>
      <c r="L432" s="10">
        <f>tblInventory[[#This Row],[Stock_Quantity]] / tblInventory[[#This Row],[Reorder_Quantity]]</f>
        <v>2.3333333333333335</v>
      </c>
      <c r="M432" s="3">
        <v>2</v>
      </c>
      <c r="N432" s="10">
        <f t="shared" si="12"/>
        <v>0.71307300509337868</v>
      </c>
      <c r="O432" s="2">
        <v>45901</v>
      </c>
      <c r="P432" s="1" t="s">
        <v>604</v>
      </c>
      <c r="Q432" s="2">
        <v>46695</v>
      </c>
      <c r="R432" s="1" t="s">
        <v>3517</v>
      </c>
      <c r="S432" s="1">
        <v>39</v>
      </c>
      <c r="T432" s="1">
        <v>57</v>
      </c>
      <c r="U432" s="1" t="s">
        <v>46</v>
      </c>
      <c r="V432" s="3">
        <f>tblInventory[[#This Row],[Stock_Quantity]]*tblInventory[[#This Row],[Unit_Price]]</f>
        <v>84</v>
      </c>
      <c r="W432" s="1" t="str">
        <f>IF(tblInventory[[#This Row],[Status]]="Discontinued","INACTIVE",
IF(tblInventory[[#This Row],[Stock_Quantity]] &lt; tblInventory[[#This Row],[Reorder_Level]],"REORDER","OK"))</f>
        <v>REORDER</v>
      </c>
      <c r="X432" s="1" t="str">
        <f t="shared" ca="1" si="13"/>
        <v>Valid</v>
      </c>
    </row>
    <row r="433" spans="1:24">
      <c r="A433" s="1">
        <v>432</v>
      </c>
      <c r="B433" s="1" t="s">
        <v>365</v>
      </c>
      <c r="C433" s="1" t="s">
        <v>366</v>
      </c>
      <c r="D433" s="1" t="s">
        <v>27</v>
      </c>
      <c r="E433" s="1" t="s">
        <v>367</v>
      </c>
      <c r="F433" s="1" t="s">
        <v>368</v>
      </c>
      <c r="G433" s="6">
        <v>62</v>
      </c>
      <c r="H433" s="8">
        <f>tblInventory[[#This Row],[Stock_Quantity]] * tblInventory[[#This Row],[Unit_Price]]</f>
        <v>744</v>
      </c>
      <c r="I433" s="1">
        <v>89</v>
      </c>
      <c r="J433" s="1">
        <v>18</v>
      </c>
      <c r="K433" s="8">
        <f>tblInventory[[#This Row],[Reorder_Quantity]]*M433</f>
        <v>216</v>
      </c>
      <c r="L433" s="10">
        <f>tblInventory[[#This Row],[Stock_Quantity]] / tblInventory[[#This Row],[Reorder_Quantity]]</f>
        <v>3.4444444444444446</v>
      </c>
      <c r="M433" s="3">
        <v>12</v>
      </c>
      <c r="N433" s="10">
        <f t="shared" si="12"/>
        <v>1.0526315789473684</v>
      </c>
      <c r="O433" s="2">
        <v>45629</v>
      </c>
      <c r="P433" s="2">
        <v>45993</v>
      </c>
      <c r="Q433" s="2">
        <v>45637</v>
      </c>
      <c r="R433" s="1" t="s">
        <v>369</v>
      </c>
      <c r="S433" s="1">
        <v>35</v>
      </c>
      <c r="T433" s="1">
        <v>36</v>
      </c>
      <c r="U433" s="1" t="s">
        <v>46</v>
      </c>
      <c r="V433" s="3">
        <f>tblInventory[[#This Row],[Stock_Quantity]]*tblInventory[[#This Row],[Unit_Price]]</f>
        <v>744</v>
      </c>
      <c r="W433" s="1" t="str">
        <f>IF(tblInventory[[#This Row],[Status]]="Discontinued","INACTIVE",
IF(tblInventory[[#This Row],[Stock_Quantity]] &lt; tblInventory[[#This Row],[Reorder_Level]],"REORDER","OK"))</f>
        <v>REORDER</v>
      </c>
      <c r="X433" s="1" t="str">
        <f t="shared" ca="1" si="13"/>
        <v>Expired</v>
      </c>
    </row>
    <row r="434" spans="1:24">
      <c r="A434" s="1">
        <v>433</v>
      </c>
      <c r="B434" s="1" t="s">
        <v>950</v>
      </c>
      <c r="C434" s="1" t="s">
        <v>366</v>
      </c>
      <c r="D434" s="1" t="s">
        <v>27</v>
      </c>
      <c r="E434" s="1" t="s">
        <v>951</v>
      </c>
      <c r="F434" s="1" t="s">
        <v>952</v>
      </c>
      <c r="G434" s="6">
        <v>75</v>
      </c>
      <c r="H434" s="8">
        <f>tblInventory[[#This Row],[Stock_Quantity]] * tblInventory[[#This Row],[Unit_Price]]</f>
        <v>937.5</v>
      </c>
      <c r="I434" s="1">
        <v>47</v>
      </c>
      <c r="J434" s="1">
        <v>33</v>
      </c>
      <c r="K434" s="8">
        <f>tblInventory[[#This Row],[Reorder_Quantity]]*M434</f>
        <v>412.5</v>
      </c>
      <c r="L434" s="10">
        <f>tblInventory[[#This Row],[Stock_Quantity]] / tblInventory[[#This Row],[Reorder_Quantity]]</f>
        <v>2.2727272727272729</v>
      </c>
      <c r="M434" s="3">
        <v>12.5</v>
      </c>
      <c r="N434" s="10">
        <f t="shared" si="12"/>
        <v>1.2733446519524618</v>
      </c>
      <c r="O434" s="1" t="s">
        <v>191</v>
      </c>
      <c r="P434" s="2">
        <v>45547</v>
      </c>
      <c r="Q434" s="2">
        <v>45994</v>
      </c>
      <c r="R434" s="1" t="s">
        <v>953</v>
      </c>
      <c r="S434" s="1">
        <v>33</v>
      </c>
      <c r="T434" s="1">
        <v>12</v>
      </c>
      <c r="U434" s="1" t="s">
        <v>24</v>
      </c>
      <c r="V434" s="3">
        <f>tblInventory[[#This Row],[Stock_Quantity]]*tblInventory[[#This Row],[Unit_Price]]</f>
        <v>937.5</v>
      </c>
      <c r="W434" s="1" t="str">
        <f>IF(tblInventory[[#This Row],[Status]]="Discontinued","INACTIVE",
IF(tblInventory[[#This Row],[Stock_Quantity]] &lt; tblInventory[[#This Row],[Reorder_Level]],"REORDER","OK"))</f>
        <v>INACTIVE</v>
      </c>
      <c r="X434" s="1" t="str">
        <f t="shared" ca="1" si="13"/>
        <v>Valid</v>
      </c>
    </row>
    <row r="435" spans="1:24">
      <c r="A435" s="1">
        <v>434</v>
      </c>
      <c r="B435" s="1" t="s">
        <v>1483</v>
      </c>
      <c r="C435" s="1" t="s">
        <v>366</v>
      </c>
      <c r="D435" s="1" t="s">
        <v>27</v>
      </c>
      <c r="E435" s="1" t="s">
        <v>1484</v>
      </c>
      <c r="F435" s="1" t="s">
        <v>1485</v>
      </c>
      <c r="G435" s="6">
        <v>27</v>
      </c>
      <c r="H435" s="8">
        <f>tblInventory[[#This Row],[Stock_Quantity]] * tblInventory[[#This Row],[Unit_Price]]</f>
        <v>324</v>
      </c>
      <c r="I435" s="1">
        <v>12</v>
      </c>
      <c r="J435" s="1">
        <v>93</v>
      </c>
      <c r="K435" s="8">
        <f>tblInventory[[#This Row],[Reorder_Quantity]]*M435</f>
        <v>1116</v>
      </c>
      <c r="L435" s="10">
        <f>tblInventory[[#This Row],[Stock_Quantity]] / tblInventory[[#This Row],[Reorder_Quantity]]</f>
        <v>0.29032258064516131</v>
      </c>
      <c r="M435" s="3">
        <v>12</v>
      </c>
      <c r="N435" s="10">
        <f t="shared" si="12"/>
        <v>0.45840407470288624</v>
      </c>
      <c r="O435" s="2">
        <v>45385</v>
      </c>
      <c r="P435" s="2">
        <v>45633</v>
      </c>
      <c r="Q435" s="2">
        <v>45862</v>
      </c>
      <c r="R435" s="1" t="s">
        <v>1486</v>
      </c>
      <c r="S435" s="1">
        <v>88</v>
      </c>
      <c r="T435" s="1">
        <v>83</v>
      </c>
      <c r="U435" s="1" t="s">
        <v>24</v>
      </c>
      <c r="V435" s="3">
        <f>tblInventory[[#This Row],[Stock_Quantity]]*tblInventory[[#This Row],[Unit_Price]]</f>
        <v>324</v>
      </c>
      <c r="W435" s="1" t="str">
        <f>IF(tblInventory[[#This Row],[Status]]="Discontinued","INACTIVE",
IF(tblInventory[[#This Row],[Stock_Quantity]] &lt; tblInventory[[#This Row],[Reorder_Level]],"REORDER","OK"))</f>
        <v>INACTIVE</v>
      </c>
      <c r="X435" s="1" t="str">
        <f t="shared" ca="1" si="13"/>
        <v>Expired</v>
      </c>
    </row>
    <row r="436" spans="1:24">
      <c r="A436" s="1">
        <v>435</v>
      </c>
      <c r="B436" s="1" t="s">
        <v>1697</v>
      </c>
      <c r="C436" s="1" t="s">
        <v>366</v>
      </c>
      <c r="D436" s="1" t="s">
        <v>27</v>
      </c>
      <c r="E436" s="1" t="s">
        <v>1698</v>
      </c>
      <c r="F436" s="1" t="s">
        <v>1525</v>
      </c>
      <c r="G436" s="6">
        <v>43</v>
      </c>
      <c r="H436" s="8">
        <f>tblInventory[[#This Row],[Stock_Quantity]] * tblInventory[[#This Row],[Unit_Price]]</f>
        <v>516</v>
      </c>
      <c r="I436" s="1">
        <v>38</v>
      </c>
      <c r="J436" s="1">
        <v>63</v>
      </c>
      <c r="K436" s="8">
        <f>tblInventory[[#This Row],[Reorder_Quantity]]*M436</f>
        <v>756</v>
      </c>
      <c r="L436" s="10">
        <f>tblInventory[[#This Row],[Stock_Quantity]] / tblInventory[[#This Row],[Reorder_Quantity]]</f>
        <v>0.68253968253968256</v>
      </c>
      <c r="M436" s="3">
        <v>12</v>
      </c>
      <c r="N436" s="10">
        <f t="shared" si="12"/>
        <v>0.7300509337860781</v>
      </c>
      <c r="O436" s="1" t="s">
        <v>1075</v>
      </c>
      <c r="P436" s="2">
        <v>45690</v>
      </c>
      <c r="Q436" s="2">
        <v>45922</v>
      </c>
      <c r="R436" s="1" t="s">
        <v>1699</v>
      </c>
      <c r="S436" s="1">
        <v>88</v>
      </c>
      <c r="T436" s="1">
        <v>65</v>
      </c>
      <c r="U436" s="1" t="s">
        <v>38</v>
      </c>
      <c r="V436" s="3">
        <f>tblInventory[[#This Row],[Stock_Quantity]]*tblInventory[[#This Row],[Unit_Price]]</f>
        <v>516</v>
      </c>
      <c r="W436" s="1" t="str">
        <f>IF(tblInventory[[#This Row],[Status]]="Discontinued","INACTIVE",
IF(tblInventory[[#This Row],[Stock_Quantity]] &lt; tblInventory[[#This Row],[Reorder_Level]],"REORDER","OK"))</f>
        <v>OK</v>
      </c>
      <c r="X436" s="1" t="str">
        <f t="shared" ca="1" si="13"/>
        <v>Expired</v>
      </c>
    </row>
    <row r="437" spans="1:24">
      <c r="A437" s="1">
        <v>436</v>
      </c>
      <c r="B437" s="1" t="s">
        <v>2193</v>
      </c>
      <c r="C437" s="1" t="s">
        <v>366</v>
      </c>
      <c r="D437" s="1" t="s">
        <v>27</v>
      </c>
      <c r="E437" s="1" t="s">
        <v>2194</v>
      </c>
      <c r="F437" s="1" t="s">
        <v>1124</v>
      </c>
      <c r="G437" s="6">
        <v>90</v>
      </c>
      <c r="H437" s="8">
        <f>tblInventory[[#This Row],[Stock_Quantity]] * tblInventory[[#This Row],[Unit_Price]]</f>
        <v>1080</v>
      </c>
      <c r="I437" s="1">
        <v>68</v>
      </c>
      <c r="J437" s="1">
        <v>74</v>
      </c>
      <c r="K437" s="8">
        <f>tblInventory[[#This Row],[Reorder_Quantity]]*M437</f>
        <v>888</v>
      </c>
      <c r="L437" s="10">
        <f>tblInventory[[#This Row],[Stock_Quantity]] / tblInventory[[#This Row],[Reorder_Quantity]]</f>
        <v>1.2162162162162162</v>
      </c>
      <c r="M437" s="3">
        <v>12</v>
      </c>
      <c r="N437" s="10">
        <f t="shared" si="12"/>
        <v>1.5280135823429541</v>
      </c>
      <c r="O437" s="2">
        <v>45326</v>
      </c>
      <c r="P437" s="1" t="s">
        <v>377</v>
      </c>
      <c r="Q437" s="2">
        <v>46073</v>
      </c>
      <c r="R437" s="1" t="s">
        <v>2195</v>
      </c>
      <c r="S437" s="1">
        <v>81</v>
      </c>
      <c r="T437" s="1">
        <v>26</v>
      </c>
      <c r="U437" s="1" t="s">
        <v>38</v>
      </c>
      <c r="V437" s="3">
        <f>tblInventory[[#This Row],[Stock_Quantity]]*tblInventory[[#This Row],[Unit_Price]]</f>
        <v>1080</v>
      </c>
      <c r="W437" s="1" t="str">
        <f>IF(tblInventory[[#This Row],[Status]]="Discontinued","INACTIVE",
IF(tblInventory[[#This Row],[Stock_Quantity]] &lt; tblInventory[[#This Row],[Reorder_Level]],"REORDER","OK"))</f>
        <v>OK</v>
      </c>
      <c r="X437" s="1" t="str">
        <f t="shared" ca="1" si="13"/>
        <v>Valid</v>
      </c>
    </row>
    <row r="438" spans="1:24">
      <c r="A438" s="1">
        <v>437</v>
      </c>
      <c r="B438" s="1" t="s">
        <v>2223</v>
      </c>
      <c r="C438" s="1" t="s">
        <v>366</v>
      </c>
      <c r="D438" s="1" t="s">
        <v>27</v>
      </c>
      <c r="E438" s="1" t="s">
        <v>2224</v>
      </c>
      <c r="F438" s="1" t="s">
        <v>534</v>
      </c>
      <c r="G438" s="6">
        <v>29</v>
      </c>
      <c r="H438" s="8">
        <f>tblInventory[[#This Row],[Stock_Quantity]] * tblInventory[[#This Row],[Unit_Price]]</f>
        <v>348</v>
      </c>
      <c r="I438" s="1">
        <v>91</v>
      </c>
      <c r="J438" s="1">
        <v>48</v>
      </c>
      <c r="K438" s="8">
        <f>tblInventory[[#This Row],[Reorder_Quantity]]*M438</f>
        <v>576</v>
      </c>
      <c r="L438" s="10">
        <f>tblInventory[[#This Row],[Stock_Quantity]] / tblInventory[[#This Row],[Reorder_Quantity]]</f>
        <v>0.60416666666666663</v>
      </c>
      <c r="M438" s="3">
        <v>12</v>
      </c>
      <c r="N438" s="10">
        <f t="shared" si="12"/>
        <v>0.49235993208828527</v>
      </c>
      <c r="O438" s="2">
        <v>45422</v>
      </c>
      <c r="P438" s="2">
        <v>45572</v>
      </c>
      <c r="Q438" s="2">
        <v>46025</v>
      </c>
      <c r="R438" s="1" t="s">
        <v>2225</v>
      </c>
      <c r="S438" s="1">
        <v>28</v>
      </c>
      <c r="T438" s="1">
        <v>40</v>
      </c>
      <c r="U438" s="1" t="s">
        <v>46</v>
      </c>
      <c r="V438" s="3">
        <f>tblInventory[[#This Row],[Stock_Quantity]]*tblInventory[[#This Row],[Unit_Price]]</f>
        <v>348</v>
      </c>
      <c r="W438" s="1" t="str">
        <f>IF(tblInventory[[#This Row],[Status]]="Discontinued","INACTIVE",
IF(tblInventory[[#This Row],[Stock_Quantity]] &lt; tblInventory[[#This Row],[Reorder_Level]],"REORDER","OK"))</f>
        <v>REORDER</v>
      </c>
      <c r="X438" s="1" t="str">
        <f t="shared" ca="1" si="13"/>
        <v>Valid</v>
      </c>
    </row>
    <row r="439" spans="1:24">
      <c r="A439" s="1">
        <v>438</v>
      </c>
      <c r="B439" s="1" t="s">
        <v>2411</v>
      </c>
      <c r="C439" s="1" t="s">
        <v>366</v>
      </c>
      <c r="D439" s="1" t="s">
        <v>27</v>
      </c>
      <c r="E439" s="1" t="s">
        <v>2412</v>
      </c>
      <c r="F439" s="1" t="s">
        <v>2413</v>
      </c>
      <c r="G439" s="6">
        <v>61</v>
      </c>
      <c r="H439" s="8">
        <f>tblInventory[[#This Row],[Stock_Quantity]] * tblInventory[[#This Row],[Unit_Price]]</f>
        <v>762.5</v>
      </c>
      <c r="I439" s="1">
        <v>31</v>
      </c>
      <c r="J439" s="1">
        <v>100</v>
      </c>
      <c r="K439" s="8">
        <f>tblInventory[[#This Row],[Reorder_Quantity]]*M439</f>
        <v>1250</v>
      </c>
      <c r="L439" s="10">
        <f>tblInventory[[#This Row],[Stock_Quantity]] / tblInventory[[#This Row],[Reorder_Quantity]]</f>
        <v>0.61</v>
      </c>
      <c r="M439" s="3">
        <v>12.5</v>
      </c>
      <c r="N439" s="10">
        <f t="shared" si="12"/>
        <v>1.0356536502546689</v>
      </c>
      <c r="O439" s="1" t="s">
        <v>2202</v>
      </c>
      <c r="P439" s="1" t="s">
        <v>466</v>
      </c>
      <c r="Q439" s="2">
        <v>46141</v>
      </c>
      <c r="R439" s="1" t="s">
        <v>2414</v>
      </c>
      <c r="S439" s="1">
        <v>95</v>
      </c>
      <c r="T439" s="1">
        <v>61</v>
      </c>
      <c r="U439" s="1" t="s">
        <v>46</v>
      </c>
      <c r="V439" s="3">
        <f>tblInventory[[#This Row],[Stock_Quantity]]*tblInventory[[#This Row],[Unit_Price]]</f>
        <v>762.5</v>
      </c>
      <c r="W439" s="1" t="str">
        <f>IF(tblInventory[[#This Row],[Status]]="Discontinued","INACTIVE",
IF(tblInventory[[#This Row],[Stock_Quantity]] &lt; tblInventory[[#This Row],[Reorder_Level]],"REORDER","OK"))</f>
        <v>OK</v>
      </c>
      <c r="X439" s="1" t="str">
        <f t="shared" ca="1" si="13"/>
        <v>Valid</v>
      </c>
    </row>
    <row r="440" spans="1:24">
      <c r="A440" s="1">
        <v>439</v>
      </c>
      <c r="B440" s="1" t="s">
        <v>2569</v>
      </c>
      <c r="C440" s="1" t="s">
        <v>366</v>
      </c>
      <c r="D440" s="1" t="s">
        <v>27</v>
      </c>
      <c r="E440" s="1" t="s">
        <v>2570</v>
      </c>
      <c r="F440" s="1" t="s">
        <v>257</v>
      </c>
      <c r="G440" s="6">
        <v>20</v>
      </c>
      <c r="H440" s="8">
        <f>tblInventory[[#This Row],[Stock_Quantity]] * tblInventory[[#This Row],[Unit_Price]]</f>
        <v>240</v>
      </c>
      <c r="I440" s="1">
        <v>68</v>
      </c>
      <c r="J440" s="1">
        <v>20</v>
      </c>
      <c r="K440" s="8">
        <f>tblInventory[[#This Row],[Reorder_Quantity]]*M440</f>
        <v>240</v>
      </c>
      <c r="L440" s="10">
        <f>tblInventory[[#This Row],[Stock_Quantity]] / tblInventory[[#This Row],[Reorder_Quantity]]</f>
        <v>1</v>
      </c>
      <c r="M440" s="3">
        <v>12</v>
      </c>
      <c r="N440" s="10">
        <f t="shared" si="12"/>
        <v>0.3395585738539898</v>
      </c>
      <c r="O440" s="2">
        <v>45901</v>
      </c>
      <c r="P440" s="2">
        <v>45389</v>
      </c>
      <c r="Q440" s="2">
        <v>46188</v>
      </c>
      <c r="R440" s="1" t="s">
        <v>2571</v>
      </c>
      <c r="S440" s="1">
        <v>38</v>
      </c>
      <c r="T440" s="1">
        <v>51</v>
      </c>
      <c r="U440" s="1" t="s">
        <v>46</v>
      </c>
      <c r="V440" s="3">
        <f>tblInventory[[#This Row],[Stock_Quantity]]*tblInventory[[#This Row],[Unit_Price]]</f>
        <v>240</v>
      </c>
      <c r="W440" s="1" t="str">
        <f>IF(tblInventory[[#This Row],[Status]]="Discontinued","INACTIVE",
IF(tblInventory[[#This Row],[Stock_Quantity]] &lt; tblInventory[[#This Row],[Reorder_Level]],"REORDER","OK"))</f>
        <v>REORDER</v>
      </c>
      <c r="X440" s="1" t="str">
        <f t="shared" ca="1" si="13"/>
        <v>Valid</v>
      </c>
    </row>
    <row r="441" spans="1:24">
      <c r="A441" s="1">
        <v>440</v>
      </c>
      <c r="B441" s="1" t="s">
        <v>826</v>
      </c>
      <c r="C441" s="1" t="s">
        <v>827</v>
      </c>
      <c r="D441" s="1" t="s">
        <v>27</v>
      </c>
      <c r="E441" s="1" t="s">
        <v>828</v>
      </c>
      <c r="F441" s="1" t="s">
        <v>829</v>
      </c>
      <c r="G441" s="6">
        <v>63</v>
      </c>
      <c r="H441" s="8">
        <f>tblInventory[[#This Row],[Stock_Quantity]] * tblInventory[[#This Row],[Unit_Price]]</f>
        <v>504</v>
      </c>
      <c r="I441" s="1">
        <v>92</v>
      </c>
      <c r="J441" s="1">
        <v>26</v>
      </c>
      <c r="K441" s="8">
        <f>tblInventory[[#This Row],[Reorder_Quantity]]*M441</f>
        <v>208</v>
      </c>
      <c r="L441" s="10">
        <f>tblInventory[[#This Row],[Stock_Quantity]] / tblInventory[[#This Row],[Reorder_Quantity]]</f>
        <v>2.4230769230769229</v>
      </c>
      <c r="M441" s="3">
        <v>8</v>
      </c>
      <c r="N441" s="10">
        <f t="shared" si="12"/>
        <v>1.069609507640068</v>
      </c>
      <c r="O441" s="1" t="s">
        <v>211</v>
      </c>
      <c r="P441" s="2">
        <v>45993</v>
      </c>
      <c r="Q441" s="2">
        <v>45993</v>
      </c>
      <c r="R441" s="1" t="s">
        <v>830</v>
      </c>
      <c r="S441" s="1">
        <v>93</v>
      </c>
      <c r="T441" s="1">
        <v>99</v>
      </c>
      <c r="U441" s="1" t="s">
        <v>46</v>
      </c>
      <c r="V441" s="3">
        <f>tblInventory[[#This Row],[Stock_Quantity]]*tblInventory[[#This Row],[Unit_Price]]</f>
        <v>504</v>
      </c>
      <c r="W441" s="1" t="str">
        <f>IF(tblInventory[[#This Row],[Status]]="Discontinued","INACTIVE",
IF(tblInventory[[#This Row],[Stock_Quantity]] &lt; tblInventory[[#This Row],[Reorder_Level]],"REORDER","OK"))</f>
        <v>REORDER</v>
      </c>
      <c r="X441" s="1" t="str">
        <f t="shared" ca="1" si="13"/>
        <v>Valid</v>
      </c>
    </row>
    <row r="442" spans="1:24">
      <c r="A442" s="1">
        <v>441</v>
      </c>
      <c r="B442" s="1" t="s">
        <v>962</v>
      </c>
      <c r="C442" s="1" t="s">
        <v>827</v>
      </c>
      <c r="D442" s="1" t="s">
        <v>27</v>
      </c>
      <c r="E442" s="1" t="s">
        <v>963</v>
      </c>
      <c r="F442" s="1" t="s">
        <v>964</v>
      </c>
      <c r="G442" s="6">
        <v>15</v>
      </c>
      <c r="H442" s="8">
        <f>tblInventory[[#This Row],[Stock_Quantity]] * tblInventory[[#This Row],[Unit_Price]]</f>
        <v>120</v>
      </c>
      <c r="I442" s="1">
        <v>66</v>
      </c>
      <c r="J442" s="1">
        <v>85</v>
      </c>
      <c r="K442" s="8">
        <f>tblInventory[[#This Row],[Reorder_Quantity]]*M442</f>
        <v>680</v>
      </c>
      <c r="L442" s="10">
        <f>tblInventory[[#This Row],[Stock_Quantity]] / tblInventory[[#This Row],[Reorder_Quantity]]</f>
        <v>0.17647058823529413</v>
      </c>
      <c r="M442" s="3">
        <v>8</v>
      </c>
      <c r="N442" s="10">
        <f t="shared" si="12"/>
        <v>0.25466893039049238</v>
      </c>
      <c r="O442" s="1" t="s">
        <v>335</v>
      </c>
      <c r="P442" s="2">
        <v>45358</v>
      </c>
      <c r="Q442" s="2">
        <v>45731</v>
      </c>
      <c r="R442" s="1" t="s">
        <v>966</v>
      </c>
      <c r="S442" s="1">
        <v>60</v>
      </c>
      <c r="T442" s="1">
        <v>40</v>
      </c>
      <c r="U442" s="1" t="s">
        <v>38</v>
      </c>
      <c r="V442" s="3">
        <f>tblInventory[[#This Row],[Stock_Quantity]]*tblInventory[[#This Row],[Unit_Price]]</f>
        <v>120</v>
      </c>
      <c r="W442" s="1" t="str">
        <f>IF(tblInventory[[#This Row],[Status]]="Discontinued","INACTIVE",
IF(tblInventory[[#This Row],[Stock_Quantity]] &lt; tblInventory[[#This Row],[Reorder_Level]],"REORDER","OK"))</f>
        <v>REORDER</v>
      </c>
      <c r="X442" s="1" t="str">
        <f t="shared" ca="1" si="13"/>
        <v>Expired</v>
      </c>
    </row>
    <row r="443" spans="1:24">
      <c r="A443" s="1">
        <v>442</v>
      </c>
      <c r="B443" s="1" t="s">
        <v>1397</v>
      </c>
      <c r="C443" s="1" t="s">
        <v>827</v>
      </c>
      <c r="D443" s="1" t="s">
        <v>27</v>
      </c>
      <c r="E443" s="1" t="s">
        <v>1398</v>
      </c>
      <c r="F443" s="1" t="s">
        <v>1399</v>
      </c>
      <c r="G443" s="6">
        <v>51</v>
      </c>
      <c r="H443" s="8">
        <f>tblInventory[[#This Row],[Stock_Quantity]] * tblInventory[[#This Row],[Unit_Price]]</f>
        <v>387.59999999999997</v>
      </c>
      <c r="I443" s="1">
        <v>1</v>
      </c>
      <c r="J443" s="1">
        <v>61</v>
      </c>
      <c r="K443" s="8">
        <f>tblInventory[[#This Row],[Reorder_Quantity]]*M443</f>
        <v>463.59999999999997</v>
      </c>
      <c r="L443" s="10">
        <f>tblInventory[[#This Row],[Stock_Quantity]] / tblInventory[[#This Row],[Reorder_Quantity]]</f>
        <v>0.83606557377049184</v>
      </c>
      <c r="M443" s="3">
        <v>7.6</v>
      </c>
      <c r="N443" s="10">
        <f t="shared" si="12"/>
        <v>0.86587436332767409</v>
      </c>
      <c r="O443" s="1" t="s">
        <v>1154</v>
      </c>
      <c r="P443" s="1" t="s">
        <v>1400</v>
      </c>
      <c r="Q443" s="2">
        <v>45695</v>
      </c>
      <c r="R443" s="1" t="s">
        <v>1401</v>
      </c>
      <c r="S443" s="1">
        <v>96</v>
      </c>
      <c r="T443" s="1">
        <v>26</v>
      </c>
      <c r="U443" s="1" t="s">
        <v>46</v>
      </c>
      <c r="V443" s="3">
        <f>tblInventory[[#This Row],[Stock_Quantity]]*tblInventory[[#This Row],[Unit_Price]]</f>
        <v>387.59999999999997</v>
      </c>
      <c r="W443" s="1" t="str">
        <f>IF(tblInventory[[#This Row],[Status]]="Discontinued","INACTIVE",
IF(tblInventory[[#This Row],[Stock_Quantity]] &lt; tblInventory[[#This Row],[Reorder_Level]],"REORDER","OK"))</f>
        <v>OK</v>
      </c>
      <c r="X443" s="1" t="str">
        <f t="shared" ca="1" si="13"/>
        <v>Expired</v>
      </c>
    </row>
    <row r="444" spans="1:24">
      <c r="A444" s="1">
        <v>443</v>
      </c>
      <c r="B444" s="1" t="s">
        <v>1713</v>
      </c>
      <c r="C444" s="1" t="s">
        <v>827</v>
      </c>
      <c r="D444" s="1" t="s">
        <v>27</v>
      </c>
      <c r="E444" s="1" t="s">
        <v>1714</v>
      </c>
      <c r="F444" s="1" t="s">
        <v>328</v>
      </c>
      <c r="G444" s="6">
        <v>80</v>
      </c>
      <c r="H444" s="8">
        <f>tblInventory[[#This Row],[Stock_Quantity]] * tblInventory[[#This Row],[Unit_Price]]</f>
        <v>680</v>
      </c>
      <c r="I444" s="1">
        <v>54</v>
      </c>
      <c r="J444" s="1">
        <v>21</v>
      </c>
      <c r="K444" s="8">
        <f>tblInventory[[#This Row],[Reorder_Quantity]]*M444</f>
        <v>178.5</v>
      </c>
      <c r="L444" s="10">
        <f>tblInventory[[#This Row],[Stock_Quantity]] / tblInventory[[#This Row],[Reorder_Quantity]]</f>
        <v>3.8095238095238093</v>
      </c>
      <c r="M444" s="3">
        <v>8.5</v>
      </c>
      <c r="N444" s="10">
        <f t="shared" si="12"/>
        <v>1.3582342954159592</v>
      </c>
      <c r="O444" s="1" t="s">
        <v>279</v>
      </c>
      <c r="P444" s="1" t="s">
        <v>164</v>
      </c>
      <c r="Q444" s="2">
        <v>45927</v>
      </c>
      <c r="R444" s="1" t="s">
        <v>1715</v>
      </c>
      <c r="S444" s="1">
        <v>81</v>
      </c>
      <c r="T444" s="1">
        <v>37</v>
      </c>
      <c r="U444" s="1" t="s">
        <v>46</v>
      </c>
      <c r="V444" s="3">
        <f>tblInventory[[#This Row],[Stock_Quantity]]*tblInventory[[#This Row],[Unit_Price]]</f>
        <v>680</v>
      </c>
      <c r="W444" s="1" t="str">
        <f>IF(tblInventory[[#This Row],[Status]]="Discontinued","INACTIVE",
IF(tblInventory[[#This Row],[Stock_Quantity]] &lt; tblInventory[[#This Row],[Reorder_Level]],"REORDER","OK"))</f>
        <v>OK</v>
      </c>
      <c r="X444" s="1" t="str">
        <f t="shared" ca="1" si="13"/>
        <v>Expired</v>
      </c>
    </row>
    <row r="445" spans="1:24">
      <c r="A445" s="1">
        <v>444</v>
      </c>
      <c r="B445" s="1" t="s">
        <v>1716</v>
      </c>
      <c r="C445" s="1" t="s">
        <v>827</v>
      </c>
      <c r="D445" s="1" t="s">
        <v>27</v>
      </c>
      <c r="E445" s="1" t="s">
        <v>1717</v>
      </c>
      <c r="F445" s="1" t="s">
        <v>1106</v>
      </c>
      <c r="G445" s="6">
        <v>34</v>
      </c>
      <c r="H445" s="8">
        <f>tblInventory[[#This Row],[Stock_Quantity]] * tblInventory[[#This Row],[Unit_Price]]</f>
        <v>272</v>
      </c>
      <c r="I445" s="1">
        <v>47</v>
      </c>
      <c r="J445" s="1">
        <v>99</v>
      </c>
      <c r="K445" s="8">
        <f>tblInventory[[#This Row],[Reorder_Quantity]]*M445</f>
        <v>792</v>
      </c>
      <c r="L445" s="10">
        <f>tblInventory[[#This Row],[Stock_Quantity]] / tblInventory[[#This Row],[Reorder_Quantity]]</f>
        <v>0.34343434343434343</v>
      </c>
      <c r="M445" s="3">
        <v>8</v>
      </c>
      <c r="N445" s="10">
        <f t="shared" si="12"/>
        <v>0.57724957555178269</v>
      </c>
      <c r="O445" s="1" t="s">
        <v>417</v>
      </c>
      <c r="P445" s="2">
        <v>45358</v>
      </c>
      <c r="Q445" s="2">
        <v>45928</v>
      </c>
      <c r="R445" s="1" t="s">
        <v>1718</v>
      </c>
      <c r="S445" s="1">
        <v>97</v>
      </c>
      <c r="T445" s="1">
        <v>47</v>
      </c>
      <c r="U445" s="1" t="s">
        <v>38</v>
      </c>
      <c r="V445" s="3">
        <f>tblInventory[[#This Row],[Stock_Quantity]]*tblInventory[[#This Row],[Unit_Price]]</f>
        <v>272</v>
      </c>
      <c r="W445" s="1" t="str">
        <f>IF(tblInventory[[#This Row],[Status]]="Discontinued","INACTIVE",
IF(tblInventory[[#This Row],[Stock_Quantity]] &lt; tblInventory[[#This Row],[Reorder_Level]],"REORDER","OK"))</f>
        <v>REORDER</v>
      </c>
      <c r="X445" s="1" t="str">
        <f t="shared" ca="1" si="13"/>
        <v>Expired</v>
      </c>
    </row>
    <row r="446" spans="1:24">
      <c r="A446" s="1">
        <v>445</v>
      </c>
      <c r="B446" s="1" t="s">
        <v>1719</v>
      </c>
      <c r="C446" s="1" t="s">
        <v>827</v>
      </c>
      <c r="D446" s="1" t="s">
        <v>27</v>
      </c>
      <c r="E446" s="1" t="s">
        <v>1720</v>
      </c>
      <c r="F446" s="1" t="s">
        <v>1298</v>
      </c>
      <c r="G446" s="6">
        <v>88</v>
      </c>
      <c r="H446" s="8">
        <f>tblInventory[[#This Row],[Stock_Quantity]] * tblInventory[[#This Row],[Unit_Price]]</f>
        <v>704</v>
      </c>
      <c r="I446" s="1">
        <v>50</v>
      </c>
      <c r="J446" s="1">
        <v>88</v>
      </c>
      <c r="K446" s="8">
        <f>tblInventory[[#This Row],[Reorder_Quantity]]*M446</f>
        <v>704</v>
      </c>
      <c r="L446" s="10">
        <f>tblInventory[[#This Row],[Stock_Quantity]] / tblInventory[[#This Row],[Reorder_Quantity]]</f>
        <v>1</v>
      </c>
      <c r="M446" s="3">
        <v>8</v>
      </c>
      <c r="N446" s="10">
        <f t="shared" si="12"/>
        <v>1.4940577249575553</v>
      </c>
      <c r="O446" s="1" t="s">
        <v>225</v>
      </c>
      <c r="P446" s="1" t="s">
        <v>382</v>
      </c>
      <c r="Q446" s="2">
        <v>45929</v>
      </c>
      <c r="R446" s="1" t="s">
        <v>1721</v>
      </c>
      <c r="S446" s="1">
        <v>78</v>
      </c>
      <c r="T446" s="1">
        <v>28</v>
      </c>
      <c r="U446" s="1" t="s">
        <v>24</v>
      </c>
      <c r="V446" s="3">
        <f>tblInventory[[#This Row],[Stock_Quantity]]*tblInventory[[#This Row],[Unit_Price]]</f>
        <v>704</v>
      </c>
      <c r="W446" s="1" t="str">
        <f>IF(tblInventory[[#This Row],[Status]]="Discontinued","INACTIVE",
IF(tblInventory[[#This Row],[Stock_Quantity]] &lt; tblInventory[[#This Row],[Reorder_Level]],"REORDER","OK"))</f>
        <v>INACTIVE</v>
      </c>
      <c r="X446" s="1" t="str">
        <f t="shared" ca="1" si="13"/>
        <v>Expired</v>
      </c>
    </row>
    <row r="447" spans="1:24">
      <c r="A447" s="1">
        <v>446</v>
      </c>
      <c r="B447" s="1" t="s">
        <v>2021</v>
      </c>
      <c r="C447" s="1" t="s">
        <v>827</v>
      </c>
      <c r="D447" s="1" t="s">
        <v>27</v>
      </c>
      <c r="E447" s="1" t="s">
        <v>2022</v>
      </c>
      <c r="F447" s="1" t="s">
        <v>1115</v>
      </c>
      <c r="G447" s="6">
        <v>39</v>
      </c>
      <c r="H447" s="8">
        <f>tblInventory[[#This Row],[Stock_Quantity]] * tblInventory[[#This Row],[Unit_Price]]</f>
        <v>312</v>
      </c>
      <c r="I447" s="1">
        <v>88</v>
      </c>
      <c r="J447" s="1">
        <v>100</v>
      </c>
      <c r="K447" s="8">
        <f>tblInventory[[#This Row],[Reorder_Quantity]]*M447</f>
        <v>800</v>
      </c>
      <c r="L447" s="10">
        <f>tblInventory[[#This Row],[Stock_Quantity]] / tblInventory[[#This Row],[Reorder_Quantity]]</f>
        <v>0.39</v>
      </c>
      <c r="M447" s="3">
        <v>8</v>
      </c>
      <c r="N447" s="10">
        <f t="shared" si="12"/>
        <v>0.66213921901528017</v>
      </c>
      <c r="O447" s="1" t="s">
        <v>286</v>
      </c>
      <c r="P447" s="1" t="s">
        <v>554</v>
      </c>
      <c r="Q447" s="2">
        <v>46020</v>
      </c>
      <c r="R447" s="1" t="s">
        <v>2023</v>
      </c>
      <c r="S447" s="1">
        <v>28</v>
      </c>
      <c r="T447" s="1">
        <v>18</v>
      </c>
      <c r="U447" s="1" t="s">
        <v>38</v>
      </c>
      <c r="V447" s="3">
        <f>tblInventory[[#This Row],[Stock_Quantity]]*tblInventory[[#This Row],[Unit_Price]]</f>
        <v>312</v>
      </c>
      <c r="W447" s="1" t="str">
        <f>IF(tblInventory[[#This Row],[Status]]="Discontinued","INACTIVE",
IF(tblInventory[[#This Row],[Stock_Quantity]] &lt; tblInventory[[#This Row],[Reorder_Level]],"REORDER","OK"))</f>
        <v>REORDER</v>
      </c>
      <c r="X447" s="1" t="str">
        <f t="shared" ca="1" si="13"/>
        <v>Valid</v>
      </c>
    </row>
    <row r="448" spans="1:24">
      <c r="A448" s="1">
        <v>447</v>
      </c>
      <c r="B448" s="1" t="s">
        <v>2575</v>
      </c>
      <c r="C448" s="1" t="s">
        <v>827</v>
      </c>
      <c r="D448" s="1" t="s">
        <v>27</v>
      </c>
      <c r="E448" s="1" t="s">
        <v>2576</v>
      </c>
      <c r="F448" s="1" t="s">
        <v>565</v>
      </c>
      <c r="G448" s="6">
        <v>24</v>
      </c>
      <c r="H448" s="8">
        <f>tblInventory[[#This Row],[Stock_Quantity]] * tblInventory[[#This Row],[Unit_Price]]</f>
        <v>192</v>
      </c>
      <c r="I448" s="1">
        <v>27</v>
      </c>
      <c r="J448" s="1">
        <v>35</v>
      </c>
      <c r="K448" s="8">
        <f>tblInventory[[#This Row],[Reorder_Quantity]]*M448</f>
        <v>280</v>
      </c>
      <c r="L448" s="10">
        <f>tblInventory[[#This Row],[Stock_Quantity]] / tblInventory[[#This Row],[Reorder_Quantity]]</f>
        <v>0.68571428571428572</v>
      </c>
      <c r="M448" s="3">
        <v>8</v>
      </c>
      <c r="N448" s="10">
        <f t="shared" si="12"/>
        <v>0.40747028862478779</v>
      </c>
      <c r="O448" s="1" t="s">
        <v>96</v>
      </c>
      <c r="P448" s="1" t="s">
        <v>423</v>
      </c>
      <c r="Q448" s="2">
        <v>46190</v>
      </c>
      <c r="R448" s="1" t="s">
        <v>2577</v>
      </c>
      <c r="S448" s="1">
        <v>49</v>
      </c>
      <c r="T448" s="1">
        <v>58</v>
      </c>
      <c r="U448" s="1" t="s">
        <v>46</v>
      </c>
      <c r="V448" s="3">
        <f>tblInventory[[#This Row],[Stock_Quantity]]*tblInventory[[#This Row],[Unit_Price]]</f>
        <v>192</v>
      </c>
      <c r="W448" s="1" t="str">
        <f>IF(tblInventory[[#This Row],[Status]]="Discontinued","INACTIVE",
IF(tblInventory[[#This Row],[Stock_Quantity]] &lt; tblInventory[[#This Row],[Reorder_Level]],"REORDER","OK"))</f>
        <v>REORDER</v>
      </c>
      <c r="X448" s="1" t="str">
        <f t="shared" ca="1" si="13"/>
        <v>Valid</v>
      </c>
    </row>
    <row r="449" spans="1:24">
      <c r="A449" s="1">
        <v>448</v>
      </c>
      <c r="B449" s="1" t="s">
        <v>2598</v>
      </c>
      <c r="C449" s="1" t="s">
        <v>827</v>
      </c>
      <c r="D449" s="1" t="s">
        <v>27</v>
      </c>
      <c r="E449" s="1" t="s">
        <v>2599</v>
      </c>
      <c r="F449" s="1" t="s">
        <v>614</v>
      </c>
      <c r="G449" s="6">
        <v>26</v>
      </c>
      <c r="H449" s="8">
        <f>tblInventory[[#This Row],[Stock_Quantity]] * tblInventory[[#This Row],[Unit_Price]]</f>
        <v>208</v>
      </c>
      <c r="I449" s="1">
        <v>59</v>
      </c>
      <c r="J449" s="1">
        <v>54</v>
      </c>
      <c r="K449" s="8">
        <f>tblInventory[[#This Row],[Reorder_Quantity]]*M449</f>
        <v>432</v>
      </c>
      <c r="L449" s="10">
        <f>tblInventory[[#This Row],[Stock_Quantity]] / tblInventory[[#This Row],[Reorder_Quantity]]</f>
        <v>0.48148148148148145</v>
      </c>
      <c r="M449" s="3">
        <v>8</v>
      </c>
      <c r="N449" s="10">
        <f t="shared" si="12"/>
        <v>0.44142614601018676</v>
      </c>
      <c r="O449" s="2">
        <v>45573</v>
      </c>
      <c r="P449" s="1" t="s">
        <v>456</v>
      </c>
      <c r="Q449" s="2">
        <v>46197</v>
      </c>
      <c r="R449" s="1" t="s">
        <v>2600</v>
      </c>
      <c r="S449" s="1">
        <v>92</v>
      </c>
      <c r="T449" s="1">
        <v>49</v>
      </c>
      <c r="U449" s="1" t="s">
        <v>46</v>
      </c>
      <c r="V449" s="3">
        <f>tblInventory[[#This Row],[Stock_Quantity]]*tblInventory[[#This Row],[Unit_Price]]</f>
        <v>208</v>
      </c>
      <c r="W449" s="1" t="str">
        <f>IF(tblInventory[[#This Row],[Status]]="Discontinued","INACTIVE",
IF(tblInventory[[#This Row],[Stock_Quantity]] &lt; tblInventory[[#This Row],[Reorder_Level]],"REORDER","OK"))</f>
        <v>REORDER</v>
      </c>
      <c r="X449" s="1" t="str">
        <f t="shared" ca="1" si="13"/>
        <v>Valid</v>
      </c>
    </row>
    <row r="450" spans="1:24">
      <c r="A450" s="1">
        <v>449</v>
      </c>
      <c r="B450" s="1" t="s">
        <v>3644</v>
      </c>
      <c r="C450" s="1" t="s">
        <v>827</v>
      </c>
      <c r="D450" s="1" t="s">
        <v>27</v>
      </c>
      <c r="E450" s="1" t="s">
        <v>3645</v>
      </c>
      <c r="F450" s="1" t="s">
        <v>1191</v>
      </c>
      <c r="G450" s="6">
        <v>64</v>
      </c>
      <c r="H450" s="8">
        <f>tblInventory[[#This Row],[Stock_Quantity]] * tblInventory[[#This Row],[Unit_Price]]</f>
        <v>512</v>
      </c>
      <c r="I450" s="1">
        <v>66</v>
      </c>
      <c r="J450" s="1">
        <v>28</v>
      </c>
      <c r="K450" s="8">
        <f>tblInventory[[#This Row],[Reorder_Quantity]]*M450</f>
        <v>224</v>
      </c>
      <c r="L450" s="10">
        <f>tblInventory[[#This Row],[Stock_Quantity]] / tblInventory[[#This Row],[Reorder_Quantity]]</f>
        <v>2.2857142857142856</v>
      </c>
      <c r="M450" s="3">
        <v>8</v>
      </c>
      <c r="N450" s="10">
        <f t="shared" ref="N450:N513" si="14">G450 / 58.9</f>
        <v>1.0865874363327674</v>
      </c>
      <c r="O450" s="1" t="s">
        <v>150</v>
      </c>
      <c r="P450" s="1" t="s">
        <v>1162</v>
      </c>
      <c r="Q450" s="2">
        <v>46530</v>
      </c>
      <c r="R450" s="1" t="s">
        <v>3646</v>
      </c>
      <c r="S450" s="1">
        <v>25</v>
      </c>
      <c r="T450" s="1">
        <v>52</v>
      </c>
      <c r="U450" s="1" t="s">
        <v>24</v>
      </c>
      <c r="V450" s="3">
        <f>tblInventory[[#This Row],[Stock_Quantity]]*tblInventory[[#This Row],[Unit_Price]]</f>
        <v>512</v>
      </c>
      <c r="W450" s="1" t="str">
        <f>IF(tblInventory[[#This Row],[Status]]="Discontinued","INACTIVE",
IF(tblInventory[[#This Row],[Stock_Quantity]] &lt; tblInventory[[#This Row],[Reorder_Level]],"REORDER","OK"))</f>
        <v>INACTIVE</v>
      </c>
      <c r="X450" s="1" t="str">
        <f t="shared" ref="X450:X513" ca="1" si="15">IF(Q450&lt;TODAY(),"Expired","Valid")</f>
        <v>Valid</v>
      </c>
    </row>
    <row r="451" spans="1:24">
      <c r="A451" s="1">
        <v>450</v>
      </c>
      <c r="B451" s="1" t="s">
        <v>242</v>
      </c>
      <c r="C451" s="1" t="s">
        <v>243</v>
      </c>
      <c r="D451" s="1" t="s">
        <v>155</v>
      </c>
      <c r="E451" s="1" t="s">
        <v>244</v>
      </c>
      <c r="F451" s="1" t="s">
        <v>245</v>
      </c>
      <c r="G451" s="6">
        <v>46</v>
      </c>
      <c r="H451" s="8">
        <f>tblInventory[[#This Row],[Stock_Quantity]] * tblInventory[[#This Row],[Unit_Price]]</f>
        <v>414</v>
      </c>
      <c r="I451" s="1">
        <v>28</v>
      </c>
      <c r="J451" s="1">
        <v>73</v>
      </c>
      <c r="K451" s="8">
        <f>tblInventory[[#This Row],[Reorder_Quantity]]*M451</f>
        <v>657</v>
      </c>
      <c r="L451" s="10">
        <f>tblInventory[[#This Row],[Stock_Quantity]] / tblInventory[[#This Row],[Reorder_Quantity]]</f>
        <v>0.63013698630136983</v>
      </c>
      <c r="M451" s="3">
        <v>9</v>
      </c>
      <c r="N451" s="10">
        <f t="shared" si="14"/>
        <v>0.78098471986417661</v>
      </c>
      <c r="O451" s="1" t="s">
        <v>150</v>
      </c>
      <c r="P451" s="1" t="s">
        <v>246</v>
      </c>
      <c r="Q451" s="2">
        <v>45588</v>
      </c>
      <c r="R451" s="1" t="s">
        <v>248</v>
      </c>
      <c r="S451" s="1">
        <v>65</v>
      </c>
      <c r="T451" s="1">
        <v>57</v>
      </c>
      <c r="U451" s="1" t="s">
        <v>24</v>
      </c>
      <c r="V451" s="3">
        <f>tblInventory[[#This Row],[Stock_Quantity]]*tblInventory[[#This Row],[Unit_Price]]</f>
        <v>414</v>
      </c>
      <c r="W451" s="1" t="str">
        <f>IF(tblInventory[[#This Row],[Status]]="Discontinued","INACTIVE",
IF(tblInventory[[#This Row],[Stock_Quantity]] &lt; tblInventory[[#This Row],[Reorder_Level]],"REORDER","OK"))</f>
        <v>INACTIVE</v>
      </c>
      <c r="X451" s="1" t="str">
        <f t="shared" ca="1" si="15"/>
        <v>Expired</v>
      </c>
    </row>
    <row r="452" spans="1:24">
      <c r="A452" s="1">
        <v>451</v>
      </c>
      <c r="B452" s="1" t="s">
        <v>1043</v>
      </c>
      <c r="C452" s="1" t="s">
        <v>243</v>
      </c>
      <c r="D452" s="1" t="s">
        <v>155</v>
      </c>
      <c r="E452" s="1" t="s">
        <v>1044</v>
      </c>
      <c r="F452" s="1" t="s">
        <v>1045</v>
      </c>
      <c r="G452" s="6">
        <v>93</v>
      </c>
      <c r="H452" s="8">
        <f>tblInventory[[#This Row],[Stock_Quantity]] * tblInventory[[#This Row],[Unit_Price]]</f>
        <v>837</v>
      </c>
      <c r="I452" s="1">
        <v>62</v>
      </c>
      <c r="J452" s="1">
        <v>65</v>
      </c>
      <c r="K452" s="8">
        <f>tblInventory[[#This Row],[Reorder_Quantity]]*M452</f>
        <v>585</v>
      </c>
      <c r="L452" s="10">
        <f>tblInventory[[#This Row],[Stock_Quantity]] / tblInventory[[#This Row],[Reorder_Quantity]]</f>
        <v>1.4307692307692308</v>
      </c>
      <c r="M452" s="3">
        <v>9</v>
      </c>
      <c r="N452" s="10">
        <f t="shared" si="14"/>
        <v>1.5789473684210527</v>
      </c>
      <c r="O452" s="2">
        <v>45541</v>
      </c>
      <c r="P452" s="1" t="s">
        <v>151</v>
      </c>
      <c r="Q452" s="2">
        <v>45751</v>
      </c>
      <c r="R452" s="1" t="s">
        <v>1046</v>
      </c>
      <c r="S452" s="1">
        <v>78</v>
      </c>
      <c r="T452" s="1">
        <v>87</v>
      </c>
      <c r="U452" s="1" t="s">
        <v>46</v>
      </c>
      <c r="V452" s="3">
        <f>tblInventory[[#This Row],[Stock_Quantity]]*tblInventory[[#This Row],[Unit_Price]]</f>
        <v>837</v>
      </c>
      <c r="W452" s="1" t="str">
        <f>IF(tblInventory[[#This Row],[Status]]="Discontinued","INACTIVE",
IF(tblInventory[[#This Row],[Stock_Quantity]] &lt; tblInventory[[#This Row],[Reorder_Level]],"REORDER","OK"))</f>
        <v>OK</v>
      </c>
      <c r="X452" s="1" t="str">
        <f t="shared" ca="1" si="15"/>
        <v>Expired</v>
      </c>
    </row>
    <row r="453" spans="1:24">
      <c r="A453" s="1">
        <v>452</v>
      </c>
      <c r="B453" s="1" t="s">
        <v>1223</v>
      </c>
      <c r="C453" s="1" t="s">
        <v>243</v>
      </c>
      <c r="D453" s="1" t="s">
        <v>155</v>
      </c>
      <c r="E453" s="1" t="s">
        <v>1224</v>
      </c>
      <c r="F453" s="1" t="s">
        <v>1225</v>
      </c>
      <c r="G453" s="6">
        <v>17</v>
      </c>
      <c r="H453" s="8">
        <f>tblInventory[[#This Row],[Stock_Quantity]] * tblInventory[[#This Row],[Unit_Price]]</f>
        <v>153</v>
      </c>
      <c r="I453" s="1">
        <v>38</v>
      </c>
      <c r="J453" s="1">
        <v>93</v>
      </c>
      <c r="K453" s="8">
        <f>tblInventory[[#This Row],[Reorder_Quantity]]*M453</f>
        <v>837</v>
      </c>
      <c r="L453" s="10">
        <f>tblInventory[[#This Row],[Stock_Quantity]] / tblInventory[[#This Row],[Reorder_Quantity]]</f>
        <v>0.18279569892473119</v>
      </c>
      <c r="M453" s="3">
        <v>9</v>
      </c>
      <c r="N453" s="10">
        <f t="shared" si="14"/>
        <v>0.28862478777589134</v>
      </c>
      <c r="O453" s="1" t="s">
        <v>165</v>
      </c>
      <c r="P453" s="1" t="s">
        <v>395</v>
      </c>
      <c r="Q453" s="2">
        <v>45795</v>
      </c>
      <c r="R453" s="1" t="s">
        <v>1226</v>
      </c>
      <c r="S453" s="1">
        <v>100</v>
      </c>
      <c r="T453" s="1">
        <v>63</v>
      </c>
      <c r="U453" s="1" t="s">
        <v>46</v>
      </c>
      <c r="V453" s="3">
        <f>tblInventory[[#This Row],[Stock_Quantity]]*tblInventory[[#This Row],[Unit_Price]]</f>
        <v>153</v>
      </c>
      <c r="W453" s="1" t="str">
        <f>IF(tblInventory[[#This Row],[Status]]="Discontinued","INACTIVE",
IF(tblInventory[[#This Row],[Stock_Quantity]] &lt; tblInventory[[#This Row],[Reorder_Level]],"REORDER","OK"))</f>
        <v>REORDER</v>
      </c>
      <c r="X453" s="1" t="str">
        <f t="shared" ca="1" si="15"/>
        <v>Expired</v>
      </c>
    </row>
    <row r="454" spans="1:24">
      <c r="A454" s="1">
        <v>453</v>
      </c>
      <c r="B454" s="1" t="s">
        <v>1454</v>
      </c>
      <c r="C454" s="1" t="s">
        <v>243</v>
      </c>
      <c r="D454" s="1" t="s">
        <v>155</v>
      </c>
      <c r="E454" s="1" t="s">
        <v>1455</v>
      </c>
      <c r="F454" s="1" t="s">
        <v>1456</v>
      </c>
      <c r="G454" s="6">
        <v>84</v>
      </c>
      <c r="H454" s="8">
        <f>tblInventory[[#This Row],[Stock_Quantity]] * tblInventory[[#This Row],[Unit_Price]]</f>
        <v>756</v>
      </c>
      <c r="I454" s="1">
        <v>8</v>
      </c>
      <c r="J454" s="1">
        <v>54</v>
      </c>
      <c r="K454" s="8">
        <f>tblInventory[[#This Row],[Reorder_Quantity]]*M454</f>
        <v>486</v>
      </c>
      <c r="L454" s="10">
        <f>tblInventory[[#This Row],[Stock_Quantity]] / tblInventory[[#This Row],[Reorder_Quantity]]</f>
        <v>1.5555555555555556</v>
      </c>
      <c r="M454" s="3">
        <v>9</v>
      </c>
      <c r="N454" s="10">
        <f t="shared" si="14"/>
        <v>1.4261460101867574</v>
      </c>
      <c r="O454" s="1" t="s">
        <v>1162</v>
      </c>
      <c r="P454" s="1" t="s">
        <v>910</v>
      </c>
      <c r="Q454" s="2">
        <v>45854</v>
      </c>
      <c r="R454" s="1" t="s">
        <v>1457</v>
      </c>
      <c r="S454" s="1">
        <v>60</v>
      </c>
      <c r="T454" s="1">
        <v>38</v>
      </c>
      <c r="U454" s="1" t="s">
        <v>46</v>
      </c>
      <c r="V454" s="3">
        <f>tblInventory[[#This Row],[Stock_Quantity]]*tblInventory[[#This Row],[Unit_Price]]</f>
        <v>756</v>
      </c>
      <c r="W454" s="1" t="str">
        <f>IF(tblInventory[[#This Row],[Status]]="Discontinued","INACTIVE",
IF(tblInventory[[#This Row],[Stock_Quantity]] &lt; tblInventory[[#This Row],[Reorder_Level]],"REORDER","OK"))</f>
        <v>OK</v>
      </c>
      <c r="X454" s="1" t="str">
        <f t="shared" ca="1" si="15"/>
        <v>Expired</v>
      </c>
    </row>
    <row r="455" spans="1:24">
      <c r="A455" s="1">
        <v>454</v>
      </c>
      <c r="B455" s="1" t="s">
        <v>1791</v>
      </c>
      <c r="C455" s="1" t="s">
        <v>243</v>
      </c>
      <c r="D455" s="1" t="s">
        <v>155</v>
      </c>
      <c r="E455" s="1" t="s">
        <v>1792</v>
      </c>
      <c r="F455" s="1" t="s">
        <v>1793</v>
      </c>
      <c r="G455" s="6">
        <v>30</v>
      </c>
      <c r="H455" s="8">
        <f>tblInventory[[#This Row],[Stock_Quantity]] * tblInventory[[#This Row],[Unit_Price]]</f>
        <v>270</v>
      </c>
      <c r="I455" s="1">
        <v>81</v>
      </c>
      <c r="J455" s="1">
        <v>99</v>
      </c>
      <c r="K455" s="8">
        <f>tblInventory[[#This Row],[Reorder_Quantity]]*M455</f>
        <v>891</v>
      </c>
      <c r="L455" s="10">
        <f>tblInventory[[#This Row],[Stock_Quantity]] / tblInventory[[#This Row],[Reorder_Quantity]]</f>
        <v>0.30303030303030304</v>
      </c>
      <c r="M455" s="3">
        <v>9</v>
      </c>
      <c r="N455" s="10">
        <f t="shared" si="14"/>
        <v>0.50933786078098475</v>
      </c>
      <c r="O455" s="1" t="s">
        <v>298</v>
      </c>
      <c r="P455" s="1" t="s">
        <v>554</v>
      </c>
      <c r="Q455" s="2">
        <v>45951</v>
      </c>
      <c r="R455" s="1" t="s">
        <v>1794</v>
      </c>
      <c r="S455" s="1">
        <v>99</v>
      </c>
      <c r="T455" s="1">
        <v>3</v>
      </c>
      <c r="U455" s="1" t="s">
        <v>38</v>
      </c>
      <c r="V455" s="3">
        <f>tblInventory[[#This Row],[Stock_Quantity]]*tblInventory[[#This Row],[Unit_Price]]</f>
        <v>270</v>
      </c>
      <c r="W455" s="1" t="str">
        <f>IF(tblInventory[[#This Row],[Status]]="Discontinued","INACTIVE",
IF(tblInventory[[#This Row],[Stock_Quantity]] &lt; tblInventory[[#This Row],[Reorder_Level]],"REORDER","OK"))</f>
        <v>REORDER</v>
      </c>
      <c r="X455" s="1" t="str">
        <f t="shared" ca="1" si="15"/>
        <v>Expired</v>
      </c>
    </row>
    <row r="456" spans="1:24">
      <c r="A456" s="1">
        <v>455</v>
      </c>
      <c r="B456" s="1" t="s">
        <v>1884</v>
      </c>
      <c r="C456" s="1" t="s">
        <v>243</v>
      </c>
      <c r="D456" s="1" t="s">
        <v>155</v>
      </c>
      <c r="E456" s="1" t="s">
        <v>1885</v>
      </c>
      <c r="F456" s="1" t="s">
        <v>1886</v>
      </c>
      <c r="G456" s="6">
        <v>75</v>
      </c>
      <c r="H456" s="8">
        <f>tblInventory[[#This Row],[Stock_Quantity]] * tblInventory[[#This Row],[Unit_Price]]</f>
        <v>675</v>
      </c>
      <c r="I456" s="1">
        <v>80</v>
      </c>
      <c r="J456" s="1">
        <v>87</v>
      </c>
      <c r="K456" s="8">
        <f>tblInventory[[#This Row],[Reorder_Quantity]]*M456</f>
        <v>783</v>
      </c>
      <c r="L456" s="10">
        <f>tblInventory[[#This Row],[Stock_Quantity]] / tblInventory[[#This Row],[Reorder_Quantity]]</f>
        <v>0.86206896551724133</v>
      </c>
      <c r="M456" s="3">
        <v>9</v>
      </c>
      <c r="N456" s="10">
        <f t="shared" si="14"/>
        <v>1.2733446519524618</v>
      </c>
      <c r="O456" s="2">
        <v>45450</v>
      </c>
      <c r="P456" s="2">
        <v>45361</v>
      </c>
      <c r="Q456" s="2">
        <v>45978</v>
      </c>
      <c r="R456" s="1" t="s">
        <v>1887</v>
      </c>
      <c r="S456" s="1">
        <v>49</v>
      </c>
      <c r="T456" s="1">
        <v>40</v>
      </c>
      <c r="U456" s="1" t="s">
        <v>38</v>
      </c>
      <c r="V456" s="3">
        <f>tblInventory[[#This Row],[Stock_Quantity]]*tblInventory[[#This Row],[Unit_Price]]</f>
        <v>675</v>
      </c>
      <c r="W456" s="1" t="str">
        <f>IF(tblInventory[[#This Row],[Status]]="Discontinued","INACTIVE",
IF(tblInventory[[#This Row],[Stock_Quantity]] &lt; tblInventory[[#This Row],[Reorder_Level]],"REORDER","OK"))</f>
        <v>REORDER</v>
      </c>
      <c r="X456" s="1" t="str">
        <f t="shared" ca="1" si="15"/>
        <v>Expired</v>
      </c>
    </row>
    <row r="457" spans="1:24">
      <c r="A457" s="1">
        <v>456</v>
      </c>
      <c r="B457" s="1" t="s">
        <v>2220</v>
      </c>
      <c r="C457" s="1" t="s">
        <v>243</v>
      </c>
      <c r="D457" s="1" t="s">
        <v>155</v>
      </c>
      <c r="E457" s="1" t="s">
        <v>2221</v>
      </c>
      <c r="F457" s="1" t="s">
        <v>1115</v>
      </c>
      <c r="G457" s="6">
        <v>43</v>
      </c>
      <c r="H457" s="8">
        <f>tblInventory[[#This Row],[Stock_Quantity]] * tblInventory[[#This Row],[Unit_Price]]</f>
        <v>387</v>
      </c>
      <c r="I457" s="1">
        <v>7</v>
      </c>
      <c r="J457" s="1">
        <v>63</v>
      </c>
      <c r="K457" s="8">
        <f>tblInventory[[#This Row],[Reorder_Quantity]]*M457</f>
        <v>567</v>
      </c>
      <c r="L457" s="10">
        <f>tblInventory[[#This Row],[Stock_Quantity]] / tblInventory[[#This Row],[Reorder_Quantity]]</f>
        <v>0.68253968253968256</v>
      </c>
      <c r="M457" s="3">
        <v>9</v>
      </c>
      <c r="N457" s="10">
        <f t="shared" si="14"/>
        <v>0.7300509337860781</v>
      </c>
      <c r="O457" s="1" t="s">
        <v>402</v>
      </c>
      <c r="P457" s="1" t="s">
        <v>1000</v>
      </c>
      <c r="Q457" s="2">
        <v>46081</v>
      </c>
      <c r="R457" s="1" t="s">
        <v>2222</v>
      </c>
      <c r="S457" s="1">
        <v>66</v>
      </c>
      <c r="T457" s="1">
        <v>71</v>
      </c>
      <c r="U457" s="1" t="s">
        <v>46</v>
      </c>
      <c r="V457" s="3">
        <f>tblInventory[[#This Row],[Stock_Quantity]]*tblInventory[[#This Row],[Unit_Price]]</f>
        <v>387</v>
      </c>
      <c r="W457" s="1" t="str">
        <f>IF(tblInventory[[#This Row],[Status]]="Discontinued","INACTIVE",
IF(tblInventory[[#This Row],[Stock_Quantity]] &lt; tblInventory[[#This Row],[Reorder_Level]],"REORDER","OK"))</f>
        <v>OK</v>
      </c>
      <c r="X457" s="1" t="str">
        <f t="shared" ca="1" si="15"/>
        <v>Valid</v>
      </c>
    </row>
    <row r="458" spans="1:24">
      <c r="A458" s="1">
        <v>457</v>
      </c>
      <c r="B458" s="1" t="s">
        <v>2405</v>
      </c>
      <c r="C458" s="1" t="s">
        <v>243</v>
      </c>
      <c r="D458" s="1" t="s">
        <v>155</v>
      </c>
      <c r="E458" s="1" t="s">
        <v>2406</v>
      </c>
      <c r="F458" s="1" t="s">
        <v>2394</v>
      </c>
      <c r="G458" s="6">
        <v>76</v>
      </c>
      <c r="H458" s="8">
        <f>tblInventory[[#This Row],[Stock_Quantity]] * tblInventory[[#This Row],[Unit_Price]]</f>
        <v>684</v>
      </c>
      <c r="I458" s="1">
        <v>57</v>
      </c>
      <c r="J458" s="1">
        <v>78</v>
      </c>
      <c r="K458" s="8">
        <f>tblInventory[[#This Row],[Reorder_Quantity]]*M458</f>
        <v>702</v>
      </c>
      <c r="L458" s="10">
        <f>tblInventory[[#This Row],[Stock_Quantity]] / tblInventory[[#This Row],[Reorder_Quantity]]</f>
        <v>0.97435897435897434</v>
      </c>
      <c r="M458" s="3">
        <v>9</v>
      </c>
      <c r="N458" s="10">
        <f t="shared" si="14"/>
        <v>1.2903225806451613</v>
      </c>
      <c r="O458" s="1" t="s">
        <v>1400</v>
      </c>
      <c r="P458" s="1" t="s">
        <v>1424</v>
      </c>
      <c r="Q458" s="2">
        <v>46139</v>
      </c>
      <c r="R458" s="1" t="s">
        <v>2407</v>
      </c>
      <c r="S458" s="1">
        <v>52</v>
      </c>
      <c r="T458" s="1">
        <v>86</v>
      </c>
      <c r="U458" s="1" t="s">
        <v>24</v>
      </c>
      <c r="V458" s="3">
        <f>tblInventory[[#This Row],[Stock_Quantity]]*tblInventory[[#This Row],[Unit_Price]]</f>
        <v>684</v>
      </c>
      <c r="W458" s="1" t="str">
        <f>IF(tblInventory[[#This Row],[Status]]="Discontinued","INACTIVE",
IF(tblInventory[[#This Row],[Stock_Quantity]] &lt; tblInventory[[#This Row],[Reorder_Level]],"REORDER","OK"))</f>
        <v>INACTIVE</v>
      </c>
      <c r="X458" s="1" t="str">
        <f t="shared" ca="1" si="15"/>
        <v>Valid</v>
      </c>
    </row>
    <row r="459" spans="1:24">
      <c r="A459" s="1">
        <v>458</v>
      </c>
      <c r="B459" s="1" t="s">
        <v>2629</v>
      </c>
      <c r="C459" s="1" t="s">
        <v>243</v>
      </c>
      <c r="D459" s="1" t="s">
        <v>155</v>
      </c>
      <c r="E459" s="1" t="s">
        <v>2630</v>
      </c>
      <c r="F459" s="1" t="s">
        <v>276</v>
      </c>
      <c r="G459" s="6">
        <v>79</v>
      </c>
      <c r="H459" s="8">
        <f>tblInventory[[#This Row],[Stock_Quantity]] * tblInventory[[#This Row],[Unit_Price]]</f>
        <v>711</v>
      </c>
      <c r="I459" s="1">
        <v>53</v>
      </c>
      <c r="J459" s="1">
        <v>12</v>
      </c>
      <c r="K459" s="8">
        <f>tblInventory[[#This Row],[Reorder_Quantity]]*M459</f>
        <v>108</v>
      </c>
      <c r="L459" s="10">
        <f>tblInventory[[#This Row],[Stock_Quantity]] / tblInventory[[#This Row],[Reorder_Quantity]]</f>
        <v>6.583333333333333</v>
      </c>
      <c r="M459" s="3">
        <v>9</v>
      </c>
      <c r="N459" s="10">
        <f t="shared" si="14"/>
        <v>1.3412563667232598</v>
      </c>
      <c r="O459" s="1" t="s">
        <v>211</v>
      </c>
      <c r="P459" s="1" t="s">
        <v>30</v>
      </c>
      <c r="Q459" s="2">
        <v>46119</v>
      </c>
      <c r="R459" s="1" t="s">
        <v>2631</v>
      </c>
      <c r="S459" s="1">
        <v>45</v>
      </c>
      <c r="T459" s="1">
        <v>95</v>
      </c>
      <c r="U459" s="1" t="s">
        <v>24</v>
      </c>
      <c r="V459" s="3">
        <f>tblInventory[[#This Row],[Stock_Quantity]]*tblInventory[[#This Row],[Unit_Price]]</f>
        <v>711</v>
      </c>
      <c r="W459" s="1" t="str">
        <f>IF(tblInventory[[#This Row],[Status]]="Discontinued","INACTIVE",
IF(tblInventory[[#This Row],[Stock_Quantity]] &lt; tblInventory[[#This Row],[Reorder_Level]],"REORDER","OK"))</f>
        <v>INACTIVE</v>
      </c>
      <c r="X459" s="1" t="str">
        <f t="shared" ca="1" si="15"/>
        <v>Valid</v>
      </c>
    </row>
    <row r="460" spans="1:24">
      <c r="A460" s="1">
        <v>459</v>
      </c>
      <c r="B460" s="1" t="s">
        <v>2867</v>
      </c>
      <c r="C460" s="1" t="s">
        <v>243</v>
      </c>
      <c r="D460" s="1" t="s">
        <v>155</v>
      </c>
      <c r="E460" s="1" t="s">
        <v>2868</v>
      </c>
      <c r="F460" s="1" t="s">
        <v>2869</v>
      </c>
      <c r="G460" s="6">
        <v>98</v>
      </c>
      <c r="H460" s="8">
        <f>tblInventory[[#This Row],[Stock_Quantity]] * tblInventory[[#This Row],[Unit_Price]]</f>
        <v>882</v>
      </c>
      <c r="I460" s="1">
        <v>100</v>
      </c>
      <c r="J460" s="1">
        <v>34</v>
      </c>
      <c r="K460" s="8">
        <f>tblInventory[[#This Row],[Reorder_Quantity]]*M460</f>
        <v>306</v>
      </c>
      <c r="L460" s="10">
        <f>tblInventory[[#This Row],[Stock_Quantity]] / tblInventory[[#This Row],[Reorder_Quantity]]</f>
        <v>2.8823529411764706</v>
      </c>
      <c r="M460" s="3">
        <v>9</v>
      </c>
      <c r="N460" s="10">
        <f t="shared" si="14"/>
        <v>1.66383701188455</v>
      </c>
      <c r="O460" s="1" t="s">
        <v>226</v>
      </c>
      <c r="P460" s="1" t="s">
        <v>560</v>
      </c>
      <c r="Q460" s="2">
        <v>46279</v>
      </c>
      <c r="R460" s="1" t="s">
        <v>2870</v>
      </c>
      <c r="S460" s="1">
        <v>53</v>
      </c>
      <c r="T460" s="1">
        <v>20</v>
      </c>
      <c r="U460" s="1" t="s">
        <v>46</v>
      </c>
      <c r="V460" s="3">
        <f>tblInventory[[#This Row],[Stock_Quantity]]*tblInventory[[#This Row],[Unit_Price]]</f>
        <v>882</v>
      </c>
      <c r="W460" s="1" t="str">
        <f>IF(tblInventory[[#This Row],[Status]]="Discontinued","INACTIVE",
IF(tblInventory[[#This Row],[Stock_Quantity]] &lt; tblInventory[[#This Row],[Reorder_Level]],"REORDER","OK"))</f>
        <v>REORDER</v>
      </c>
      <c r="X460" s="1" t="str">
        <f t="shared" ca="1" si="15"/>
        <v>Valid</v>
      </c>
    </row>
    <row r="461" spans="1:24">
      <c r="A461" s="1">
        <v>460</v>
      </c>
      <c r="B461" s="1" t="s">
        <v>3038</v>
      </c>
      <c r="C461" s="1" t="s">
        <v>243</v>
      </c>
      <c r="D461" s="1" t="s">
        <v>155</v>
      </c>
      <c r="E461" s="1" t="s">
        <v>3039</v>
      </c>
      <c r="F461" s="1" t="s">
        <v>455</v>
      </c>
      <c r="G461" s="6">
        <v>11</v>
      </c>
      <c r="H461" s="8">
        <f>tblInventory[[#This Row],[Stock_Quantity]] * tblInventory[[#This Row],[Unit_Price]]</f>
        <v>99</v>
      </c>
      <c r="I461" s="1">
        <v>87</v>
      </c>
      <c r="J461" s="1">
        <v>43</v>
      </c>
      <c r="K461" s="8">
        <f>tblInventory[[#This Row],[Reorder_Quantity]]*M461</f>
        <v>387</v>
      </c>
      <c r="L461" s="10">
        <f>tblInventory[[#This Row],[Stock_Quantity]] / tblInventory[[#This Row],[Reorder_Quantity]]</f>
        <v>0.2558139534883721</v>
      </c>
      <c r="M461" s="3">
        <v>9</v>
      </c>
      <c r="N461" s="10">
        <f t="shared" si="14"/>
        <v>0.18675721561969441</v>
      </c>
      <c r="O461" s="2">
        <v>45689</v>
      </c>
      <c r="P461" s="2">
        <v>45449</v>
      </c>
      <c r="Q461" s="2">
        <v>46245</v>
      </c>
      <c r="R461" s="1" t="s">
        <v>3040</v>
      </c>
      <c r="S461" s="1">
        <v>86</v>
      </c>
      <c r="T461" s="1">
        <v>91</v>
      </c>
      <c r="U461" s="1" t="s">
        <v>46</v>
      </c>
      <c r="V461" s="3">
        <f>tblInventory[[#This Row],[Stock_Quantity]]*tblInventory[[#This Row],[Unit_Price]]</f>
        <v>99</v>
      </c>
      <c r="W461" s="1" t="str">
        <f>IF(tblInventory[[#This Row],[Status]]="Discontinued","INACTIVE",
IF(tblInventory[[#This Row],[Stock_Quantity]] &lt; tblInventory[[#This Row],[Reorder_Level]],"REORDER","OK"))</f>
        <v>REORDER</v>
      </c>
      <c r="X461" s="1" t="str">
        <f t="shared" ca="1" si="15"/>
        <v>Valid</v>
      </c>
    </row>
    <row r="462" spans="1:24">
      <c r="A462" s="1">
        <v>461</v>
      </c>
      <c r="B462" s="1" t="s">
        <v>3324</v>
      </c>
      <c r="C462" s="1" t="s">
        <v>243</v>
      </c>
      <c r="D462" s="1" t="s">
        <v>155</v>
      </c>
      <c r="E462" s="1" t="s">
        <v>3325</v>
      </c>
      <c r="F462" s="1" t="s">
        <v>808</v>
      </c>
      <c r="G462" s="6">
        <v>67</v>
      </c>
      <c r="H462" s="8">
        <f>tblInventory[[#This Row],[Stock_Quantity]] * tblInventory[[#This Row],[Unit_Price]]</f>
        <v>603</v>
      </c>
      <c r="I462" s="1">
        <v>71</v>
      </c>
      <c r="J462" s="1">
        <v>4</v>
      </c>
      <c r="K462" s="8">
        <f>tblInventory[[#This Row],[Reorder_Quantity]]*M462</f>
        <v>36</v>
      </c>
      <c r="L462" s="10">
        <f>tblInventory[[#This Row],[Stock_Quantity]] / tblInventory[[#This Row],[Reorder_Quantity]]</f>
        <v>16.75</v>
      </c>
      <c r="M462" s="3">
        <v>9</v>
      </c>
      <c r="N462" s="10">
        <f t="shared" si="14"/>
        <v>1.137521222410866</v>
      </c>
      <c r="O462" s="1" t="s">
        <v>1008</v>
      </c>
      <c r="P462" s="1" t="s">
        <v>1418</v>
      </c>
      <c r="Q462" s="2">
        <v>46601</v>
      </c>
      <c r="R462" s="1" t="s">
        <v>3326</v>
      </c>
      <c r="S462" s="1">
        <v>76</v>
      </c>
      <c r="T462" s="1">
        <v>34</v>
      </c>
      <c r="U462" s="1" t="s">
        <v>38</v>
      </c>
      <c r="V462" s="3">
        <f>tblInventory[[#This Row],[Stock_Quantity]]*tblInventory[[#This Row],[Unit_Price]]</f>
        <v>603</v>
      </c>
      <c r="W462" s="1" t="str">
        <f>IF(tblInventory[[#This Row],[Status]]="Discontinued","INACTIVE",
IF(tblInventory[[#This Row],[Stock_Quantity]] &lt; tblInventory[[#This Row],[Reorder_Level]],"REORDER","OK"))</f>
        <v>REORDER</v>
      </c>
      <c r="X462" s="1" t="str">
        <f t="shared" ca="1" si="15"/>
        <v>Valid</v>
      </c>
    </row>
    <row r="463" spans="1:24">
      <c r="A463" s="1">
        <v>462</v>
      </c>
      <c r="B463" s="1" t="s">
        <v>3395</v>
      </c>
      <c r="C463" s="1" t="s">
        <v>243</v>
      </c>
      <c r="D463" s="1" t="s">
        <v>155</v>
      </c>
      <c r="E463" s="1" t="s">
        <v>3396</v>
      </c>
      <c r="F463" s="1" t="s">
        <v>2869</v>
      </c>
      <c r="G463" s="6">
        <v>19</v>
      </c>
      <c r="H463" s="8">
        <f>tblInventory[[#This Row],[Stock_Quantity]] * tblInventory[[#This Row],[Unit_Price]]</f>
        <v>171</v>
      </c>
      <c r="I463" s="1">
        <v>99</v>
      </c>
      <c r="J463" s="1">
        <v>78</v>
      </c>
      <c r="K463" s="8">
        <f>tblInventory[[#This Row],[Reorder_Quantity]]*M463</f>
        <v>702</v>
      </c>
      <c r="L463" s="10">
        <f>tblInventory[[#This Row],[Stock_Quantity]] / tblInventory[[#This Row],[Reorder_Quantity]]</f>
        <v>0.24358974358974358</v>
      </c>
      <c r="M463" s="3">
        <v>9</v>
      </c>
      <c r="N463" s="10">
        <f t="shared" si="14"/>
        <v>0.32258064516129031</v>
      </c>
      <c r="O463" s="1" t="s">
        <v>1285</v>
      </c>
      <c r="P463" s="1" t="s">
        <v>566</v>
      </c>
      <c r="Q463" s="2">
        <v>46449</v>
      </c>
      <c r="R463" s="1" t="s">
        <v>3397</v>
      </c>
      <c r="S463" s="1">
        <v>29</v>
      </c>
      <c r="T463" s="1">
        <v>54</v>
      </c>
      <c r="U463" s="1" t="s">
        <v>24</v>
      </c>
      <c r="V463" s="3">
        <f>tblInventory[[#This Row],[Stock_Quantity]]*tblInventory[[#This Row],[Unit_Price]]</f>
        <v>171</v>
      </c>
      <c r="W463" s="1" t="str">
        <f>IF(tblInventory[[#This Row],[Status]]="Discontinued","INACTIVE",
IF(tblInventory[[#This Row],[Stock_Quantity]] &lt; tblInventory[[#This Row],[Reorder_Level]],"REORDER","OK"))</f>
        <v>INACTIVE</v>
      </c>
      <c r="X463" s="1" t="str">
        <f t="shared" ca="1" si="15"/>
        <v>Valid</v>
      </c>
    </row>
    <row r="464" spans="1:24">
      <c r="A464" s="1">
        <v>463</v>
      </c>
      <c r="B464" s="1" t="s">
        <v>3482</v>
      </c>
      <c r="C464" s="1" t="s">
        <v>243</v>
      </c>
      <c r="D464" s="1" t="s">
        <v>155</v>
      </c>
      <c r="E464" s="1" t="s">
        <v>3483</v>
      </c>
      <c r="F464" s="1" t="s">
        <v>149</v>
      </c>
      <c r="G464" s="6">
        <v>61</v>
      </c>
      <c r="H464" s="8">
        <f>tblInventory[[#This Row],[Stock_Quantity]] * tblInventory[[#This Row],[Unit_Price]]</f>
        <v>549</v>
      </c>
      <c r="I464" s="1">
        <v>91</v>
      </c>
      <c r="J464" s="1">
        <v>40</v>
      </c>
      <c r="K464" s="8">
        <f>tblInventory[[#This Row],[Reorder_Quantity]]*M464</f>
        <v>360</v>
      </c>
      <c r="L464" s="10">
        <f>tblInventory[[#This Row],[Stock_Quantity]] / tblInventory[[#This Row],[Reorder_Quantity]]</f>
        <v>1.5249999999999999</v>
      </c>
      <c r="M464" s="3">
        <v>9</v>
      </c>
      <c r="N464" s="10">
        <f t="shared" si="14"/>
        <v>1.0356536502546689</v>
      </c>
      <c r="O464" s="2">
        <v>45870</v>
      </c>
      <c r="P464" s="1" t="s">
        <v>396</v>
      </c>
      <c r="Q464" s="2">
        <v>46477</v>
      </c>
      <c r="R464" s="1" t="s">
        <v>3484</v>
      </c>
      <c r="S464" s="1">
        <v>34</v>
      </c>
      <c r="T464" s="1">
        <v>76</v>
      </c>
      <c r="U464" s="1" t="s">
        <v>46</v>
      </c>
      <c r="V464" s="3">
        <f>tblInventory[[#This Row],[Stock_Quantity]]*tblInventory[[#This Row],[Unit_Price]]</f>
        <v>549</v>
      </c>
      <c r="W464" s="1" t="str">
        <f>IF(tblInventory[[#This Row],[Status]]="Discontinued","INACTIVE",
IF(tblInventory[[#This Row],[Stock_Quantity]] &lt; tblInventory[[#This Row],[Reorder_Level]],"REORDER","OK"))</f>
        <v>REORDER</v>
      </c>
      <c r="X464" s="1" t="str">
        <f t="shared" ca="1" si="15"/>
        <v>Valid</v>
      </c>
    </row>
    <row r="465" spans="1:24">
      <c r="A465" s="1">
        <v>464</v>
      </c>
      <c r="B465" s="1" t="s">
        <v>1366</v>
      </c>
      <c r="C465" s="1" t="s">
        <v>1367</v>
      </c>
      <c r="D465" s="1" t="s">
        <v>155</v>
      </c>
      <c r="E465" s="1" t="s">
        <v>1368</v>
      </c>
      <c r="F465" s="1" t="s">
        <v>970</v>
      </c>
      <c r="G465" s="6">
        <v>40</v>
      </c>
      <c r="H465" s="8">
        <f>tblInventory[[#This Row],[Stock_Quantity]] * tblInventory[[#This Row],[Unit_Price]]</f>
        <v>800</v>
      </c>
      <c r="I465" s="1">
        <v>81</v>
      </c>
      <c r="J465" s="1">
        <v>78</v>
      </c>
      <c r="K465" s="8">
        <f>tblInventory[[#This Row],[Reorder_Quantity]]*M465</f>
        <v>1560</v>
      </c>
      <c r="L465" s="10">
        <f>tblInventory[[#This Row],[Stock_Quantity]] / tblInventory[[#This Row],[Reorder_Quantity]]</f>
        <v>0.51282051282051277</v>
      </c>
      <c r="M465" s="3">
        <v>20</v>
      </c>
      <c r="N465" s="10">
        <f t="shared" si="14"/>
        <v>0.6791171477079796</v>
      </c>
      <c r="O465" s="1" t="s">
        <v>566</v>
      </c>
      <c r="P465" s="1" t="s">
        <v>204</v>
      </c>
      <c r="Q465" s="2">
        <v>45832</v>
      </c>
      <c r="R465" s="1" t="s">
        <v>1369</v>
      </c>
      <c r="S465" s="1">
        <v>39</v>
      </c>
      <c r="T465" s="1">
        <v>65</v>
      </c>
      <c r="U465" s="1" t="s">
        <v>38</v>
      </c>
      <c r="V465" s="3">
        <f>tblInventory[[#This Row],[Stock_Quantity]]*tblInventory[[#This Row],[Unit_Price]]</f>
        <v>800</v>
      </c>
      <c r="W465" s="1" t="str">
        <f>IF(tblInventory[[#This Row],[Status]]="Discontinued","INACTIVE",
IF(tblInventory[[#This Row],[Stock_Quantity]] &lt; tblInventory[[#This Row],[Reorder_Level]],"REORDER","OK"))</f>
        <v>REORDER</v>
      </c>
      <c r="X465" s="1" t="str">
        <f t="shared" ca="1" si="15"/>
        <v>Expired</v>
      </c>
    </row>
    <row r="466" spans="1:24">
      <c r="A466" s="1">
        <v>465</v>
      </c>
      <c r="B466" s="1" t="s">
        <v>1498</v>
      </c>
      <c r="C466" s="1" t="s">
        <v>1367</v>
      </c>
      <c r="D466" s="1" t="s">
        <v>155</v>
      </c>
      <c r="E466" s="1" t="s">
        <v>1499</v>
      </c>
      <c r="F466" s="1" t="s">
        <v>1500</v>
      </c>
      <c r="G466" s="6">
        <v>18</v>
      </c>
      <c r="H466" s="8">
        <f>tblInventory[[#This Row],[Stock_Quantity]] * tblInventory[[#This Row],[Unit_Price]]</f>
        <v>360</v>
      </c>
      <c r="I466" s="1">
        <v>46</v>
      </c>
      <c r="J466" s="1">
        <v>26</v>
      </c>
      <c r="K466" s="8">
        <f>tblInventory[[#This Row],[Reorder_Quantity]]*M466</f>
        <v>520</v>
      </c>
      <c r="L466" s="10">
        <f>tblInventory[[#This Row],[Stock_Quantity]] / tblInventory[[#This Row],[Reorder_Quantity]]</f>
        <v>0.69230769230769229</v>
      </c>
      <c r="M466" s="3">
        <v>20</v>
      </c>
      <c r="N466" s="10">
        <f t="shared" si="14"/>
        <v>0.30560271646859083</v>
      </c>
      <c r="O466" s="2">
        <v>45569</v>
      </c>
      <c r="P466" s="2">
        <v>45575</v>
      </c>
      <c r="Q466" s="2">
        <v>45866</v>
      </c>
      <c r="R466" s="1" t="s">
        <v>1501</v>
      </c>
      <c r="S466" s="1">
        <v>57</v>
      </c>
      <c r="T466" s="1">
        <v>95</v>
      </c>
      <c r="U466" s="1" t="s">
        <v>38</v>
      </c>
      <c r="V466" s="3">
        <f>tblInventory[[#This Row],[Stock_Quantity]]*tblInventory[[#This Row],[Unit_Price]]</f>
        <v>360</v>
      </c>
      <c r="W466" s="1" t="str">
        <f>IF(tblInventory[[#This Row],[Status]]="Discontinued","INACTIVE",
IF(tblInventory[[#This Row],[Stock_Quantity]] &lt; tblInventory[[#This Row],[Reorder_Level]],"REORDER","OK"))</f>
        <v>REORDER</v>
      </c>
      <c r="X466" s="1" t="str">
        <f t="shared" ca="1" si="15"/>
        <v>Expired</v>
      </c>
    </row>
    <row r="467" spans="1:24">
      <c r="A467" s="1">
        <v>466</v>
      </c>
      <c r="B467" s="1" t="s">
        <v>1599</v>
      </c>
      <c r="C467" s="1" t="s">
        <v>1367</v>
      </c>
      <c r="D467" s="1" t="s">
        <v>155</v>
      </c>
      <c r="E467" s="1" t="s">
        <v>1600</v>
      </c>
      <c r="F467" s="1" t="s">
        <v>1601</v>
      </c>
      <c r="G467" s="6">
        <v>47</v>
      </c>
      <c r="H467" s="8">
        <f>tblInventory[[#This Row],[Stock_Quantity]] * tblInventory[[#This Row],[Unit_Price]]</f>
        <v>940</v>
      </c>
      <c r="I467" s="1">
        <v>29</v>
      </c>
      <c r="J467" s="1">
        <v>70</v>
      </c>
      <c r="K467" s="8">
        <f>tblInventory[[#This Row],[Reorder_Quantity]]*M467</f>
        <v>1400</v>
      </c>
      <c r="L467" s="10">
        <f>tblInventory[[#This Row],[Stock_Quantity]] / tblInventory[[#This Row],[Reorder_Quantity]]</f>
        <v>0.67142857142857137</v>
      </c>
      <c r="M467" s="3">
        <v>20</v>
      </c>
      <c r="N467" s="10">
        <f t="shared" si="14"/>
        <v>0.79796264855687604</v>
      </c>
      <c r="O467" s="2">
        <v>45543</v>
      </c>
      <c r="P467" s="2">
        <v>45485</v>
      </c>
      <c r="Q467" s="2">
        <v>45895</v>
      </c>
      <c r="R467" s="1" t="s">
        <v>1602</v>
      </c>
      <c r="S467" s="1">
        <v>61</v>
      </c>
      <c r="T467" s="1">
        <v>44</v>
      </c>
      <c r="U467" s="1" t="s">
        <v>46</v>
      </c>
      <c r="V467" s="3">
        <f>tblInventory[[#This Row],[Stock_Quantity]]*tblInventory[[#This Row],[Unit_Price]]</f>
        <v>940</v>
      </c>
      <c r="W467" s="1" t="str">
        <f>IF(tblInventory[[#This Row],[Status]]="Discontinued","INACTIVE",
IF(tblInventory[[#This Row],[Stock_Quantity]] &lt; tblInventory[[#This Row],[Reorder_Level]],"REORDER","OK"))</f>
        <v>OK</v>
      </c>
      <c r="X467" s="1" t="str">
        <f t="shared" ca="1" si="15"/>
        <v>Expired</v>
      </c>
    </row>
    <row r="468" spans="1:24">
      <c r="A468" s="1">
        <v>467</v>
      </c>
      <c r="B468" s="1" t="s">
        <v>3164</v>
      </c>
      <c r="C468" s="1" t="s">
        <v>1367</v>
      </c>
      <c r="D468" s="1" t="s">
        <v>155</v>
      </c>
      <c r="E468" s="1" t="s">
        <v>3165</v>
      </c>
      <c r="F468" s="1" t="s">
        <v>927</v>
      </c>
      <c r="G468" s="6">
        <v>82</v>
      </c>
      <c r="H468" s="8">
        <f>tblInventory[[#This Row],[Stock_Quantity]] * tblInventory[[#This Row],[Unit_Price]]</f>
        <v>1640</v>
      </c>
      <c r="I468" s="1">
        <v>31</v>
      </c>
      <c r="J468" s="1">
        <v>86</v>
      </c>
      <c r="K468" s="8">
        <f>tblInventory[[#This Row],[Reorder_Quantity]]*M468</f>
        <v>1720</v>
      </c>
      <c r="L468" s="10">
        <f>tblInventory[[#This Row],[Stock_Quantity]] / tblInventory[[#This Row],[Reorder_Quantity]]</f>
        <v>0.95348837209302328</v>
      </c>
      <c r="M468" s="3">
        <v>20</v>
      </c>
      <c r="N468" s="10">
        <f t="shared" si="14"/>
        <v>1.3921901528013583</v>
      </c>
      <c r="O468" s="2">
        <v>45569</v>
      </c>
      <c r="P468" s="1" t="s">
        <v>766</v>
      </c>
      <c r="Q468" s="2">
        <v>46374</v>
      </c>
      <c r="R468" s="1" t="s">
        <v>3166</v>
      </c>
      <c r="S468" s="1">
        <v>66</v>
      </c>
      <c r="T468" s="1">
        <v>74</v>
      </c>
      <c r="U468" s="1" t="s">
        <v>46</v>
      </c>
      <c r="V468" s="3">
        <f>tblInventory[[#This Row],[Stock_Quantity]]*tblInventory[[#This Row],[Unit_Price]]</f>
        <v>1640</v>
      </c>
      <c r="W468" s="1" t="str">
        <f>IF(tblInventory[[#This Row],[Status]]="Discontinued","INACTIVE",
IF(tblInventory[[#This Row],[Stock_Quantity]] &lt; tblInventory[[#This Row],[Reorder_Level]],"REORDER","OK"))</f>
        <v>OK</v>
      </c>
      <c r="X468" s="1" t="str">
        <f t="shared" ca="1" si="15"/>
        <v>Valid</v>
      </c>
    </row>
    <row r="469" spans="1:24">
      <c r="A469" s="1">
        <v>468</v>
      </c>
      <c r="B469" s="1" t="s">
        <v>3256</v>
      </c>
      <c r="C469" s="1" t="s">
        <v>1367</v>
      </c>
      <c r="D469" s="1" t="s">
        <v>155</v>
      </c>
      <c r="E469" s="1" t="s">
        <v>3257</v>
      </c>
      <c r="F469" s="1" t="s">
        <v>1542</v>
      </c>
      <c r="G469" s="6">
        <v>35</v>
      </c>
      <c r="H469" s="8">
        <f>tblInventory[[#This Row],[Stock_Quantity]] * tblInventory[[#This Row],[Unit_Price]]</f>
        <v>700</v>
      </c>
      <c r="I469" s="1">
        <v>72</v>
      </c>
      <c r="J469" s="1">
        <v>70</v>
      </c>
      <c r="K469" s="8">
        <f>tblInventory[[#This Row],[Reorder_Quantity]]*M469</f>
        <v>1400</v>
      </c>
      <c r="L469" s="10">
        <f>tblInventory[[#This Row],[Stock_Quantity]] / tblInventory[[#This Row],[Reorder_Quantity]]</f>
        <v>0.5</v>
      </c>
      <c r="M469" s="3">
        <v>20</v>
      </c>
      <c r="N469" s="10">
        <f t="shared" si="14"/>
        <v>0.59422750424448223</v>
      </c>
      <c r="O469" s="1" t="s">
        <v>44</v>
      </c>
      <c r="P469" s="2">
        <v>45386</v>
      </c>
      <c r="Q469" s="2">
        <v>46404</v>
      </c>
      <c r="R469" s="1" t="s">
        <v>3258</v>
      </c>
      <c r="S469" s="1">
        <v>74</v>
      </c>
      <c r="T469" s="1">
        <v>15</v>
      </c>
      <c r="U469" s="1" t="s">
        <v>38</v>
      </c>
      <c r="V469" s="3">
        <f>tblInventory[[#This Row],[Stock_Quantity]]*tblInventory[[#This Row],[Unit_Price]]</f>
        <v>700</v>
      </c>
      <c r="W469" s="1" t="str">
        <f>IF(tblInventory[[#This Row],[Status]]="Discontinued","INACTIVE",
IF(tblInventory[[#This Row],[Stock_Quantity]] &lt; tblInventory[[#This Row],[Reorder_Level]],"REORDER","OK"))</f>
        <v>REORDER</v>
      </c>
      <c r="X469" s="1" t="str">
        <f t="shared" ca="1" si="15"/>
        <v>Valid</v>
      </c>
    </row>
    <row r="470" spans="1:24">
      <c r="A470" s="1">
        <v>469</v>
      </c>
      <c r="B470" s="1" t="s">
        <v>3411</v>
      </c>
      <c r="C470" s="1" t="s">
        <v>1367</v>
      </c>
      <c r="D470" s="1" t="s">
        <v>155</v>
      </c>
      <c r="E470" s="1" t="s">
        <v>3412</v>
      </c>
      <c r="F470" s="1" t="s">
        <v>1650</v>
      </c>
      <c r="G470" s="6">
        <v>88</v>
      </c>
      <c r="H470" s="8">
        <f>tblInventory[[#This Row],[Stock_Quantity]] * tblInventory[[#This Row],[Unit_Price]]</f>
        <v>1760</v>
      </c>
      <c r="I470" s="1">
        <v>42</v>
      </c>
      <c r="J470" s="1">
        <v>68</v>
      </c>
      <c r="K470" s="8">
        <f>tblInventory[[#This Row],[Reorder_Quantity]]*M470</f>
        <v>1360</v>
      </c>
      <c r="L470" s="10">
        <f>tblInventory[[#This Row],[Stock_Quantity]] / tblInventory[[#This Row],[Reorder_Quantity]]</f>
        <v>1.2941176470588236</v>
      </c>
      <c r="M470" s="3">
        <v>20</v>
      </c>
      <c r="N470" s="10">
        <f t="shared" si="14"/>
        <v>1.4940577249575553</v>
      </c>
      <c r="O470" s="1" t="s">
        <v>240</v>
      </c>
      <c r="P470" s="1" t="s">
        <v>1134</v>
      </c>
      <c r="Q470" s="2">
        <v>46602</v>
      </c>
      <c r="R470" s="1" t="s">
        <v>3413</v>
      </c>
      <c r="S470" s="1">
        <v>92</v>
      </c>
      <c r="T470" s="1">
        <v>29</v>
      </c>
      <c r="U470" s="1" t="s">
        <v>46</v>
      </c>
      <c r="V470" s="3">
        <f>tblInventory[[#This Row],[Stock_Quantity]]*tblInventory[[#This Row],[Unit_Price]]</f>
        <v>1760</v>
      </c>
      <c r="W470" s="1" t="str">
        <f>IF(tblInventory[[#This Row],[Status]]="Discontinued","INACTIVE",
IF(tblInventory[[#This Row],[Stock_Quantity]] &lt; tblInventory[[#This Row],[Reorder_Level]],"REORDER","OK"))</f>
        <v>OK</v>
      </c>
      <c r="X470" s="1" t="str">
        <f t="shared" ca="1" si="15"/>
        <v>Valid</v>
      </c>
    </row>
    <row r="471" spans="1:24">
      <c r="A471" s="1">
        <v>470</v>
      </c>
      <c r="B471" s="1" t="s">
        <v>3426</v>
      </c>
      <c r="C471" s="1" t="s">
        <v>1367</v>
      </c>
      <c r="D471" s="1" t="s">
        <v>155</v>
      </c>
      <c r="E471" s="1" t="s">
        <v>3427</v>
      </c>
      <c r="F471" s="1" t="s">
        <v>849</v>
      </c>
      <c r="G471" s="6">
        <v>68</v>
      </c>
      <c r="H471" s="8">
        <f>tblInventory[[#This Row],[Stock_Quantity]] * tblInventory[[#This Row],[Unit_Price]]</f>
        <v>1360</v>
      </c>
      <c r="I471" s="1">
        <v>43</v>
      </c>
      <c r="J471" s="1">
        <v>96</v>
      </c>
      <c r="K471" s="8">
        <f>tblInventory[[#This Row],[Reorder_Quantity]]*M471</f>
        <v>1920</v>
      </c>
      <c r="L471" s="10">
        <f>tblInventory[[#This Row],[Stock_Quantity]] / tblInventory[[#This Row],[Reorder_Quantity]]</f>
        <v>0.70833333333333337</v>
      </c>
      <c r="M471" s="3">
        <v>20</v>
      </c>
      <c r="N471" s="10">
        <f t="shared" si="14"/>
        <v>1.1544991511035654</v>
      </c>
      <c r="O471" s="1" t="s">
        <v>317</v>
      </c>
      <c r="P471" s="1" t="s">
        <v>786</v>
      </c>
      <c r="Q471" s="2">
        <v>46459</v>
      </c>
      <c r="R471" s="1" t="s">
        <v>3428</v>
      </c>
      <c r="S471" s="1">
        <v>75</v>
      </c>
      <c r="T471" s="1">
        <v>35</v>
      </c>
      <c r="U471" s="1" t="s">
        <v>38</v>
      </c>
      <c r="V471" s="3">
        <f>tblInventory[[#This Row],[Stock_Quantity]]*tblInventory[[#This Row],[Unit_Price]]</f>
        <v>1360</v>
      </c>
      <c r="W471" s="1" t="str">
        <f>IF(tblInventory[[#This Row],[Status]]="Discontinued","INACTIVE",
IF(tblInventory[[#This Row],[Stock_Quantity]] &lt; tblInventory[[#This Row],[Reorder_Level]],"REORDER","OK"))</f>
        <v>OK</v>
      </c>
      <c r="X471" s="1" t="str">
        <f t="shared" ca="1" si="15"/>
        <v>Valid</v>
      </c>
    </row>
    <row r="472" spans="1:24">
      <c r="A472" s="1">
        <v>471</v>
      </c>
      <c r="B472" s="1" t="s">
        <v>3635</v>
      </c>
      <c r="C472" s="1" t="s">
        <v>1367</v>
      </c>
      <c r="D472" s="1" t="s">
        <v>155</v>
      </c>
      <c r="E472" s="1" t="s">
        <v>3636</v>
      </c>
      <c r="F472" s="1" t="s">
        <v>1094</v>
      </c>
      <c r="G472" s="6">
        <v>14</v>
      </c>
      <c r="H472" s="8">
        <f>tblInventory[[#This Row],[Stock_Quantity]] * tblInventory[[#This Row],[Unit_Price]]</f>
        <v>280</v>
      </c>
      <c r="I472" s="1">
        <v>67</v>
      </c>
      <c r="J472" s="1">
        <v>65</v>
      </c>
      <c r="K472" s="8">
        <f>tblInventory[[#This Row],[Reorder_Quantity]]*M472</f>
        <v>1300</v>
      </c>
      <c r="L472" s="10">
        <f>tblInventory[[#This Row],[Stock_Quantity]] / tblInventory[[#This Row],[Reorder_Quantity]]</f>
        <v>0.2153846153846154</v>
      </c>
      <c r="M472" s="3">
        <v>20</v>
      </c>
      <c r="N472" s="10">
        <f t="shared" si="14"/>
        <v>0.23769100169779286</v>
      </c>
      <c r="O472" s="1" t="s">
        <v>1183</v>
      </c>
      <c r="P472" s="1" t="s">
        <v>95</v>
      </c>
      <c r="Q472" s="2">
        <v>46527</v>
      </c>
      <c r="R472" s="1" t="s">
        <v>3637</v>
      </c>
      <c r="S472" s="1">
        <v>71</v>
      </c>
      <c r="T472" s="1">
        <v>94</v>
      </c>
      <c r="U472" s="1" t="s">
        <v>24</v>
      </c>
      <c r="V472" s="3">
        <f>tblInventory[[#This Row],[Stock_Quantity]]*tblInventory[[#This Row],[Unit_Price]]</f>
        <v>280</v>
      </c>
      <c r="W472" s="1" t="str">
        <f>IF(tblInventory[[#This Row],[Status]]="Discontinued","INACTIVE",
IF(tblInventory[[#This Row],[Stock_Quantity]] &lt; tblInventory[[#This Row],[Reorder_Level]],"REORDER","OK"))</f>
        <v>INACTIVE</v>
      </c>
      <c r="X472" s="1" t="str">
        <f t="shared" ca="1" si="15"/>
        <v>Valid</v>
      </c>
    </row>
    <row r="473" spans="1:24">
      <c r="A473" s="1">
        <v>472</v>
      </c>
      <c r="B473" s="1" t="s">
        <v>462</v>
      </c>
      <c r="C473" s="1" t="s">
        <v>463</v>
      </c>
      <c r="D473" s="1" t="s">
        <v>69</v>
      </c>
      <c r="E473" s="1" t="s">
        <v>464</v>
      </c>
      <c r="F473" s="1" t="s">
        <v>465</v>
      </c>
      <c r="G473" s="6">
        <v>12</v>
      </c>
      <c r="H473" s="8">
        <f>tblInventory[[#This Row],[Stock_Quantity]] * tblInventory[[#This Row],[Unit_Price]]</f>
        <v>48</v>
      </c>
      <c r="I473" s="1">
        <v>60</v>
      </c>
      <c r="J473" s="1">
        <v>73</v>
      </c>
      <c r="K473" s="8">
        <f>tblInventory[[#This Row],[Reorder_Quantity]]*M473</f>
        <v>292</v>
      </c>
      <c r="L473" s="10">
        <f>tblInventory[[#This Row],[Stock_Quantity]] / tblInventory[[#This Row],[Reorder_Quantity]]</f>
        <v>0.16438356164383561</v>
      </c>
      <c r="M473" s="3">
        <v>4</v>
      </c>
      <c r="N473" s="10">
        <f t="shared" si="14"/>
        <v>0.2037351443123939</v>
      </c>
      <c r="O473" s="2">
        <v>45718</v>
      </c>
      <c r="P473" s="1" t="s">
        <v>466</v>
      </c>
      <c r="Q473" s="2">
        <v>45626</v>
      </c>
      <c r="R473" s="1" t="s">
        <v>467</v>
      </c>
      <c r="S473" s="1">
        <v>20</v>
      </c>
      <c r="T473" s="1">
        <v>35</v>
      </c>
      <c r="U473" s="1" t="s">
        <v>24</v>
      </c>
      <c r="V473" s="3">
        <f>tblInventory[[#This Row],[Stock_Quantity]]*tblInventory[[#This Row],[Unit_Price]]</f>
        <v>48</v>
      </c>
      <c r="W473" s="1" t="str">
        <f>IF(tblInventory[[#This Row],[Status]]="Discontinued","INACTIVE",
IF(tblInventory[[#This Row],[Stock_Quantity]] &lt; tblInventory[[#This Row],[Reorder_Level]],"REORDER","OK"))</f>
        <v>INACTIVE</v>
      </c>
      <c r="X473" s="1" t="str">
        <f t="shared" ca="1" si="15"/>
        <v>Expired</v>
      </c>
    </row>
    <row r="474" spans="1:24">
      <c r="A474" s="1">
        <v>473</v>
      </c>
      <c r="B474" s="1" t="s">
        <v>729</v>
      </c>
      <c r="C474" s="1" t="s">
        <v>463</v>
      </c>
      <c r="D474" s="1" t="s">
        <v>69</v>
      </c>
      <c r="E474" s="1" t="s">
        <v>730</v>
      </c>
      <c r="F474" s="1" t="s">
        <v>619</v>
      </c>
      <c r="G474" s="6">
        <v>14</v>
      </c>
      <c r="H474" s="8">
        <f>tblInventory[[#This Row],[Stock_Quantity]] * tblInventory[[#This Row],[Unit_Price]]</f>
        <v>58.800000000000004</v>
      </c>
      <c r="I474" s="1">
        <v>99</v>
      </c>
      <c r="J474" s="1">
        <v>97</v>
      </c>
      <c r="K474" s="8">
        <f>tblInventory[[#This Row],[Reorder_Quantity]]*M474</f>
        <v>407.40000000000003</v>
      </c>
      <c r="L474" s="10">
        <f>tblInventory[[#This Row],[Stock_Quantity]] / tblInventory[[#This Row],[Reorder_Quantity]]</f>
        <v>0.14432989690721648</v>
      </c>
      <c r="M474" s="3">
        <v>4.2</v>
      </c>
      <c r="N474" s="10">
        <f t="shared" si="14"/>
        <v>0.23769100169779286</v>
      </c>
      <c r="O474" s="1" t="s">
        <v>311</v>
      </c>
      <c r="P474" s="2">
        <v>45809</v>
      </c>
      <c r="Q474" s="2">
        <v>45679</v>
      </c>
      <c r="R474" s="1" t="s">
        <v>731</v>
      </c>
      <c r="S474" s="1">
        <v>28</v>
      </c>
      <c r="T474" s="1">
        <v>45</v>
      </c>
      <c r="U474" s="1" t="s">
        <v>24</v>
      </c>
      <c r="V474" s="3">
        <f>tblInventory[[#This Row],[Stock_Quantity]]*tblInventory[[#This Row],[Unit_Price]]</f>
        <v>58.800000000000004</v>
      </c>
      <c r="W474" s="1" t="str">
        <f>IF(tblInventory[[#This Row],[Status]]="Discontinued","INACTIVE",
IF(tblInventory[[#This Row],[Stock_Quantity]] &lt; tblInventory[[#This Row],[Reorder_Level]],"REORDER","OK"))</f>
        <v>INACTIVE</v>
      </c>
      <c r="X474" s="1" t="str">
        <f t="shared" ca="1" si="15"/>
        <v>Expired</v>
      </c>
    </row>
    <row r="475" spans="1:24">
      <c r="A475" s="1">
        <v>474</v>
      </c>
      <c r="B475" s="1" t="s">
        <v>1402</v>
      </c>
      <c r="C475" s="1" t="s">
        <v>463</v>
      </c>
      <c r="D475" s="1" t="s">
        <v>69</v>
      </c>
      <c r="E475" s="1" t="s">
        <v>1403</v>
      </c>
      <c r="F475" s="1" t="s">
        <v>1404</v>
      </c>
      <c r="G475" s="6">
        <v>57</v>
      </c>
      <c r="H475" s="8">
        <f>tblInventory[[#This Row],[Stock_Quantity]] * tblInventory[[#This Row],[Unit_Price]]</f>
        <v>228</v>
      </c>
      <c r="I475" s="1">
        <v>62</v>
      </c>
      <c r="J475" s="1">
        <v>72</v>
      </c>
      <c r="K475" s="8">
        <f>tblInventory[[#This Row],[Reorder_Quantity]]*M475</f>
        <v>288</v>
      </c>
      <c r="L475" s="10">
        <f>tblInventory[[#This Row],[Stock_Quantity]] / tblInventory[[#This Row],[Reorder_Quantity]]</f>
        <v>0.79166666666666663</v>
      </c>
      <c r="M475" s="3">
        <v>4</v>
      </c>
      <c r="N475" s="10">
        <f t="shared" si="14"/>
        <v>0.967741935483871</v>
      </c>
      <c r="O475" s="1" t="s">
        <v>1066</v>
      </c>
      <c r="P475" s="1" t="s">
        <v>892</v>
      </c>
      <c r="Q475" s="2">
        <v>45723</v>
      </c>
      <c r="R475" s="1" t="s">
        <v>1405</v>
      </c>
      <c r="S475" s="1">
        <v>23</v>
      </c>
      <c r="T475" s="1">
        <v>4</v>
      </c>
      <c r="U475" s="1" t="s">
        <v>38</v>
      </c>
      <c r="V475" s="3">
        <f>tblInventory[[#This Row],[Stock_Quantity]]*tblInventory[[#This Row],[Unit_Price]]</f>
        <v>228</v>
      </c>
      <c r="W475" s="1" t="str">
        <f>IF(tblInventory[[#This Row],[Status]]="Discontinued","INACTIVE",
IF(tblInventory[[#This Row],[Stock_Quantity]] &lt; tblInventory[[#This Row],[Reorder_Level]],"REORDER","OK"))</f>
        <v>REORDER</v>
      </c>
      <c r="X475" s="1" t="str">
        <f t="shared" ca="1" si="15"/>
        <v>Expired</v>
      </c>
    </row>
    <row r="476" spans="1:24">
      <c r="A476" s="1">
        <v>475</v>
      </c>
      <c r="B476" s="1" t="s">
        <v>1530</v>
      </c>
      <c r="C476" s="1" t="s">
        <v>463</v>
      </c>
      <c r="D476" s="1" t="s">
        <v>69</v>
      </c>
      <c r="E476" s="1" t="s">
        <v>1531</v>
      </c>
      <c r="F476" s="1" t="s">
        <v>829</v>
      </c>
      <c r="G476" s="6">
        <v>63</v>
      </c>
      <c r="H476" s="8">
        <f>tblInventory[[#This Row],[Stock_Quantity]] * tblInventory[[#This Row],[Unit_Price]]</f>
        <v>252</v>
      </c>
      <c r="I476" s="1">
        <v>48</v>
      </c>
      <c r="J476" s="1">
        <v>22</v>
      </c>
      <c r="K476" s="8">
        <f>tblInventory[[#This Row],[Reorder_Quantity]]*M476</f>
        <v>88</v>
      </c>
      <c r="L476" s="10">
        <f>tblInventory[[#This Row],[Stock_Quantity]] / tblInventory[[#This Row],[Reorder_Quantity]]</f>
        <v>2.8636363636363638</v>
      </c>
      <c r="M476" s="3">
        <v>4</v>
      </c>
      <c r="N476" s="10">
        <f t="shared" si="14"/>
        <v>1.069609507640068</v>
      </c>
      <c r="O476" s="1" t="s">
        <v>185</v>
      </c>
      <c r="P476" s="1" t="s">
        <v>1532</v>
      </c>
      <c r="Q476" s="2">
        <v>45816</v>
      </c>
      <c r="R476" s="1" t="s">
        <v>1533</v>
      </c>
      <c r="S476" s="1">
        <v>21</v>
      </c>
      <c r="T476" s="1">
        <v>90</v>
      </c>
      <c r="U476" s="1" t="s">
        <v>24</v>
      </c>
      <c r="V476" s="3">
        <f>tblInventory[[#This Row],[Stock_Quantity]]*tblInventory[[#This Row],[Unit_Price]]</f>
        <v>252</v>
      </c>
      <c r="W476" s="1" t="str">
        <f>IF(tblInventory[[#This Row],[Status]]="Discontinued","INACTIVE",
IF(tblInventory[[#This Row],[Stock_Quantity]] &lt; tblInventory[[#This Row],[Reorder_Level]],"REORDER","OK"))</f>
        <v>INACTIVE</v>
      </c>
      <c r="X476" s="1" t="str">
        <f t="shared" ca="1" si="15"/>
        <v>Expired</v>
      </c>
    </row>
    <row r="477" spans="1:24">
      <c r="A477" s="1">
        <v>476</v>
      </c>
      <c r="B477" s="1" t="s">
        <v>2000</v>
      </c>
      <c r="C477" s="1" t="s">
        <v>463</v>
      </c>
      <c r="D477" s="1" t="s">
        <v>69</v>
      </c>
      <c r="E477" s="1" t="s">
        <v>2001</v>
      </c>
      <c r="F477" s="1" t="s">
        <v>2002</v>
      </c>
      <c r="G477" s="6">
        <v>82</v>
      </c>
      <c r="H477" s="8">
        <f>tblInventory[[#This Row],[Stock_Quantity]] * tblInventory[[#This Row],[Unit_Price]]</f>
        <v>336.2</v>
      </c>
      <c r="I477" s="1">
        <v>12</v>
      </c>
      <c r="J477" s="1">
        <v>94</v>
      </c>
      <c r="K477" s="8">
        <f>tblInventory[[#This Row],[Reorder_Quantity]]*M477</f>
        <v>385.4</v>
      </c>
      <c r="L477" s="10">
        <f>tblInventory[[#This Row],[Stock_Quantity]] / tblInventory[[#This Row],[Reorder_Quantity]]</f>
        <v>0.87234042553191493</v>
      </c>
      <c r="M477" s="3">
        <v>4.0999999999999996</v>
      </c>
      <c r="N477" s="10">
        <f t="shared" si="14"/>
        <v>1.3921901528013583</v>
      </c>
      <c r="O477" s="1" t="s">
        <v>560</v>
      </c>
      <c r="P477" s="1" t="s">
        <v>65</v>
      </c>
      <c r="Q477" s="2">
        <v>46014</v>
      </c>
      <c r="R477" s="1" t="s">
        <v>2003</v>
      </c>
      <c r="S477" s="1">
        <v>69</v>
      </c>
      <c r="T477" s="1">
        <v>93</v>
      </c>
      <c r="U477" s="1" t="s">
        <v>46</v>
      </c>
      <c r="V477" s="3">
        <f>tblInventory[[#This Row],[Stock_Quantity]]*tblInventory[[#This Row],[Unit_Price]]</f>
        <v>336.2</v>
      </c>
      <c r="W477" s="1" t="str">
        <f>IF(tblInventory[[#This Row],[Status]]="Discontinued","INACTIVE",
IF(tblInventory[[#This Row],[Stock_Quantity]] &lt; tblInventory[[#This Row],[Reorder_Level]],"REORDER","OK"))</f>
        <v>OK</v>
      </c>
      <c r="X477" s="1" t="str">
        <f t="shared" ca="1" si="15"/>
        <v>Valid</v>
      </c>
    </row>
    <row r="478" spans="1:24">
      <c r="A478" s="1">
        <v>477</v>
      </c>
      <c r="B478" s="1" t="s">
        <v>2509</v>
      </c>
      <c r="C478" s="1" t="s">
        <v>463</v>
      </c>
      <c r="D478" s="1" t="s">
        <v>69</v>
      </c>
      <c r="E478" s="1" t="s">
        <v>2510</v>
      </c>
      <c r="F478" s="1" t="s">
        <v>591</v>
      </c>
      <c r="G478" s="6">
        <v>74</v>
      </c>
      <c r="H478" s="8">
        <f>tblInventory[[#This Row],[Stock_Quantity]] * tblInventory[[#This Row],[Unit_Price]]</f>
        <v>296</v>
      </c>
      <c r="I478" s="1">
        <v>62</v>
      </c>
      <c r="J478" s="1">
        <v>6</v>
      </c>
      <c r="K478" s="8">
        <f>tblInventory[[#This Row],[Reorder_Quantity]]*M478</f>
        <v>24</v>
      </c>
      <c r="L478" s="10">
        <f>tblInventory[[#This Row],[Stock_Quantity]] / tblInventory[[#This Row],[Reorder_Quantity]]</f>
        <v>12.333333333333334</v>
      </c>
      <c r="M478" s="3">
        <v>4</v>
      </c>
      <c r="N478" s="10">
        <f t="shared" si="14"/>
        <v>1.2563667232597624</v>
      </c>
      <c r="O478" s="1" t="s">
        <v>1444</v>
      </c>
      <c r="P478" s="1" t="s">
        <v>178</v>
      </c>
      <c r="Q478" s="2">
        <v>46170</v>
      </c>
      <c r="R478" s="1" t="s">
        <v>2511</v>
      </c>
      <c r="S478" s="1">
        <v>65</v>
      </c>
      <c r="T478" s="1">
        <v>96</v>
      </c>
      <c r="U478" s="1" t="s">
        <v>46</v>
      </c>
      <c r="V478" s="3">
        <f>tblInventory[[#This Row],[Stock_Quantity]]*tblInventory[[#This Row],[Unit_Price]]</f>
        <v>296</v>
      </c>
      <c r="W478" s="1" t="str">
        <f>IF(tblInventory[[#This Row],[Status]]="Discontinued","INACTIVE",
IF(tblInventory[[#This Row],[Stock_Quantity]] &lt; tblInventory[[#This Row],[Reorder_Level]],"REORDER","OK"))</f>
        <v>OK</v>
      </c>
      <c r="X478" s="1" t="str">
        <f t="shared" ca="1" si="15"/>
        <v>Valid</v>
      </c>
    </row>
    <row r="479" spans="1:24">
      <c r="A479" s="1">
        <v>478</v>
      </c>
      <c r="B479" s="1" t="s">
        <v>2608</v>
      </c>
      <c r="C479" s="1" t="s">
        <v>463</v>
      </c>
      <c r="D479" s="1" t="s">
        <v>69</v>
      </c>
      <c r="E479" s="1" t="s">
        <v>2609</v>
      </c>
      <c r="F479" s="1" t="s">
        <v>1467</v>
      </c>
      <c r="G479" s="6">
        <v>74</v>
      </c>
      <c r="H479" s="8">
        <f>tblInventory[[#This Row],[Stock_Quantity]] * tblInventory[[#This Row],[Unit_Price]]</f>
        <v>296</v>
      </c>
      <c r="I479" s="1">
        <v>60</v>
      </c>
      <c r="J479" s="1">
        <v>27</v>
      </c>
      <c r="K479" s="8">
        <f>tblInventory[[#This Row],[Reorder_Quantity]]*M479</f>
        <v>108</v>
      </c>
      <c r="L479" s="10">
        <f>tblInventory[[#This Row],[Stock_Quantity]] / tblInventory[[#This Row],[Reorder_Quantity]]</f>
        <v>2.7407407407407409</v>
      </c>
      <c r="M479" s="3">
        <v>4</v>
      </c>
      <c r="N479" s="10">
        <f t="shared" si="14"/>
        <v>1.2563667232597624</v>
      </c>
      <c r="O479" s="1" t="s">
        <v>548</v>
      </c>
      <c r="P479" s="1" t="s">
        <v>363</v>
      </c>
      <c r="Q479" s="2">
        <v>46200</v>
      </c>
      <c r="R479" s="1" t="s">
        <v>2610</v>
      </c>
      <c r="S479" s="1">
        <v>99</v>
      </c>
      <c r="T479" s="1">
        <v>68</v>
      </c>
      <c r="U479" s="1" t="s">
        <v>38</v>
      </c>
      <c r="V479" s="3">
        <f>tblInventory[[#This Row],[Stock_Quantity]]*tblInventory[[#This Row],[Unit_Price]]</f>
        <v>296</v>
      </c>
      <c r="W479" s="1" t="str">
        <f>IF(tblInventory[[#This Row],[Status]]="Discontinued","INACTIVE",
IF(tblInventory[[#This Row],[Stock_Quantity]] &lt; tblInventory[[#This Row],[Reorder_Level]],"REORDER","OK"))</f>
        <v>OK</v>
      </c>
      <c r="X479" s="1" t="str">
        <f t="shared" ca="1" si="15"/>
        <v>Valid</v>
      </c>
    </row>
    <row r="480" spans="1:24">
      <c r="A480" s="1">
        <v>479</v>
      </c>
      <c r="B480" s="1" t="s">
        <v>3047</v>
      </c>
      <c r="C480" s="1" t="s">
        <v>463</v>
      </c>
      <c r="D480" s="1" t="s">
        <v>69</v>
      </c>
      <c r="E480" s="1" t="s">
        <v>3048</v>
      </c>
      <c r="F480" s="1" t="s">
        <v>3049</v>
      </c>
      <c r="G480" s="6">
        <v>85</v>
      </c>
      <c r="H480" s="8">
        <f>tblInventory[[#This Row],[Stock_Quantity]] * tblInventory[[#This Row],[Unit_Price]]</f>
        <v>340</v>
      </c>
      <c r="I480" s="1">
        <v>15</v>
      </c>
      <c r="J480" s="1">
        <v>30</v>
      </c>
      <c r="K480" s="8">
        <f>tblInventory[[#This Row],[Reorder_Quantity]]*M480</f>
        <v>120</v>
      </c>
      <c r="L480" s="10">
        <f>tblInventory[[#This Row],[Stock_Quantity]] / tblInventory[[#This Row],[Reorder_Quantity]]</f>
        <v>2.8333333333333335</v>
      </c>
      <c r="M480" s="3">
        <v>4</v>
      </c>
      <c r="N480" s="10">
        <f t="shared" si="14"/>
        <v>1.4431239388794568</v>
      </c>
      <c r="O480" s="1" t="s">
        <v>1090</v>
      </c>
      <c r="P480" s="1" t="s">
        <v>428</v>
      </c>
      <c r="Q480" s="2">
        <v>46337</v>
      </c>
      <c r="R480" s="1" t="s">
        <v>3050</v>
      </c>
      <c r="S480" s="1">
        <v>95</v>
      </c>
      <c r="T480" s="1">
        <v>63</v>
      </c>
      <c r="U480" s="1" t="s">
        <v>46</v>
      </c>
      <c r="V480" s="3">
        <f>tblInventory[[#This Row],[Stock_Quantity]]*tblInventory[[#This Row],[Unit_Price]]</f>
        <v>340</v>
      </c>
      <c r="W480" s="1" t="str">
        <f>IF(tblInventory[[#This Row],[Status]]="Discontinued","INACTIVE",
IF(tblInventory[[#This Row],[Stock_Quantity]] &lt; tblInventory[[#This Row],[Reorder_Level]],"REORDER","OK"))</f>
        <v>OK</v>
      </c>
      <c r="X480" s="1" t="str">
        <f t="shared" ca="1" si="15"/>
        <v>Valid</v>
      </c>
    </row>
    <row r="481" spans="1:24">
      <c r="A481" s="1">
        <v>480</v>
      </c>
      <c r="B481" s="1" t="s">
        <v>3101</v>
      </c>
      <c r="C481" s="1" t="s">
        <v>463</v>
      </c>
      <c r="D481" s="1" t="s">
        <v>69</v>
      </c>
      <c r="E481" s="1" t="s">
        <v>3102</v>
      </c>
      <c r="F481" s="1" t="s">
        <v>1129</v>
      </c>
      <c r="G481" s="6">
        <v>85</v>
      </c>
      <c r="H481" s="8">
        <f>tblInventory[[#This Row],[Stock_Quantity]] * tblInventory[[#This Row],[Unit_Price]]</f>
        <v>357</v>
      </c>
      <c r="I481" s="1">
        <v>66</v>
      </c>
      <c r="J481" s="1">
        <v>85</v>
      </c>
      <c r="K481" s="8">
        <f>tblInventory[[#This Row],[Reorder_Quantity]]*M481</f>
        <v>357</v>
      </c>
      <c r="L481" s="10">
        <f>tblInventory[[#This Row],[Stock_Quantity]] / tblInventory[[#This Row],[Reorder_Quantity]]</f>
        <v>1</v>
      </c>
      <c r="M481" s="3">
        <v>4.2</v>
      </c>
      <c r="N481" s="10">
        <f t="shared" si="14"/>
        <v>1.4431239388794568</v>
      </c>
      <c r="O481" s="2">
        <v>45809</v>
      </c>
      <c r="P481" s="1" t="s">
        <v>923</v>
      </c>
      <c r="Q481" s="2">
        <v>46354</v>
      </c>
      <c r="R481" s="1" t="s">
        <v>3103</v>
      </c>
      <c r="S481" s="1">
        <v>65</v>
      </c>
      <c r="T481" s="1">
        <v>58</v>
      </c>
      <c r="U481" s="1" t="s">
        <v>24</v>
      </c>
      <c r="V481" s="3">
        <f>tblInventory[[#This Row],[Stock_Quantity]]*tblInventory[[#This Row],[Unit_Price]]</f>
        <v>357</v>
      </c>
      <c r="W481" s="1" t="str">
        <f>IF(tblInventory[[#This Row],[Status]]="Discontinued","INACTIVE",
IF(tblInventory[[#This Row],[Stock_Quantity]] &lt; tblInventory[[#This Row],[Reorder_Level]],"REORDER","OK"))</f>
        <v>INACTIVE</v>
      </c>
      <c r="X481" s="1" t="str">
        <f t="shared" ca="1" si="15"/>
        <v>Valid</v>
      </c>
    </row>
    <row r="482" spans="1:24">
      <c r="A482" s="1">
        <v>481</v>
      </c>
      <c r="B482" s="1" t="s">
        <v>235</v>
      </c>
      <c r="C482" s="1" t="s">
        <v>236</v>
      </c>
      <c r="D482" s="1" t="s">
        <v>27</v>
      </c>
      <c r="E482" s="1" t="s">
        <v>237</v>
      </c>
      <c r="F482" s="1" t="s">
        <v>238</v>
      </c>
      <c r="G482" s="6">
        <v>77</v>
      </c>
      <c r="H482" s="8">
        <f>tblInventory[[#This Row],[Stock_Quantity]] * tblInventory[[#This Row],[Unit_Price]]</f>
        <v>2310</v>
      </c>
      <c r="I482" s="1">
        <v>45</v>
      </c>
      <c r="J482" s="1">
        <v>75</v>
      </c>
      <c r="K482" s="8">
        <f>tblInventory[[#This Row],[Reorder_Quantity]]*M482</f>
        <v>2250</v>
      </c>
      <c r="L482" s="10">
        <f>tblInventory[[#This Row],[Stock_Quantity]] / tblInventory[[#This Row],[Reorder_Quantity]]</f>
        <v>1.0266666666666666</v>
      </c>
      <c r="M482" s="3">
        <v>30</v>
      </c>
      <c r="N482" s="10">
        <f t="shared" si="14"/>
        <v>1.3073005093378609</v>
      </c>
      <c r="O482" s="2">
        <v>45423</v>
      </c>
      <c r="P482" s="1" t="s">
        <v>239</v>
      </c>
      <c r="Q482" s="2">
        <v>45587</v>
      </c>
      <c r="R482" s="1" t="s">
        <v>241</v>
      </c>
      <c r="S482" s="1">
        <v>25</v>
      </c>
      <c r="T482" s="1">
        <v>37</v>
      </c>
      <c r="U482" s="1" t="s">
        <v>24</v>
      </c>
      <c r="V482" s="3">
        <f>tblInventory[[#This Row],[Stock_Quantity]]*tblInventory[[#This Row],[Unit_Price]]</f>
        <v>2310</v>
      </c>
      <c r="W482" s="1" t="str">
        <f>IF(tblInventory[[#This Row],[Status]]="Discontinued","INACTIVE",
IF(tblInventory[[#This Row],[Stock_Quantity]] &lt; tblInventory[[#This Row],[Reorder_Level]],"REORDER","OK"))</f>
        <v>INACTIVE</v>
      </c>
      <c r="X482" s="1" t="str">
        <f t="shared" ca="1" si="15"/>
        <v>Expired</v>
      </c>
    </row>
    <row r="483" spans="1:24">
      <c r="A483" s="1">
        <v>482</v>
      </c>
      <c r="B483" s="1" t="s">
        <v>894</v>
      </c>
      <c r="C483" s="1" t="s">
        <v>236</v>
      </c>
      <c r="D483" s="1" t="s">
        <v>27</v>
      </c>
      <c r="E483" s="1" t="s">
        <v>895</v>
      </c>
      <c r="F483" s="1" t="s">
        <v>896</v>
      </c>
      <c r="G483" s="6">
        <v>48</v>
      </c>
      <c r="H483" s="8">
        <f>tblInventory[[#This Row],[Stock_Quantity]] * tblInventory[[#This Row],[Unit_Price]]</f>
        <v>1488</v>
      </c>
      <c r="I483" s="1">
        <v>77</v>
      </c>
      <c r="J483" s="1">
        <v>81</v>
      </c>
      <c r="K483" s="8">
        <f>tblInventory[[#This Row],[Reorder_Quantity]]*M483</f>
        <v>2511</v>
      </c>
      <c r="L483" s="10">
        <f>tblInventory[[#This Row],[Stock_Quantity]] / tblInventory[[#This Row],[Reorder_Quantity]]</f>
        <v>0.59259259259259256</v>
      </c>
      <c r="M483" s="3">
        <v>31</v>
      </c>
      <c r="N483" s="10">
        <f t="shared" si="14"/>
        <v>0.81494057724957558</v>
      </c>
      <c r="O483" s="1" t="s">
        <v>342</v>
      </c>
      <c r="P483" s="2">
        <v>45422</v>
      </c>
      <c r="Q483" s="2">
        <v>45715</v>
      </c>
      <c r="R483" s="1" t="s">
        <v>897</v>
      </c>
      <c r="S483" s="1">
        <v>70</v>
      </c>
      <c r="T483" s="1">
        <v>74</v>
      </c>
      <c r="U483" s="1" t="s">
        <v>38</v>
      </c>
      <c r="V483" s="3">
        <f>tblInventory[[#This Row],[Stock_Quantity]]*tblInventory[[#This Row],[Unit_Price]]</f>
        <v>1488</v>
      </c>
      <c r="W483" s="1" t="str">
        <f>IF(tblInventory[[#This Row],[Status]]="Discontinued","INACTIVE",
IF(tblInventory[[#This Row],[Stock_Quantity]] &lt; tblInventory[[#This Row],[Reorder_Level]],"REORDER","OK"))</f>
        <v>REORDER</v>
      </c>
      <c r="X483" s="1" t="str">
        <f t="shared" ca="1" si="15"/>
        <v>Expired</v>
      </c>
    </row>
    <row r="484" spans="1:24">
      <c r="A484" s="1">
        <v>483</v>
      </c>
      <c r="B484" s="1" t="s">
        <v>1201</v>
      </c>
      <c r="C484" s="1" t="s">
        <v>236</v>
      </c>
      <c r="D484" s="1" t="s">
        <v>27</v>
      </c>
      <c r="E484" s="1" t="s">
        <v>1202</v>
      </c>
      <c r="F484" s="1" t="s">
        <v>1203</v>
      </c>
      <c r="G484" s="6">
        <v>59</v>
      </c>
      <c r="H484" s="8">
        <f>tblInventory[[#This Row],[Stock_Quantity]] * tblInventory[[#This Row],[Unit_Price]]</f>
        <v>1770</v>
      </c>
      <c r="I484" s="1">
        <v>17</v>
      </c>
      <c r="J484" s="1">
        <v>1</v>
      </c>
      <c r="K484" s="8">
        <f>tblInventory[[#This Row],[Reorder_Quantity]]*M484</f>
        <v>30</v>
      </c>
      <c r="L484" s="10">
        <f>tblInventory[[#This Row],[Stock_Quantity]] / tblInventory[[#This Row],[Reorder_Quantity]]</f>
        <v>59</v>
      </c>
      <c r="M484" s="3">
        <v>30</v>
      </c>
      <c r="N484" s="10">
        <f t="shared" si="14"/>
        <v>1.0016977928692701</v>
      </c>
      <c r="O484" s="1" t="s">
        <v>372</v>
      </c>
      <c r="P484" s="1" t="s">
        <v>850</v>
      </c>
      <c r="Q484" s="2">
        <v>45996</v>
      </c>
      <c r="R484" s="1" t="s">
        <v>1204</v>
      </c>
      <c r="S484" s="1">
        <v>69</v>
      </c>
      <c r="T484" s="1">
        <v>82</v>
      </c>
      <c r="U484" s="1" t="s">
        <v>46</v>
      </c>
      <c r="V484" s="3">
        <f>tblInventory[[#This Row],[Stock_Quantity]]*tblInventory[[#This Row],[Unit_Price]]</f>
        <v>1770</v>
      </c>
      <c r="W484" s="1" t="str">
        <f>IF(tblInventory[[#This Row],[Status]]="Discontinued","INACTIVE",
IF(tblInventory[[#This Row],[Stock_Quantity]] &lt; tblInventory[[#This Row],[Reorder_Level]],"REORDER","OK"))</f>
        <v>OK</v>
      </c>
      <c r="X484" s="1" t="str">
        <f t="shared" ca="1" si="15"/>
        <v>Valid</v>
      </c>
    </row>
    <row r="485" spans="1:24">
      <c r="A485" s="1">
        <v>484</v>
      </c>
      <c r="B485" s="1" t="s">
        <v>2216</v>
      </c>
      <c r="C485" s="1" t="s">
        <v>236</v>
      </c>
      <c r="D485" s="1" t="s">
        <v>27</v>
      </c>
      <c r="E485" s="1" t="s">
        <v>2217</v>
      </c>
      <c r="F485" s="1" t="s">
        <v>2218</v>
      </c>
      <c r="G485" s="6">
        <v>20</v>
      </c>
      <c r="H485" s="8">
        <f>tblInventory[[#This Row],[Stock_Quantity]] * tblInventory[[#This Row],[Unit_Price]]</f>
        <v>610</v>
      </c>
      <c r="I485" s="1">
        <v>9</v>
      </c>
      <c r="J485" s="1">
        <v>12</v>
      </c>
      <c r="K485" s="8">
        <f>tblInventory[[#This Row],[Reorder_Quantity]]*M485</f>
        <v>366</v>
      </c>
      <c r="L485" s="10">
        <f>tblInventory[[#This Row],[Stock_Quantity]] / tblInventory[[#This Row],[Reorder_Quantity]]</f>
        <v>1.6666666666666667</v>
      </c>
      <c r="M485" s="3">
        <v>30.5</v>
      </c>
      <c r="N485" s="10">
        <f t="shared" si="14"/>
        <v>0.3395585738539898</v>
      </c>
      <c r="O485" s="1" t="s">
        <v>191</v>
      </c>
      <c r="P485" s="1" t="s">
        <v>184</v>
      </c>
      <c r="Q485" s="2">
        <v>46080</v>
      </c>
      <c r="R485" s="1" t="s">
        <v>2219</v>
      </c>
      <c r="S485" s="1">
        <v>46</v>
      </c>
      <c r="T485" s="1">
        <v>32</v>
      </c>
      <c r="U485" s="1" t="s">
        <v>24</v>
      </c>
      <c r="V485" s="3">
        <f>tblInventory[[#This Row],[Stock_Quantity]]*tblInventory[[#This Row],[Unit_Price]]</f>
        <v>610</v>
      </c>
      <c r="W485" s="1" t="str">
        <f>IF(tblInventory[[#This Row],[Status]]="Discontinued","INACTIVE",
IF(tblInventory[[#This Row],[Stock_Quantity]] &lt; tblInventory[[#This Row],[Reorder_Level]],"REORDER","OK"))</f>
        <v>INACTIVE</v>
      </c>
      <c r="X485" s="1" t="str">
        <f t="shared" ca="1" si="15"/>
        <v>Valid</v>
      </c>
    </row>
    <row r="486" spans="1:24">
      <c r="A486" s="1">
        <v>485</v>
      </c>
      <c r="B486" s="1" t="s">
        <v>2555</v>
      </c>
      <c r="C486" s="1" t="s">
        <v>236</v>
      </c>
      <c r="D486" s="1" t="s">
        <v>27</v>
      </c>
      <c r="E486" s="1" t="s">
        <v>2556</v>
      </c>
      <c r="F486" s="1" t="s">
        <v>2557</v>
      </c>
      <c r="G486" s="6">
        <v>61</v>
      </c>
      <c r="H486" s="8">
        <f>tblInventory[[#This Row],[Stock_Quantity]] * tblInventory[[#This Row],[Unit_Price]]</f>
        <v>1830</v>
      </c>
      <c r="I486" s="1">
        <v>22</v>
      </c>
      <c r="J486" s="1">
        <v>98</v>
      </c>
      <c r="K486" s="8">
        <f>tblInventory[[#This Row],[Reorder_Quantity]]*M486</f>
        <v>2940</v>
      </c>
      <c r="L486" s="10">
        <f>tblInventory[[#This Row],[Stock_Quantity]] / tblInventory[[#This Row],[Reorder_Quantity]]</f>
        <v>0.62244897959183676</v>
      </c>
      <c r="M486" s="3">
        <v>30</v>
      </c>
      <c r="N486" s="10">
        <f t="shared" si="14"/>
        <v>1.0356536502546689</v>
      </c>
      <c r="O486" s="2">
        <v>45476</v>
      </c>
      <c r="P486" s="2">
        <v>45332</v>
      </c>
      <c r="Q486" s="2">
        <v>46332</v>
      </c>
      <c r="R486" s="1" t="s">
        <v>2558</v>
      </c>
      <c r="S486" s="1">
        <v>90</v>
      </c>
      <c r="T486" s="1">
        <v>11</v>
      </c>
      <c r="U486" s="1" t="s">
        <v>46</v>
      </c>
      <c r="V486" s="3">
        <f>tblInventory[[#This Row],[Stock_Quantity]]*tblInventory[[#This Row],[Unit_Price]]</f>
        <v>1830</v>
      </c>
      <c r="W486" s="1" t="str">
        <f>IF(tblInventory[[#This Row],[Status]]="Discontinued","INACTIVE",
IF(tblInventory[[#This Row],[Stock_Quantity]] &lt; tblInventory[[#This Row],[Reorder_Level]],"REORDER","OK"))</f>
        <v>OK</v>
      </c>
      <c r="X486" s="1" t="str">
        <f t="shared" ca="1" si="15"/>
        <v>Valid</v>
      </c>
    </row>
    <row r="487" spans="1:24">
      <c r="A487" s="1">
        <v>486</v>
      </c>
      <c r="B487" s="1" t="s">
        <v>3151</v>
      </c>
      <c r="C487" s="1" t="s">
        <v>236</v>
      </c>
      <c r="D487" s="1" t="s">
        <v>27</v>
      </c>
      <c r="E487" s="1" t="s">
        <v>3152</v>
      </c>
      <c r="F487" s="1" t="s">
        <v>3153</v>
      </c>
      <c r="G487" s="6">
        <v>27</v>
      </c>
      <c r="H487" s="8">
        <f>tblInventory[[#This Row],[Stock_Quantity]] * tblInventory[[#This Row],[Unit_Price]]</f>
        <v>810</v>
      </c>
      <c r="I487" s="1">
        <v>1</v>
      </c>
      <c r="J487" s="1">
        <v>3</v>
      </c>
      <c r="K487" s="8">
        <f>tblInventory[[#This Row],[Reorder_Quantity]]*M487</f>
        <v>90</v>
      </c>
      <c r="L487" s="10">
        <f>tblInventory[[#This Row],[Stock_Quantity]] / tblInventory[[#This Row],[Reorder_Quantity]]</f>
        <v>9</v>
      </c>
      <c r="M487" s="3">
        <v>30</v>
      </c>
      <c r="N487" s="10">
        <f t="shared" si="14"/>
        <v>0.45840407470288624</v>
      </c>
      <c r="O487" s="1" t="s">
        <v>1090</v>
      </c>
      <c r="P487" s="2">
        <v>45543</v>
      </c>
      <c r="Q487" s="2">
        <v>46370</v>
      </c>
      <c r="R487" s="1" t="s">
        <v>3154</v>
      </c>
      <c r="S487" s="1">
        <v>34</v>
      </c>
      <c r="T487" s="1">
        <v>63</v>
      </c>
      <c r="U487" s="1" t="s">
        <v>38</v>
      </c>
      <c r="V487" s="3">
        <f>tblInventory[[#This Row],[Stock_Quantity]]*tblInventory[[#This Row],[Unit_Price]]</f>
        <v>810</v>
      </c>
      <c r="W487" s="1" t="str">
        <f>IF(tblInventory[[#This Row],[Status]]="Discontinued","INACTIVE",
IF(tblInventory[[#This Row],[Stock_Quantity]] &lt; tblInventory[[#This Row],[Reorder_Level]],"REORDER","OK"))</f>
        <v>OK</v>
      </c>
      <c r="X487" s="1" t="str">
        <f t="shared" ca="1" si="15"/>
        <v>Valid</v>
      </c>
    </row>
    <row r="488" spans="1:24">
      <c r="A488" s="1">
        <v>487</v>
      </c>
      <c r="B488" s="1" t="s">
        <v>588</v>
      </c>
      <c r="C488" s="1" t="s">
        <v>589</v>
      </c>
      <c r="D488" s="1" t="s">
        <v>17</v>
      </c>
      <c r="E488" s="1" t="s">
        <v>590</v>
      </c>
      <c r="F488" s="1" t="s">
        <v>591</v>
      </c>
      <c r="G488" s="6">
        <v>91</v>
      </c>
      <c r="H488" s="8">
        <f>tblInventory[[#This Row],[Stock_Quantity]] * tblInventory[[#This Row],[Unit_Price]]</f>
        <v>432.25</v>
      </c>
      <c r="I488" s="1">
        <v>73</v>
      </c>
      <c r="J488" s="1">
        <v>77</v>
      </c>
      <c r="K488" s="8">
        <f>tblInventory[[#This Row],[Reorder_Quantity]]*M488</f>
        <v>365.75</v>
      </c>
      <c r="L488" s="10">
        <f>tblInventory[[#This Row],[Stock_Quantity]] / tblInventory[[#This Row],[Reorder_Quantity]]</f>
        <v>1.1818181818181819</v>
      </c>
      <c r="M488" s="3">
        <v>4.75</v>
      </c>
      <c r="N488" s="10">
        <f t="shared" si="14"/>
        <v>1.5449915110356538</v>
      </c>
      <c r="O488" s="2">
        <v>45659</v>
      </c>
      <c r="P488" s="1" t="s">
        <v>279</v>
      </c>
      <c r="Q488" s="2">
        <v>45650</v>
      </c>
      <c r="R488" s="1" t="s">
        <v>592</v>
      </c>
      <c r="S488" s="1">
        <v>51</v>
      </c>
      <c r="T488" s="1">
        <v>49</v>
      </c>
      <c r="U488" s="1" t="s">
        <v>24</v>
      </c>
      <c r="V488" s="3">
        <f>tblInventory[[#This Row],[Stock_Quantity]]*tblInventory[[#This Row],[Unit_Price]]</f>
        <v>432.25</v>
      </c>
      <c r="W488" s="1" t="str">
        <f>IF(tblInventory[[#This Row],[Status]]="Discontinued","INACTIVE",
IF(tblInventory[[#This Row],[Stock_Quantity]] &lt; tblInventory[[#This Row],[Reorder_Level]],"REORDER","OK"))</f>
        <v>INACTIVE</v>
      </c>
      <c r="X488" s="1" t="str">
        <f t="shared" ca="1" si="15"/>
        <v>Expired</v>
      </c>
    </row>
    <row r="489" spans="1:24">
      <c r="A489" s="1">
        <v>488</v>
      </c>
      <c r="B489" s="1" t="s">
        <v>1040</v>
      </c>
      <c r="C489" s="1" t="s">
        <v>589</v>
      </c>
      <c r="D489" s="1" t="s">
        <v>17</v>
      </c>
      <c r="E489" s="1" t="s">
        <v>1041</v>
      </c>
      <c r="F489" s="1" t="s">
        <v>157</v>
      </c>
      <c r="G489" s="6">
        <v>24</v>
      </c>
      <c r="H489" s="8">
        <f>tblInventory[[#This Row],[Stock_Quantity]] * tblInventory[[#This Row],[Unit_Price]]</f>
        <v>114</v>
      </c>
      <c r="I489" s="1">
        <v>15</v>
      </c>
      <c r="J489" s="1">
        <v>6</v>
      </c>
      <c r="K489" s="8">
        <f>tblInventory[[#This Row],[Reorder_Quantity]]*M489</f>
        <v>28.5</v>
      </c>
      <c r="L489" s="10">
        <f>tblInventory[[#This Row],[Stock_Quantity]] / tblInventory[[#This Row],[Reorder_Quantity]]</f>
        <v>4</v>
      </c>
      <c r="M489" s="3">
        <v>4.75</v>
      </c>
      <c r="N489" s="10">
        <f t="shared" si="14"/>
        <v>0.40747028862478779</v>
      </c>
      <c r="O489" s="1" t="s">
        <v>184</v>
      </c>
      <c r="P489" s="1" t="s">
        <v>653</v>
      </c>
      <c r="Q489" s="2">
        <v>45720</v>
      </c>
      <c r="R489" s="1" t="s">
        <v>1042</v>
      </c>
      <c r="S489" s="1">
        <v>35</v>
      </c>
      <c r="T489" s="1">
        <v>4</v>
      </c>
      <c r="U489" s="1" t="s">
        <v>24</v>
      </c>
      <c r="V489" s="3">
        <f>tblInventory[[#This Row],[Stock_Quantity]]*tblInventory[[#This Row],[Unit_Price]]</f>
        <v>114</v>
      </c>
      <c r="W489" s="1" t="str">
        <f>IF(tblInventory[[#This Row],[Status]]="Discontinued","INACTIVE",
IF(tblInventory[[#This Row],[Stock_Quantity]] &lt; tblInventory[[#This Row],[Reorder_Level]],"REORDER","OK"))</f>
        <v>INACTIVE</v>
      </c>
      <c r="X489" s="1" t="str">
        <f t="shared" ca="1" si="15"/>
        <v>Expired</v>
      </c>
    </row>
    <row r="490" spans="1:24">
      <c r="A490" s="1">
        <v>489</v>
      </c>
      <c r="B490" s="1" t="s">
        <v>2289</v>
      </c>
      <c r="C490" s="1" t="s">
        <v>589</v>
      </c>
      <c r="D490" s="1" t="s">
        <v>17</v>
      </c>
      <c r="E490" s="1" t="s">
        <v>2290</v>
      </c>
      <c r="F490" s="1" t="s">
        <v>2291</v>
      </c>
      <c r="G490" s="6">
        <v>17</v>
      </c>
      <c r="H490" s="8">
        <f>tblInventory[[#This Row],[Stock_Quantity]] * tblInventory[[#This Row],[Unit_Price]]</f>
        <v>80.75</v>
      </c>
      <c r="I490" s="1">
        <v>19</v>
      </c>
      <c r="J490" s="1">
        <v>74</v>
      </c>
      <c r="K490" s="8">
        <f>tblInventory[[#This Row],[Reorder_Quantity]]*M490</f>
        <v>351.5</v>
      </c>
      <c r="L490" s="10">
        <f>tblInventory[[#This Row],[Stock_Quantity]] / tblInventory[[#This Row],[Reorder_Quantity]]</f>
        <v>0.22972972972972974</v>
      </c>
      <c r="M490" s="3">
        <v>4.75</v>
      </c>
      <c r="N490" s="10">
        <f t="shared" si="14"/>
        <v>0.28862478777589134</v>
      </c>
      <c r="O490" s="2">
        <v>45392</v>
      </c>
      <c r="P490" s="2">
        <v>45516</v>
      </c>
      <c r="Q490" s="2">
        <v>46103</v>
      </c>
      <c r="R490" s="1" t="s">
        <v>2292</v>
      </c>
      <c r="S490" s="1">
        <v>58</v>
      </c>
      <c r="T490" s="1">
        <v>27</v>
      </c>
      <c r="U490" s="1" t="s">
        <v>24</v>
      </c>
      <c r="V490" s="3">
        <f>tblInventory[[#This Row],[Stock_Quantity]]*tblInventory[[#This Row],[Unit_Price]]</f>
        <v>80.75</v>
      </c>
      <c r="W490" s="1" t="str">
        <f>IF(tblInventory[[#This Row],[Status]]="Discontinued","INACTIVE",
IF(tblInventory[[#This Row],[Stock_Quantity]] &lt; tblInventory[[#This Row],[Reorder_Level]],"REORDER","OK"))</f>
        <v>INACTIVE</v>
      </c>
      <c r="X490" s="1" t="str">
        <f t="shared" ca="1" si="15"/>
        <v>Valid</v>
      </c>
    </row>
    <row r="491" spans="1:24">
      <c r="A491" s="1">
        <v>490</v>
      </c>
      <c r="B491" s="1" t="s">
        <v>2296</v>
      </c>
      <c r="C491" s="1" t="s">
        <v>589</v>
      </c>
      <c r="D491" s="1" t="s">
        <v>17</v>
      </c>
      <c r="E491" s="1" t="s">
        <v>2297</v>
      </c>
      <c r="F491" s="1" t="s">
        <v>114</v>
      </c>
      <c r="G491" s="6">
        <v>56</v>
      </c>
      <c r="H491" s="8">
        <f>tblInventory[[#This Row],[Stock_Quantity]] * tblInventory[[#This Row],[Unit_Price]]</f>
        <v>266</v>
      </c>
      <c r="I491" s="1">
        <v>48</v>
      </c>
      <c r="J491" s="1">
        <v>82</v>
      </c>
      <c r="K491" s="8">
        <f>tblInventory[[#This Row],[Reorder_Quantity]]*M491</f>
        <v>389.5</v>
      </c>
      <c r="L491" s="10">
        <f>tblInventory[[#This Row],[Stock_Quantity]] / tblInventory[[#This Row],[Reorder_Quantity]]</f>
        <v>0.68292682926829273</v>
      </c>
      <c r="M491" s="3">
        <v>4.75</v>
      </c>
      <c r="N491" s="10">
        <f t="shared" si="14"/>
        <v>0.95076400679117146</v>
      </c>
      <c r="O491" s="1" t="s">
        <v>335</v>
      </c>
      <c r="P491" s="1" t="s">
        <v>177</v>
      </c>
      <c r="Q491" s="2">
        <v>46105</v>
      </c>
      <c r="R491" s="1" t="s">
        <v>2298</v>
      </c>
      <c r="S491" s="1">
        <v>71</v>
      </c>
      <c r="T491" s="1">
        <v>65</v>
      </c>
      <c r="U491" s="1" t="s">
        <v>38</v>
      </c>
      <c r="V491" s="3">
        <f>tblInventory[[#This Row],[Stock_Quantity]]*tblInventory[[#This Row],[Unit_Price]]</f>
        <v>266</v>
      </c>
      <c r="W491" s="1" t="str">
        <f>IF(tblInventory[[#This Row],[Status]]="Discontinued","INACTIVE",
IF(tblInventory[[#This Row],[Stock_Quantity]] &lt; tblInventory[[#This Row],[Reorder_Level]],"REORDER","OK"))</f>
        <v>OK</v>
      </c>
      <c r="X491" s="1" t="str">
        <f t="shared" ca="1" si="15"/>
        <v>Valid</v>
      </c>
    </row>
    <row r="492" spans="1:24">
      <c r="A492" s="1">
        <v>491</v>
      </c>
      <c r="B492" s="1" t="s">
        <v>2747</v>
      </c>
      <c r="C492" s="1" t="s">
        <v>589</v>
      </c>
      <c r="D492" s="1" t="s">
        <v>17</v>
      </c>
      <c r="E492" s="1" t="s">
        <v>2748</v>
      </c>
      <c r="F492" s="1" t="s">
        <v>2482</v>
      </c>
      <c r="G492" s="6">
        <v>20</v>
      </c>
      <c r="H492" s="8">
        <f>tblInventory[[#This Row],[Stock_Quantity]] * tblInventory[[#This Row],[Unit_Price]]</f>
        <v>95</v>
      </c>
      <c r="I492" s="1">
        <v>25</v>
      </c>
      <c r="J492" s="1">
        <v>73</v>
      </c>
      <c r="K492" s="8">
        <f>tblInventory[[#This Row],[Reorder_Quantity]]*M492</f>
        <v>346.75</v>
      </c>
      <c r="L492" s="10">
        <f>tblInventory[[#This Row],[Stock_Quantity]] / tblInventory[[#This Row],[Reorder_Quantity]]</f>
        <v>0.27397260273972601</v>
      </c>
      <c r="M492" s="3">
        <v>4.75</v>
      </c>
      <c r="N492" s="10">
        <f t="shared" si="14"/>
        <v>0.3395585738539898</v>
      </c>
      <c r="O492" s="2">
        <v>45514</v>
      </c>
      <c r="P492" s="2">
        <v>45329</v>
      </c>
      <c r="Q492" s="2">
        <v>46303</v>
      </c>
      <c r="R492" s="1" t="s">
        <v>2749</v>
      </c>
      <c r="S492" s="1">
        <v>78</v>
      </c>
      <c r="T492" s="1">
        <v>1</v>
      </c>
      <c r="U492" s="1" t="s">
        <v>24</v>
      </c>
      <c r="V492" s="3">
        <f>tblInventory[[#This Row],[Stock_Quantity]]*tblInventory[[#This Row],[Unit_Price]]</f>
        <v>95</v>
      </c>
      <c r="W492" s="1" t="str">
        <f>IF(tblInventory[[#This Row],[Status]]="Discontinued","INACTIVE",
IF(tblInventory[[#This Row],[Stock_Quantity]] &lt; tblInventory[[#This Row],[Reorder_Level]],"REORDER","OK"))</f>
        <v>INACTIVE</v>
      </c>
      <c r="X492" s="1" t="str">
        <f t="shared" ca="1" si="15"/>
        <v>Valid</v>
      </c>
    </row>
    <row r="493" spans="1:24">
      <c r="A493" s="1">
        <v>492</v>
      </c>
      <c r="B493" s="1" t="s">
        <v>2797</v>
      </c>
      <c r="C493" s="1" t="s">
        <v>589</v>
      </c>
      <c r="D493" s="1" t="s">
        <v>17</v>
      </c>
      <c r="E493" s="1" t="s">
        <v>2798</v>
      </c>
      <c r="F493" s="1" t="s">
        <v>1216</v>
      </c>
      <c r="G493" s="6">
        <v>26</v>
      </c>
      <c r="H493" s="8">
        <f>tblInventory[[#This Row],[Stock_Quantity]] * tblInventory[[#This Row],[Unit_Price]]</f>
        <v>123.5</v>
      </c>
      <c r="I493" s="1">
        <v>83</v>
      </c>
      <c r="J493" s="1">
        <v>24</v>
      </c>
      <c r="K493" s="8">
        <f>tblInventory[[#This Row],[Reorder_Quantity]]*M493</f>
        <v>114</v>
      </c>
      <c r="L493" s="10">
        <f>tblInventory[[#This Row],[Stock_Quantity]] / tblInventory[[#This Row],[Reorder_Quantity]]</f>
        <v>1.0833333333333333</v>
      </c>
      <c r="M493" s="3">
        <v>4.75</v>
      </c>
      <c r="N493" s="10">
        <f t="shared" si="14"/>
        <v>0.44142614601018676</v>
      </c>
      <c r="O493" s="2">
        <v>45840</v>
      </c>
      <c r="P493" s="1" t="s">
        <v>620</v>
      </c>
      <c r="Q493" s="2">
        <v>46259</v>
      </c>
      <c r="R493" s="1" t="s">
        <v>2799</v>
      </c>
      <c r="S493" s="1">
        <v>75</v>
      </c>
      <c r="T493" s="1">
        <v>12</v>
      </c>
      <c r="U493" s="1" t="s">
        <v>38</v>
      </c>
      <c r="V493" s="3">
        <f>tblInventory[[#This Row],[Stock_Quantity]]*tblInventory[[#This Row],[Unit_Price]]</f>
        <v>123.5</v>
      </c>
      <c r="W493" s="1" t="str">
        <f>IF(tblInventory[[#This Row],[Status]]="Discontinued","INACTIVE",
IF(tblInventory[[#This Row],[Stock_Quantity]] &lt; tblInventory[[#This Row],[Reorder_Level]],"REORDER","OK"))</f>
        <v>REORDER</v>
      </c>
      <c r="X493" s="1" t="str">
        <f t="shared" ca="1" si="15"/>
        <v>Valid</v>
      </c>
    </row>
    <row r="494" spans="1:24">
      <c r="A494" s="1">
        <v>493</v>
      </c>
      <c r="B494" s="1" t="s">
        <v>2995</v>
      </c>
      <c r="C494" s="1" t="s">
        <v>589</v>
      </c>
      <c r="D494" s="1" t="s">
        <v>17</v>
      </c>
      <c r="E494" s="1" t="s">
        <v>2996</v>
      </c>
      <c r="F494" s="1" t="s">
        <v>1605</v>
      </c>
      <c r="G494" s="6">
        <v>44</v>
      </c>
      <c r="H494" s="8">
        <f>tblInventory[[#This Row],[Stock_Quantity]] * tblInventory[[#This Row],[Unit_Price]]</f>
        <v>209</v>
      </c>
      <c r="I494" s="1">
        <v>26</v>
      </c>
      <c r="J494" s="1">
        <v>60</v>
      </c>
      <c r="K494" s="8">
        <f>tblInventory[[#This Row],[Reorder_Quantity]]*M494</f>
        <v>285</v>
      </c>
      <c r="L494" s="10">
        <f>tblInventory[[#This Row],[Stock_Quantity]] / tblInventory[[#This Row],[Reorder_Quantity]]</f>
        <v>0.73333333333333328</v>
      </c>
      <c r="M494" s="3">
        <v>4.75</v>
      </c>
      <c r="N494" s="10">
        <f t="shared" si="14"/>
        <v>0.74702886247877764</v>
      </c>
      <c r="O494" s="1" t="s">
        <v>965</v>
      </c>
      <c r="P494" s="1" t="s">
        <v>225</v>
      </c>
      <c r="Q494" s="2">
        <v>46320</v>
      </c>
      <c r="R494" s="1" t="s">
        <v>2997</v>
      </c>
      <c r="S494" s="1">
        <v>63</v>
      </c>
      <c r="T494" s="1">
        <v>59</v>
      </c>
      <c r="U494" s="1" t="s">
        <v>24</v>
      </c>
      <c r="V494" s="3">
        <f>tblInventory[[#This Row],[Stock_Quantity]]*tblInventory[[#This Row],[Unit_Price]]</f>
        <v>209</v>
      </c>
      <c r="W494" s="1" t="str">
        <f>IF(tblInventory[[#This Row],[Status]]="Discontinued","INACTIVE",
IF(tblInventory[[#This Row],[Stock_Quantity]] &lt; tblInventory[[#This Row],[Reorder_Level]],"REORDER","OK"))</f>
        <v>INACTIVE</v>
      </c>
      <c r="X494" s="1" t="str">
        <f t="shared" ca="1" si="15"/>
        <v>Valid</v>
      </c>
    </row>
    <row r="495" spans="1:24">
      <c r="A495" s="1">
        <v>494</v>
      </c>
      <c r="B495" s="1" t="s">
        <v>3067</v>
      </c>
      <c r="C495" s="1" t="s">
        <v>589</v>
      </c>
      <c r="D495" s="1" t="s">
        <v>17</v>
      </c>
      <c r="E495" s="1" t="s">
        <v>3068</v>
      </c>
      <c r="F495" s="1" t="s">
        <v>2861</v>
      </c>
      <c r="G495" s="6">
        <v>53</v>
      </c>
      <c r="H495" s="8">
        <f>tblInventory[[#This Row],[Stock_Quantity]] * tblInventory[[#This Row],[Unit_Price]]</f>
        <v>251.75</v>
      </c>
      <c r="I495" s="1">
        <v>26</v>
      </c>
      <c r="J495" s="1">
        <v>3</v>
      </c>
      <c r="K495" s="8">
        <f>tblInventory[[#This Row],[Reorder_Quantity]]*M495</f>
        <v>14.25</v>
      </c>
      <c r="L495" s="10">
        <f>tblInventory[[#This Row],[Stock_Quantity]] / tblInventory[[#This Row],[Reorder_Quantity]]</f>
        <v>17.666666666666668</v>
      </c>
      <c r="M495" s="3">
        <v>4.75</v>
      </c>
      <c r="N495" s="10">
        <f t="shared" si="14"/>
        <v>0.89983022071307306</v>
      </c>
      <c r="O495" s="2">
        <v>45325</v>
      </c>
      <c r="P495" s="2">
        <v>45389</v>
      </c>
      <c r="Q495" s="2">
        <v>46343</v>
      </c>
      <c r="R495" s="1" t="s">
        <v>3069</v>
      </c>
      <c r="S495" s="1">
        <v>100</v>
      </c>
      <c r="T495" s="1">
        <v>94</v>
      </c>
      <c r="U495" s="1" t="s">
        <v>46</v>
      </c>
      <c r="V495" s="3">
        <f>tblInventory[[#This Row],[Stock_Quantity]]*tblInventory[[#This Row],[Unit_Price]]</f>
        <v>251.75</v>
      </c>
      <c r="W495" s="1" t="str">
        <f>IF(tblInventory[[#This Row],[Status]]="Discontinued","INACTIVE",
IF(tblInventory[[#This Row],[Stock_Quantity]] &lt; tblInventory[[#This Row],[Reorder_Level]],"REORDER","OK"))</f>
        <v>OK</v>
      </c>
      <c r="X495" s="1" t="str">
        <f t="shared" ca="1" si="15"/>
        <v>Valid</v>
      </c>
    </row>
    <row r="496" spans="1:24">
      <c r="A496" s="1">
        <v>495</v>
      </c>
      <c r="B496" s="1" t="s">
        <v>3342</v>
      </c>
      <c r="C496" s="1" t="s">
        <v>589</v>
      </c>
      <c r="D496" s="1" t="s">
        <v>17</v>
      </c>
      <c r="E496" s="1" t="s">
        <v>3343</v>
      </c>
      <c r="F496" s="1" t="s">
        <v>1500</v>
      </c>
      <c r="G496" s="6">
        <v>50</v>
      </c>
      <c r="H496" s="8">
        <f>tblInventory[[#This Row],[Stock_Quantity]] * tblInventory[[#This Row],[Unit_Price]]</f>
        <v>237.5</v>
      </c>
      <c r="I496" s="1">
        <v>14</v>
      </c>
      <c r="J496" s="1">
        <v>99</v>
      </c>
      <c r="K496" s="8">
        <f>tblInventory[[#This Row],[Reorder_Quantity]]*M496</f>
        <v>470.25</v>
      </c>
      <c r="L496" s="10">
        <f>tblInventory[[#This Row],[Stock_Quantity]] / tblInventory[[#This Row],[Reorder_Quantity]]</f>
        <v>0.50505050505050508</v>
      </c>
      <c r="M496" s="3">
        <v>4.75</v>
      </c>
      <c r="N496" s="10">
        <f t="shared" si="14"/>
        <v>0.84889643463497455</v>
      </c>
      <c r="O496" s="2">
        <v>45901</v>
      </c>
      <c r="P496" s="1" t="s">
        <v>219</v>
      </c>
      <c r="Q496" s="2">
        <v>46432</v>
      </c>
      <c r="R496" s="1" t="s">
        <v>3344</v>
      </c>
      <c r="S496" s="1">
        <v>52</v>
      </c>
      <c r="T496" s="1">
        <v>75</v>
      </c>
      <c r="U496" s="1" t="s">
        <v>46</v>
      </c>
      <c r="V496" s="3">
        <f>tblInventory[[#This Row],[Stock_Quantity]]*tblInventory[[#This Row],[Unit_Price]]</f>
        <v>237.5</v>
      </c>
      <c r="W496" s="1" t="str">
        <f>IF(tblInventory[[#This Row],[Status]]="Discontinued","INACTIVE",
IF(tblInventory[[#This Row],[Stock_Quantity]] &lt; tblInventory[[#This Row],[Reorder_Level]],"REORDER","OK"))</f>
        <v>OK</v>
      </c>
      <c r="X496" s="1" t="str">
        <f t="shared" ca="1" si="15"/>
        <v>Valid</v>
      </c>
    </row>
    <row r="497" spans="1:24">
      <c r="A497" s="1">
        <v>496</v>
      </c>
      <c r="B497" s="1" t="s">
        <v>3414</v>
      </c>
      <c r="C497" s="1" t="s">
        <v>589</v>
      </c>
      <c r="D497" s="1" t="s">
        <v>17</v>
      </c>
      <c r="E497" s="1" t="s">
        <v>3415</v>
      </c>
      <c r="F497" s="1" t="s">
        <v>2734</v>
      </c>
      <c r="G497" s="6">
        <v>33</v>
      </c>
      <c r="H497" s="8">
        <f>tblInventory[[#This Row],[Stock_Quantity]] * tblInventory[[#This Row],[Unit_Price]]</f>
        <v>156.75</v>
      </c>
      <c r="I497" s="1">
        <v>44</v>
      </c>
      <c r="J497" s="1">
        <v>89</v>
      </c>
      <c r="K497" s="8">
        <f>tblInventory[[#This Row],[Reorder_Quantity]]*M497</f>
        <v>422.75</v>
      </c>
      <c r="L497" s="10">
        <f>tblInventory[[#This Row],[Stock_Quantity]] / tblInventory[[#This Row],[Reorder_Quantity]]</f>
        <v>0.3707865168539326</v>
      </c>
      <c r="M497" s="3">
        <v>4.75</v>
      </c>
      <c r="N497" s="10">
        <f t="shared" si="14"/>
        <v>0.56027164685908315</v>
      </c>
      <c r="O497" s="1" t="s">
        <v>965</v>
      </c>
      <c r="P497" s="2">
        <v>45421</v>
      </c>
      <c r="Q497" s="2">
        <v>46633</v>
      </c>
      <c r="R497" s="1" t="s">
        <v>3416</v>
      </c>
      <c r="S497" s="1">
        <v>93</v>
      </c>
      <c r="T497" s="1">
        <v>19</v>
      </c>
      <c r="U497" s="1" t="s">
        <v>24</v>
      </c>
      <c r="V497" s="3">
        <f>tblInventory[[#This Row],[Stock_Quantity]]*tblInventory[[#This Row],[Unit_Price]]</f>
        <v>156.75</v>
      </c>
      <c r="W497" s="1" t="str">
        <f>IF(tblInventory[[#This Row],[Status]]="Discontinued","INACTIVE",
IF(tblInventory[[#This Row],[Stock_Quantity]] &lt; tblInventory[[#This Row],[Reorder_Level]],"REORDER","OK"))</f>
        <v>INACTIVE</v>
      </c>
      <c r="X497" s="1" t="str">
        <f t="shared" ca="1" si="15"/>
        <v>Valid</v>
      </c>
    </row>
    <row r="498" spans="1:24">
      <c r="A498" s="1">
        <v>497</v>
      </c>
      <c r="B498" s="1" t="s">
        <v>3417</v>
      </c>
      <c r="C498" s="1" t="s">
        <v>589</v>
      </c>
      <c r="D498" s="1" t="s">
        <v>17</v>
      </c>
      <c r="E498" s="1" t="s">
        <v>3418</v>
      </c>
      <c r="F498" s="1" t="s">
        <v>347</v>
      </c>
      <c r="G498" s="6">
        <v>98</v>
      </c>
      <c r="H498" s="8">
        <f>tblInventory[[#This Row],[Stock_Quantity]] * tblInventory[[#This Row],[Unit_Price]]</f>
        <v>465.5</v>
      </c>
      <c r="I498" s="1">
        <v>20</v>
      </c>
      <c r="J498" s="1">
        <v>81</v>
      </c>
      <c r="K498" s="8">
        <f>tblInventory[[#This Row],[Reorder_Quantity]]*M498</f>
        <v>384.75</v>
      </c>
      <c r="L498" s="10">
        <f>tblInventory[[#This Row],[Stock_Quantity]] / tblInventory[[#This Row],[Reorder_Quantity]]</f>
        <v>1.2098765432098766</v>
      </c>
      <c r="M498" s="3">
        <v>4.75</v>
      </c>
      <c r="N498" s="10">
        <f t="shared" si="14"/>
        <v>1.66383701188455</v>
      </c>
      <c r="O498" s="1" t="s">
        <v>840</v>
      </c>
      <c r="P498" s="2">
        <v>45572</v>
      </c>
      <c r="Q498" s="2">
        <v>46663</v>
      </c>
      <c r="R498" s="1" t="s">
        <v>3419</v>
      </c>
      <c r="S498" s="1">
        <v>51</v>
      </c>
      <c r="T498" s="1">
        <v>23</v>
      </c>
      <c r="U498" s="1" t="s">
        <v>38</v>
      </c>
      <c r="V498" s="3">
        <f>tblInventory[[#This Row],[Stock_Quantity]]*tblInventory[[#This Row],[Unit_Price]]</f>
        <v>465.5</v>
      </c>
      <c r="W498" s="1" t="str">
        <f>IF(tblInventory[[#This Row],[Status]]="Discontinued","INACTIVE",
IF(tblInventory[[#This Row],[Stock_Quantity]] &lt; tblInventory[[#This Row],[Reorder_Level]],"REORDER","OK"))</f>
        <v>OK</v>
      </c>
      <c r="X498" s="1" t="str">
        <f t="shared" ca="1" si="15"/>
        <v>Valid</v>
      </c>
    </row>
    <row r="499" spans="1:24">
      <c r="A499" s="1">
        <v>498</v>
      </c>
      <c r="B499" s="1" t="s">
        <v>3524</v>
      </c>
      <c r="C499" s="1" t="s">
        <v>589</v>
      </c>
      <c r="D499" s="1" t="s">
        <v>17</v>
      </c>
      <c r="E499" s="1" t="s">
        <v>3525</v>
      </c>
      <c r="F499" s="1" t="s">
        <v>3526</v>
      </c>
      <c r="G499" s="6">
        <v>46</v>
      </c>
      <c r="H499" s="8">
        <f>tblInventory[[#This Row],[Stock_Quantity]] * tblInventory[[#This Row],[Unit_Price]]</f>
        <v>218.5</v>
      </c>
      <c r="I499" s="1">
        <v>39</v>
      </c>
      <c r="J499" s="1">
        <v>11</v>
      </c>
      <c r="K499" s="8">
        <f>tblInventory[[#This Row],[Reorder_Quantity]]*M499</f>
        <v>52.25</v>
      </c>
      <c r="L499" s="10">
        <f>tblInventory[[#This Row],[Stock_Quantity]] / tblInventory[[#This Row],[Reorder_Quantity]]</f>
        <v>4.1818181818181817</v>
      </c>
      <c r="M499" s="3">
        <v>4.75</v>
      </c>
      <c r="N499" s="10">
        <f t="shared" si="14"/>
        <v>0.78098471986417661</v>
      </c>
      <c r="O499" s="2">
        <v>45575</v>
      </c>
      <c r="P499" s="1" t="s">
        <v>20</v>
      </c>
      <c r="Q499" s="2">
        <v>46491</v>
      </c>
      <c r="R499" s="1" t="s">
        <v>3527</v>
      </c>
      <c r="S499" s="1">
        <v>36</v>
      </c>
      <c r="T499" s="1">
        <v>54</v>
      </c>
      <c r="U499" s="1" t="s">
        <v>46</v>
      </c>
      <c r="V499" s="3">
        <f>tblInventory[[#This Row],[Stock_Quantity]]*tblInventory[[#This Row],[Unit_Price]]</f>
        <v>218.5</v>
      </c>
      <c r="W499" s="1" t="str">
        <f>IF(tblInventory[[#This Row],[Status]]="Discontinued","INACTIVE",
IF(tblInventory[[#This Row],[Stock_Quantity]] &lt; tblInventory[[#This Row],[Reorder_Level]],"REORDER","OK"))</f>
        <v>OK</v>
      </c>
      <c r="X499" s="1" t="str">
        <f t="shared" ca="1" si="15"/>
        <v>Valid</v>
      </c>
    </row>
    <row r="500" spans="1:24">
      <c r="A500" s="1">
        <v>499</v>
      </c>
      <c r="B500" s="1" t="s">
        <v>3656</v>
      </c>
      <c r="C500" s="1" t="s">
        <v>589</v>
      </c>
      <c r="D500" s="1" t="s">
        <v>17</v>
      </c>
      <c r="E500" s="1" t="s">
        <v>3657</v>
      </c>
      <c r="F500" s="1" t="s">
        <v>1559</v>
      </c>
      <c r="G500" s="6">
        <v>62</v>
      </c>
      <c r="H500" s="8">
        <f>tblInventory[[#This Row],[Stock_Quantity]] * tblInventory[[#This Row],[Unit_Price]]</f>
        <v>294.5</v>
      </c>
      <c r="I500" s="1">
        <v>36</v>
      </c>
      <c r="J500" s="1">
        <v>96</v>
      </c>
      <c r="K500" s="8">
        <f>tblInventory[[#This Row],[Reorder_Quantity]]*M500</f>
        <v>456</v>
      </c>
      <c r="L500" s="10">
        <f>tblInventory[[#This Row],[Stock_Quantity]] / tblInventory[[#This Row],[Reorder_Quantity]]</f>
        <v>0.64583333333333337</v>
      </c>
      <c r="M500" s="3">
        <v>4.75</v>
      </c>
      <c r="N500" s="10">
        <f t="shared" si="14"/>
        <v>1.0526315789473684</v>
      </c>
      <c r="O500" s="2">
        <v>45355</v>
      </c>
      <c r="P500" s="2">
        <v>45569</v>
      </c>
      <c r="Q500" s="2">
        <v>46534</v>
      </c>
      <c r="R500" s="1" t="s">
        <v>3658</v>
      </c>
      <c r="S500" s="1">
        <v>31</v>
      </c>
      <c r="T500" s="1">
        <v>25</v>
      </c>
      <c r="U500" s="1" t="s">
        <v>24</v>
      </c>
      <c r="V500" s="3">
        <f>tblInventory[[#This Row],[Stock_Quantity]]*tblInventory[[#This Row],[Unit_Price]]</f>
        <v>294.5</v>
      </c>
      <c r="W500" s="1" t="str">
        <f>IF(tblInventory[[#This Row],[Status]]="Discontinued","INACTIVE",
IF(tblInventory[[#This Row],[Stock_Quantity]] &lt; tblInventory[[#This Row],[Reorder_Level]],"REORDER","OK"))</f>
        <v>INACTIVE</v>
      </c>
      <c r="X500" s="1" t="str">
        <f t="shared" ca="1" si="15"/>
        <v>Valid</v>
      </c>
    </row>
    <row r="501" spans="1:24">
      <c r="A501" s="1">
        <v>500</v>
      </c>
      <c r="B501" s="1" t="s">
        <v>1193</v>
      </c>
      <c r="C501" s="1" t="s">
        <v>1194</v>
      </c>
      <c r="D501" s="1" t="s">
        <v>49</v>
      </c>
      <c r="E501" s="1" t="s">
        <v>1195</v>
      </c>
      <c r="F501" s="1" t="s">
        <v>1196</v>
      </c>
      <c r="G501" s="6">
        <v>77</v>
      </c>
      <c r="H501" s="8">
        <f>tblInventory[[#This Row],[Stock_Quantity]] * tblInventory[[#This Row],[Unit_Price]]</f>
        <v>308</v>
      </c>
      <c r="I501" s="1">
        <v>52</v>
      </c>
      <c r="J501" s="1">
        <v>28</v>
      </c>
      <c r="K501" s="8">
        <f>tblInventory[[#This Row],[Reorder_Quantity]]*M501</f>
        <v>112</v>
      </c>
      <c r="L501" s="10">
        <f>tblInventory[[#This Row],[Stock_Quantity]] / tblInventory[[#This Row],[Reorder_Quantity]]</f>
        <v>2.75</v>
      </c>
      <c r="M501" s="3">
        <v>4</v>
      </c>
      <c r="N501" s="10">
        <f t="shared" si="14"/>
        <v>1.3073005093378609</v>
      </c>
      <c r="O501" s="1" t="s">
        <v>1008</v>
      </c>
      <c r="P501" s="1" t="s">
        <v>212</v>
      </c>
      <c r="Q501" s="2">
        <v>45935</v>
      </c>
      <c r="R501" s="1" t="s">
        <v>1197</v>
      </c>
      <c r="S501" s="1">
        <v>48</v>
      </c>
      <c r="T501" s="1">
        <v>43</v>
      </c>
      <c r="U501" s="1" t="s">
        <v>46</v>
      </c>
      <c r="V501" s="3">
        <f>tblInventory[[#This Row],[Stock_Quantity]]*tblInventory[[#This Row],[Unit_Price]]</f>
        <v>308</v>
      </c>
      <c r="W501" s="1" t="str">
        <f>IF(tblInventory[[#This Row],[Status]]="Discontinued","INACTIVE",
IF(tblInventory[[#This Row],[Stock_Quantity]] &lt; tblInventory[[#This Row],[Reorder_Level]],"REORDER","OK"))</f>
        <v>OK</v>
      </c>
      <c r="X501" s="1" t="str">
        <f t="shared" ca="1" si="15"/>
        <v>Expired</v>
      </c>
    </row>
    <row r="502" spans="1:24">
      <c r="A502" s="1">
        <v>501</v>
      </c>
      <c r="B502" s="1" t="s">
        <v>1706</v>
      </c>
      <c r="C502" s="1" t="s">
        <v>1194</v>
      </c>
      <c r="D502" s="1" t="s">
        <v>49</v>
      </c>
      <c r="E502" s="1" t="s">
        <v>1707</v>
      </c>
      <c r="F502" s="1" t="s">
        <v>42</v>
      </c>
      <c r="G502" s="6">
        <v>61</v>
      </c>
      <c r="H502" s="8">
        <f>tblInventory[[#This Row],[Stock_Quantity]] * tblInventory[[#This Row],[Unit_Price]]</f>
        <v>244</v>
      </c>
      <c r="I502" s="1">
        <v>100</v>
      </c>
      <c r="J502" s="1">
        <v>94</v>
      </c>
      <c r="K502" s="8">
        <f>tblInventory[[#This Row],[Reorder_Quantity]]*M502</f>
        <v>376</v>
      </c>
      <c r="L502" s="10">
        <f>tblInventory[[#This Row],[Stock_Quantity]] / tblInventory[[#This Row],[Reorder_Quantity]]</f>
        <v>0.64893617021276595</v>
      </c>
      <c r="M502" s="3">
        <v>4</v>
      </c>
      <c r="N502" s="10">
        <f t="shared" si="14"/>
        <v>1.0356536502546689</v>
      </c>
      <c r="O502" s="1" t="s">
        <v>1061</v>
      </c>
      <c r="P502" s="1" t="s">
        <v>1162</v>
      </c>
      <c r="Q502" s="2">
        <v>45925</v>
      </c>
      <c r="R502" s="1" t="s">
        <v>1708</v>
      </c>
      <c r="S502" s="1">
        <v>76</v>
      </c>
      <c r="T502" s="1">
        <v>2</v>
      </c>
      <c r="U502" s="1" t="s">
        <v>38</v>
      </c>
      <c r="V502" s="3">
        <f>tblInventory[[#This Row],[Stock_Quantity]]*tblInventory[[#This Row],[Unit_Price]]</f>
        <v>244</v>
      </c>
      <c r="W502" s="1" t="str">
        <f>IF(tblInventory[[#This Row],[Status]]="Discontinued","INACTIVE",
IF(tblInventory[[#This Row],[Stock_Quantity]] &lt; tblInventory[[#This Row],[Reorder_Level]],"REORDER","OK"))</f>
        <v>REORDER</v>
      </c>
      <c r="X502" s="1" t="str">
        <f t="shared" ca="1" si="15"/>
        <v>Expired</v>
      </c>
    </row>
    <row r="503" spans="1:24">
      <c r="A503" s="1">
        <v>502</v>
      </c>
      <c r="B503" s="1" t="s">
        <v>2094</v>
      </c>
      <c r="C503" s="1" t="s">
        <v>1194</v>
      </c>
      <c r="D503" s="1" t="s">
        <v>49</v>
      </c>
      <c r="E503" s="1" t="s">
        <v>2095</v>
      </c>
      <c r="F503" s="1" t="s">
        <v>711</v>
      </c>
      <c r="G503" s="6">
        <v>79</v>
      </c>
      <c r="H503" s="8">
        <f>tblInventory[[#This Row],[Stock_Quantity]] * tblInventory[[#This Row],[Unit_Price]]</f>
        <v>316</v>
      </c>
      <c r="I503" s="1">
        <v>74</v>
      </c>
      <c r="J503" s="1">
        <v>87</v>
      </c>
      <c r="K503" s="8">
        <f>tblInventory[[#This Row],[Reorder_Quantity]]*M503</f>
        <v>348</v>
      </c>
      <c r="L503" s="10">
        <f>tblInventory[[#This Row],[Stock_Quantity]] / tblInventory[[#This Row],[Reorder_Quantity]]</f>
        <v>0.90804597701149425</v>
      </c>
      <c r="M503" s="3">
        <v>4</v>
      </c>
      <c r="N503" s="10">
        <f t="shared" si="14"/>
        <v>1.3412563667232598</v>
      </c>
      <c r="O503" s="2">
        <v>45481</v>
      </c>
      <c r="P503" s="2">
        <v>45539</v>
      </c>
      <c r="Q503" s="2">
        <v>46043</v>
      </c>
      <c r="R503" s="1" t="s">
        <v>2096</v>
      </c>
      <c r="S503" s="1">
        <v>80</v>
      </c>
      <c r="T503" s="1">
        <v>26</v>
      </c>
      <c r="U503" s="1" t="s">
        <v>38</v>
      </c>
      <c r="V503" s="3">
        <f>tblInventory[[#This Row],[Stock_Quantity]]*tblInventory[[#This Row],[Unit_Price]]</f>
        <v>316</v>
      </c>
      <c r="W503" s="1" t="str">
        <f>IF(tblInventory[[#This Row],[Status]]="Discontinued","INACTIVE",
IF(tblInventory[[#This Row],[Stock_Quantity]] &lt; tblInventory[[#This Row],[Reorder_Level]],"REORDER","OK"))</f>
        <v>OK</v>
      </c>
      <c r="X503" s="1" t="str">
        <f t="shared" ca="1" si="15"/>
        <v>Valid</v>
      </c>
    </row>
    <row r="504" spans="1:24">
      <c r="A504" s="1">
        <v>503</v>
      </c>
      <c r="B504" s="1" t="s">
        <v>2983</v>
      </c>
      <c r="C504" s="1" t="s">
        <v>1194</v>
      </c>
      <c r="D504" s="1" t="s">
        <v>49</v>
      </c>
      <c r="E504" s="1" t="s">
        <v>2984</v>
      </c>
      <c r="F504" s="1" t="s">
        <v>2351</v>
      </c>
      <c r="G504" s="6">
        <v>47</v>
      </c>
      <c r="H504" s="8">
        <f>tblInventory[[#This Row],[Stock_Quantity]] * tblInventory[[#This Row],[Unit_Price]]</f>
        <v>188</v>
      </c>
      <c r="I504" s="1">
        <v>22</v>
      </c>
      <c r="J504" s="1">
        <v>69</v>
      </c>
      <c r="K504" s="8">
        <f>tblInventory[[#This Row],[Reorder_Quantity]]*M504</f>
        <v>276</v>
      </c>
      <c r="L504" s="10">
        <f>tblInventory[[#This Row],[Stock_Quantity]] / tblInventory[[#This Row],[Reorder_Quantity]]</f>
        <v>0.6811594202898551</v>
      </c>
      <c r="M504" s="3">
        <v>4</v>
      </c>
      <c r="N504" s="10">
        <f t="shared" si="14"/>
        <v>0.79796264855687604</v>
      </c>
      <c r="O504" s="2">
        <v>45325</v>
      </c>
      <c r="P504" s="1" t="s">
        <v>693</v>
      </c>
      <c r="Q504" s="2">
        <v>46316</v>
      </c>
      <c r="R504" s="1" t="s">
        <v>2985</v>
      </c>
      <c r="S504" s="1">
        <v>26</v>
      </c>
      <c r="T504" s="1">
        <v>59</v>
      </c>
      <c r="U504" s="1" t="s">
        <v>38</v>
      </c>
      <c r="V504" s="3">
        <f>tblInventory[[#This Row],[Stock_Quantity]]*tblInventory[[#This Row],[Unit_Price]]</f>
        <v>188</v>
      </c>
      <c r="W504" s="1" t="str">
        <f>IF(tblInventory[[#This Row],[Status]]="Discontinued","INACTIVE",
IF(tblInventory[[#This Row],[Stock_Quantity]] &lt; tblInventory[[#This Row],[Reorder_Level]],"REORDER","OK"))</f>
        <v>OK</v>
      </c>
      <c r="X504" s="1" t="str">
        <f t="shared" ca="1" si="15"/>
        <v>Valid</v>
      </c>
    </row>
    <row r="505" spans="1:24">
      <c r="A505" s="1">
        <v>504</v>
      </c>
      <c r="B505" s="1" t="s">
        <v>3491</v>
      </c>
      <c r="C505" s="1" t="s">
        <v>1194</v>
      </c>
      <c r="D505" s="1" t="s">
        <v>49</v>
      </c>
      <c r="E505" s="1" t="s">
        <v>3492</v>
      </c>
      <c r="F505" s="1" t="s">
        <v>149</v>
      </c>
      <c r="G505" s="6">
        <v>60</v>
      </c>
      <c r="H505" s="8">
        <f>tblInventory[[#This Row],[Stock_Quantity]] * tblInventory[[#This Row],[Unit_Price]]</f>
        <v>240</v>
      </c>
      <c r="I505" s="1">
        <v>15</v>
      </c>
      <c r="J505" s="1">
        <v>89</v>
      </c>
      <c r="K505" s="8">
        <f>tblInventory[[#This Row],[Reorder_Quantity]]*M505</f>
        <v>356</v>
      </c>
      <c r="L505" s="10">
        <f>tblInventory[[#This Row],[Stock_Quantity]] / tblInventory[[#This Row],[Reorder_Quantity]]</f>
        <v>0.6741573033707865</v>
      </c>
      <c r="M505" s="3">
        <v>4</v>
      </c>
      <c r="N505" s="10">
        <f t="shared" si="14"/>
        <v>1.0186757215619695</v>
      </c>
      <c r="O505" s="2">
        <v>45479</v>
      </c>
      <c r="P505" s="1" t="s">
        <v>1066</v>
      </c>
      <c r="Q505" s="2">
        <v>46450</v>
      </c>
      <c r="R505" s="1" t="s">
        <v>3493</v>
      </c>
      <c r="S505" s="1">
        <v>21</v>
      </c>
      <c r="T505" s="1">
        <v>29</v>
      </c>
      <c r="U505" s="1" t="s">
        <v>24</v>
      </c>
      <c r="V505" s="3">
        <f>tblInventory[[#This Row],[Stock_Quantity]]*tblInventory[[#This Row],[Unit_Price]]</f>
        <v>240</v>
      </c>
      <c r="W505" s="1" t="str">
        <f>IF(tblInventory[[#This Row],[Status]]="Discontinued","INACTIVE",
IF(tblInventory[[#This Row],[Stock_Quantity]] &lt; tblInventory[[#This Row],[Reorder_Level]],"REORDER","OK"))</f>
        <v>INACTIVE</v>
      </c>
      <c r="X505" s="1" t="str">
        <f t="shared" ca="1" si="15"/>
        <v>Valid</v>
      </c>
    </row>
    <row r="506" spans="1:24">
      <c r="A506" s="1">
        <v>505</v>
      </c>
      <c r="B506" s="1" t="s">
        <v>325</v>
      </c>
      <c r="C506" s="1" t="s">
        <v>326</v>
      </c>
      <c r="D506" s="1" t="s">
        <v>49</v>
      </c>
      <c r="E506" s="1" t="s">
        <v>327</v>
      </c>
      <c r="F506" s="1" t="s">
        <v>328</v>
      </c>
      <c r="G506" s="6">
        <v>45</v>
      </c>
      <c r="H506" s="8">
        <f>tblInventory[[#This Row],[Stock_Quantity]] * tblInventory[[#This Row],[Unit_Price]]</f>
        <v>270</v>
      </c>
      <c r="I506" s="1">
        <v>24</v>
      </c>
      <c r="J506" s="1">
        <v>61</v>
      </c>
      <c r="K506" s="8">
        <f>tblInventory[[#This Row],[Reorder_Quantity]]*M506</f>
        <v>366</v>
      </c>
      <c r="L506" s="10">
        <f>tblInventory[[#This Row],[Stock_Quantity]] / tblInventory[[#This Row],[Reorder_Quantity]]</f>
        <v>0.73770491803278693</v>
      </c>
      <c r="M506" s="3">
        <v>6</v>
      </c>
      <c r="N506" s="10">
        <f t="shared" si="14"/>
        <v>0.76400679117147707</v>
      </c>
      <c r="O506" s="1" t="s">
        <v>277</v>
      </c>
      <c r="P506" s="2">
        <v>45840</v>
      </c>
      <c r="Q506" s="2">
        <v>45423</v>
      </c>
      <c r="R506" s="1" t="s">
        <v>330</v>
      </c>
      <c r="S506" s="1">
        <v>44</v>
      </c>
      <c r="T506" s="1">
        <v>34</v>
      </c>
      <c r="U506" s="1" t="s">
        <v>38</v>
      </c>
      <c r="V506" s="3">
        <f>tblInventory[[#This Row],[Stock_Quantity]]*tblInventory[[#This Row],[Unit_Price]]</f>
        <v>270</v>
      </c>
      <c r="W506" s="1" t="str">
        <f>IF(tblInventory[[#This Row],[Status]]="Discontinued","INACTIVE",
IF(tblInventory[[#This Row],[Stock_Quantity]] &lt; tblInventory[[#This Row],[Reorder_Level]],"REORDER","OK"))</f>
        <v>OK</v>
      </c>
      <c r="X506" s="1" t="str">
        <f t="shared" ca="1" si="15"/>
        <v>Expired</v>
      </c>
    </row>
    <row r="507" spans="1:24">
      <c r="A507" s="1">
        <v>506</v>
      </c>
      <c r="B507" s="1" t="s">
        <v>1168</v>
      </c>
      <c r="C507" s="1" t="s">
        <v>326</v>
      </c>
      <c r="D507" s="1" t="s">
        <v>49</v>
      </c>
      <c r="E507" s="1" t="s">
        <v>1169</v>
      </c>
      <c r="F507" s="1" t="s">
        <v>1170</v>
      </c>
      <c r="G507" s="6">
        <v>37</v>
      </c>
      <c r="H507" s="8">
        <f>tblInventory[[#This Row],[Stock_Quantity]] * tblInventory[[#This Row],[Unit_Price]]</f>
        <v>222</v>
      </c>
      <c r="I507" s="1">
        <v>8</v>
      </c>
      <c r="J507" s="1">
        <v>50</v>
      </c>
      <c r="K507" s="8">
        <f>tblInventory[[#This Row],[Reorder_Quantity]]*M507</f>
        <v>300</v>
      </c>
      <c r="L507" s="10">
        <f>tblInventory[[#This Row],[Stock_Quantity]] / tblInventory[[#This Row],[Reorder_Quantity]]</f>
        <v>0.74</v>
      </c>
      <c r="M507" s="3">
        <v>6</v>
      </c>
      <c r="N507" s="10">
        <f t="shared" si="14"/>
        <v>0.6281833616298812</v>
      </c>
      <c r="O507" s="2">
        <v>45450</v>
      </c>
      <c r="P507" s="1" t="s">
        <v>766</v>
      </c>
      <c r="Q507" s="2">
        <v>45752</v>
      </c>
      <c r="R507" s="1" t="s">
        <v>1171</v>
      </c>
      <c r="S507" s="1">
        <v>47</v>
      </c>
      <c r="T507" s="1">
        <v>62</v>
      </c>
      <c r="U507" s="1" t="s">
        <v>24</v>
      </c>
      <c r="V507" s="3">
        <f>tblInventory[[#This Row],[Stock_Quantity]]*tblInventory[[#This Row],[Unit_Price]]</f>
        <v>222</v>
      </c>
      <c r="W507" s="1" t="str">
        <f>IF(tblInventory[[#This Row],[Status]]="Discontinued","INACTIVE",
IF(tblInventory[[#This Row],[Stock_Quantity]] &lt; tblInventory[[#This Row],[Reorder_Level]],"REORDER","OK"))</f>
        <v>INACTIVE</v>
      </c>
      <c r="X507" s="1" t="str">
        <f t="shared" ca="1" si="15"/>
        <v>Expired</v>
      </c>
    </row>
    <row r="508" spans="1:24">
      <c r="A508" s="1">
        <v>507</v>
      </c>
      <c r="B508" s="1" t="s">
        <v>1260</v>
      </c>
      <c r="C508" s="1" t="s">
        <v>326</v>
      </c>
      <c r="D508" s="1" t="s">
        <v>49</v>
      </c>
      <c r="E508" s="1" t="s">
        <v>1261</v>
      </c>
      <c r="F508" s="1" t="s">
        <v>1133</v>
      </c>
      <c r="G508" s="6">
        <v>28</v>
      </c>
      <c r="H508" s="8">
        <f>tblInventory[[#This Row],[Stock_Quantity]] * tblInventory[[#This Row],[Unit_Price]]</f>
        <v>168</v>
      </c>
      <c r="I508" s="1">
        <v>27</v>
      </c>
      <c r="J508" s="1">
        <v>22</v>
      </c>
      <c r="K508" s="8">
        <f>tblInventory[[#This Row],[Reorder_Quantity]]*M508</f>
        <v>132</v>
      </c>
      <c r="L508" s="10">
        <f>tblInventory[[#This Row],[Stock_Quantity]] / tblInventory[[#This Row],[Reorder_Quantity]]</f>
        <v>1.2727272727272727</v>
      </c>
      <c r="M508" s="3">
        <v>6</v>
      </c>
      <c r="N508" s="10">
        <f t="shared" si="14"/>
        <v>0.47538200339558573</v>
      </c>
      <c r="O508" s="1" t="s">
        <v>348</v>
      </c>
      <c r="P508" s="1" t="s">
        <v>665</v>
      </c>
      <c r="Q508" s="2">
        <v>45805</v>
      </c>
      <c r="R508" s="1" t="s">
        <v>1262</v>
      </c>
      <c r="S508" s="1">
        <v>70</v>
      </c>
      <c r="T508" s="1">
        <v>30</v>
      </c>
      <c r="U508" s="1" t="s">
        <v>24</v>
      </c>
      <c r="V508" s="3">
        <f>tblInventory[[#This Row],[Stock_Quantity]]*tblInventory[[#This Row],[Unit_Price]]</f>
        <v>168</v>
      </c>
      <c r="W508" s="1" t="str">
        <f>IF(tblInventory[[#This Row],[Status]]="Discontinued","INACTIVE",
IF(tblInventory[[#This Row],[Stock_Quantity]] &lt; tblInventory[[#This Row],[Reorder_Level]],"REORDER","OK"))</f>
        <v>INACTIVE</v>
      </c>
      <c r="X508" s="1" t="str">
        <f t="shared" ca="1" si="15"/>
        <v>Expired</v>
      </c>
    </row>
    <row r="509" spans="1:24">
      <c r="A509" s="1">
        <v>508</v>
      </c>
      <c r="B509" s="1" t="s">
        <v>1465</v>
      </c>
      <c r="C509" s="1" t="s">
        <v>326</v>
      </c>
      <c r="D509" s="1" t="s">
        <v>49</v>
      </c>
      <c r="E509" s="1" t="s">
        <v>1466</v>
      </c>
      <c r="F509" s="1" t="s">
        <v>1467</v>
      </c>
      <c r="G509" s="6">
        <v>47</v>
      </c>
      <c r="H509" s="8">
        <f>tblInventory[[#This Row],[Stock_Quantity]] * tblInventory[[#This Row],[Unit_Price]]</f>
        <v>282</v>
      </c>
      <c r="I509" s="1">
        <v>75</v>
      </c>
      <c r="J509" s="1">
        <v>53</v>
      </c>
      <c r="K509" s="8">
        <f>tblInventory[[#This Row],[Reorder_Quantity]]*M509</f>
        <v>318</v>
      </c>
      <c r="L509" s="10">
        <f>tblInventory[[#This Row],[Stock_Quantity]] / tblInventory[[#This Row],[Reorder_Quantity]]</f>
        <v>0.8867924528301887</v>
      </c>
      <c r="M509" s="3">
        <v>6</v>
      </c>
      <c r="N509" s="10">
        <f t="shared" si="14"/>
        <v>0.79796264855687604</v>
      </c>
      <c r="O509" s="2">
        <v>45810</v>
      </c>
      <c r="P509" s="2">
        <v>45361</v>
      </c>
      <c r="Q509" s="2">
        <v>45857</v>
      </c>
      <c r="R509" s="1" t="s">
        <v>1468</v>
      </c>
      <c r="S509" s="1">
        <v>70</v>
      </c>
      <c r="T509" s="1">
        <v>20</v>
      </c>
      <c r="U509" s="1" t="s">
        <v>24</v>
      </c>
      <c r="V509" s="3">
        <f>tblInventory[[#This Row],[Stock_Quantity]]*tblInventory[[#This Row],[Unit_Price]]</f>
        <v>282</v>
      </c>
      <c r="W509" s="1" t="str">
        <f>IF(tblInventory[[#This Row],[Status]]="Discontinued","INACTIVE",
IF(tblInventory[[#This Row],[Stock_Quantity]] &lt; tblInventory[[#This Row],[Reorder_Level]],"REORDER","OK"))</f>
        <v>INACTIVE</v>
      </c>
      <c r="X509" s="1" t="str">
        <f t="shared" ca="1" si="15"/>
        <v>Expired</v>
      </c>
    </row>
    <row r="510" spans="1:24">
      <c r="A510" s="1">
        <v>509</v>
      </c>
      <c r="B510" s="1" t="s">
        <v>2454</v>
      </c>
      <c r="C510" s="1" t="s">
        <v>326</v>
      </c>
      <c r="D510" s="1" t="s">
        <v>49</v>
      </c>
      <c r="E510" s="1" t="s">
        <v>2455</v>
      </c>
      <c r="F510" s="1" t="s">
        <v>2291</v>
      </c>
      <c r="G510" s="6">
        <v>38</v>
      </c>
      <c r="H510" s="8">
        <f>tblInventory[[#This Row],[Stock_Quantity]] * tblInventory[[#This Row],[Unit_Price]]</f>
        <v>216.6</v>
      </c>
      <c r="I510" s="1">
        <v>91</v>
      </c>
      <c r="J510" s="1">
        <v>94</v>
      </c>
      <c r="K510" s="8">
        <f>tblInventory[[#This Row],[Reorder_Quantity]]*M510</f>
        <v>535.80000000000007</v>
      </c>
      <c r="L510" s="10">
        <f>tblInventory[[#This Row],[Stock_Quantity]] / tblInventory[[#This Row],[Reorder_Quantity]]</f>
        <v>0.40425531914893614</v>
      </c>
      <c r="M510" s="3">
        <v>5.7</v>
      </c>
      <c r="N510" s="10">
        <f t="shared" si="14"/>
        <v>0.64516129032258063</v>
      </c>
      <c r="O510" s="2">
        <v>45633</v>
      </c>
      <c r="P510" s="1" t="s">
        <v>566</v>
      </c>
      <c r="Q510" s="2">
        <v>46361</v>
      </c>
      <c r="R510" s="1" t="s">
        <v>2456</v>
      </c>
      <c r="S510" s="1">
        <v>53</v>
      </c>
      <c r="T510" s="1">
        <v>87</v>
      </c>
      <c r="U510" s="1" t="s">
        <v>24</v>
      </c>
      <c r="V510" s="3">
        <f>tblInventory[[#This Row],[Stock_Quantity]]*tblInventory[[#This Row],[Unit_Price]]</f>
        <v>216.6</v>
      </c>
      <c r="W510" s="1" t="str">
        <f>IF(tblInventory[[#This Row],[Status]]="Discontinued","INACTIVE",
IF(tblInventory[[#This Row],[Stock_Quantity]] &lt; tblInventory[[#This Row],[Reorder_Level]],"REORDER","OK"))</f>
        <v>INACTIVE</v>
      </c>
      <c r="X510" s="1" t="str">
        <f t="shared" ca="1" si="15"/>
        <v>Valid</v>
      </c>
    </row>
    <row r="511" spans="1:24">
      <c r="A511" s="1">
        <v>510</v>
      </c>
      <c r="B511" s="1" t="s">
        <v>2592</v>
      </c>
      <c r="C511" s="1" t="s">
        <v>326</v>
      </c>
      <c r="D511" s="1" t="s">
        <v>49</v>
      </c>
      <c r="E511" s="1" t="s">
        <v>2593</v>
      </c>
      <c r="F511" s="1" t="s">
        <v>102</v>
      </c>
      <c r="G511" s="6">
        <v>63</v>
      </c>
      <c r="H511" s="8">
        <f>tblInventory[[#This Row],[Stock_Quantity]] * tblInventory[[#This Row],[Unit_Price]]</f>
        <v>365.4</v>
      </c>
      <c r="I511" s="1">
        <v>57</v>
      </c>
      <c r="J511" s="1">
        <v>11</v>
      </c>
      <c r="K511" s="8">
        <f>tblInventory[[#This Row],[Reorder_Quantity]]*M511</f>
        <v>63.8</v>
      </c>
      <c r="L511" s="10">
        <f>tblInventory[[#This Row],[Stock_Quantity]] / tblInventory[[#This Row],[Reorder_Quantity]]</f>
        <v>5.7272727272727275</v>
      </c>
      <c r="M511" s="3">
        <v>5.8</v>
      </c>
      <c r="N511" s="10">
        <f t="shared" si="14"/>
        <v>1.069609507640068</v>
      </c>
      <c r="O511" s="2">
        <v>45962</v>
      </c>
      <c r="P511" s="1" t="s">
        <v>666</v>
      </c>
      <c r="Q511" s="2">
        <v>46195</v>
      </c>
      <c r="R511" s="1" t="s">
        <v>2594</v>
      </c>
      <c r="S511" s="1">
        <v>20</v>
      </c>
      <c r="T511" s="1">
        <v>100</v>
      </c>
      <c r="U511" s="1" t="s">
        <v>24</v>
      </c>
      <c r="V511" s="3">
        <f>tblInventory[[#This Row],[Stock_Quantity]]*tblInventory[[#This Row],[Unit_Price]]</f>
        <v>365.4</v>
      </c>
      <c r="W511" s="1" t="str">
        <f>IF(tblInventory[[#This Row],[Status]]="Discontinued","INACTIVE",
IF(tblInventory[[#This Row],[Stock_Quantity]] &lt; tblInventory[[#This Row],[Reorder_Level]],"REORDER","OK"))</f>
        <v>INACTIVE</v>
      </c>
      <c r="X511" s="1" t="str">
        <f t="shared" ca="1" si="15"/>
        <v>Valid</v>
      </c>
    </row>
    <row r="512" spans="1:24">
      <c r="A512" s="1">
        <v>511</v>
      </c>
      <c r="B512" s="1" t="s">
        <v>288</v>
      </c>
      <c r="C512" s="1" t="s">
        <v>289</v>
      </c>
      <c r="D512" s="1" t="s">
        <v>49</v>
      </c>
      <c r="E512" s="1" t="s">
        <v>290</v>
      </c>
      <c r="F512" s="1" t="s">
        <v>291</v>
      </c>
      <c r="G512" s="6">
        <v>12</v>
      </c>
      <c r="H512" s="8">
        <f>tblInventory[[#This Row],[Stock_Quantity]] * tblInventory[[#This Row],[Unit_Price]]</f>
        <v>27.599999999999998</v>
      </c>
      <c r="I512" s="1">
        <v>7</v>
      </c>
      <c r="J512" s="1">
        <v>48</v>
      </c>
      <c r="K512" s="8">
        <f>tblInventory[[#This Row],[Reorder_Quantity]]*M512</f>
        <v>110.39999999999999</v>
      </c>
      <c r="L512" s="10">
        <f>tblInventory[[#This Row],[Stock_Quantity]] / tblInventory[[#This Row],[Reorder_Quantity]]</f>
        <v>0.25</v>
      </c>
      <c r="M512" s="3">
        <v>2.2999999999999998</v>
      </c>
      <c r="N512" s="10">
        <f t="shared" si="14"/>
        <v>0.2037351443123939</v>
      </c>
      <c r="O512" s="1" t="s">
        <v>197</v>
      </c>
      <c r="P512" s="1" t="s">
        <v>292</v>
      </c>
      <c r="Q512" s="2">
        <v>45595</v>
      </c>
      <c r="R512" s="1" t="s">
        <v>293</v>
      </c>
      <c r="S512" s="1">
        <v>66</v>
      </c>
      <c r="T512" s="1">
        <v>4</v>
      </c>
      <c r="U512" s="1" t="s">
        <v>24</v>
      </c>
      <c r="V512" s="3">
        <f>tblInventory[[#This Row],[Stock_Quantity]]*tblInventory[[#This Row],[Unit_Price]]</f>
        <v>27.599999999999998</v>
      </c>
      <c r="W512" s="1" t="str">
        <f>IF(tblInventory[[#This Row],[Status]]="Discontinued","INACTIVE",
IF(tblInventory[[#This Row],[Stock_Quantity]] &lt; tblInventory[[#This Row],[Reorder_Level]],"REORDER","OK"))</f>
        <v>INACTIVE</v>
      </c>
      <c r="X512" s="1" t="str">
        <f t="shared" ca="1" si="15"/>
        <v>Expired</v>
      </c>
    </row>
    <row r="513" spans="1:24">
      <c r="A513" s="1">
        <v>512</v>
      </c>
      <c r="B513" s="1" t="s">
        <v>638</v>
      </c>
      <c r="C513" s="1" t="s">
        <v>289</v>
      </c>
      <c r="D513" s="1" t="s">
        <v>49</v>
      </c>
      <c r="E513" s="1" t="s">
        <v>639</v>
      </c>
      <c r="F513" s="1" t="s">
        <v>183</v>
      </c>
      <c r="G513" s="6">
        <v>63</v>
      </c>
      <c r="H513" s="8">
        <f>tblInventory[[#This Row],[Stock_Quantity]] * tblInventory[[#This Row],[Unit_Price]]</f>
        <v>157.5</v>
      </c>
      <c r="I513" s="1">
        <v>81</v>
      </c>
      <c r="J513" s="1">
        <v>94</v>
      </c>
      <c r="K513" s="8">
        <f>tblInventory[[#This Row],[Reorder_Quantity]]*M513</f>
        <v>235</v>
      </c>
      <c r="L513" s="10">
        <f>tblInventory[[#This Row],[Stock_Quantity]] / tblInventory[[#This Row],[Reorder_Quantity]]</f>
        <v>0.67021276595744683</v>
      </c>
      <c r="M513" s="3">
        <v>2.5</v>
      </c>
      <c r="N513" s="10">
        <f t="shared" si="14"/>
        <v>1.069609507640068</v>
      </c>
      <c r="O513" s="2">
        <v>45388</v>
      </c>
      <c r="P513" s="1" t="s">
        <v>602</v>
      </c>
      <c r="Q513" s="2">
        <v>45689</v>
      </c>
      <c r="R513" s="1" t="s">
        <v>640</v>
      </c>
      <c r="S513" s="1">
        <v>56</v>
      </c>
      <c r="T513" s="1">
        <v>2</v>
      </c>
      <c r="U513" s="1" t="s">
        <v>46</v>
      </c>
      <c r="V513" s="3">
        <f>tblInventory[[#This Row],[Stock_Quantity]]*tblInventory[[#This Row],[Unit_Price]]</f>
        <v>157.5</v>
      </c>
      <c r="W513" s="1" t="str">
        <f>IF(tblInventory[[#This Row],[Status]]="Discontinued","INACTIVE",
IF(tblInventory[[#This Row],[Stock_Quantity]] &lt; tblInventory[[#This Row],[Reorder_Level]],"REORDER","OK"))</f>
        <v>REORDER</v>
      </c>
      <c r="X513" s="1" t="str">
        <f t="shared" ca="1" si="15"/>
        <v>Expired</v>
      </c>
    </row>
    <row r="514" spans="1:24">
      <c r="A514" s="1">
        <v>513</v>
      </c>
      <c r="B514" s="1" t="s">
        <v>1181</v>
      </c>
      <c r="C514" s="1" t="s">
        <v>289</v>
      </c>
      <c r="D514" s="1" t="s">
        <v>49</v>
      </c>
      <c r="E514" s="1" t="s">
        <v>1182</v>
      </c>
      <c r="F514" s="1" t="s">
        <v>341</v>
      </c>
      <c r="G514" s="6">
        <v>90</v>
      </c>
      <c r="H514" s="8">
        <f>tblInventory[[#This Row],[Stock_Quantity]] * tblInventory[[#This Row],[Unit_Price]]</f>
        <v>225</v>
      </c>
      <c r="I514" s="1">
        <v>92</v>
      </c>
      <c r="J514" s="1">
        <v>56</v>
      </c>
      <c r="K514" s="8">
        <f>tblInventory[[#This Row],[Reorder_Quantity]]*M514</f>
        <v>140</v>
      </c>
      <c r="L514" s="10">
        <f>tblInventory[[#This Row],[Stock_Quantity]] / tblInventory[[#This Row],[Reorder_Quantity]]</f>
        <v>1.6071428571428572</v>
      </c>
      <c r="M514" s="3">
        <v>2.5</v>
      </c>
      <c r="N514" s="10">
        <f t="shared" ref="N514:N577" si="16">G514 / 58.9</f>
        <v>1.5280135823429541</v>
      </c>
      <c r="O514" s="1" t="s">
        <v>334</v>
      </c>
      <c r="P514" s="1" t="s">
        <v>745</v>
      </c>
      <c r="Q514" s="2">
        <v>45843</v>
      </c>
      <c r="R514" s="1" t="s">
        <v>1184</v>
      </c>
      <c r="S514" s="1">
        <v>71</v>
      </c>
      <c r="T514" s="1">
        <v>13</v>
      </c>
      <c r="U514" s="1" t="s">
        <v>46</v>
      </c>
      <c r="V514" s="3">
        <f>tblInventory[[#This Row],[Stock_Quantity]]*tblInventory[[#This Row],[Unit_Price]]</f>
        <v>225</v>
      </c>
      <c r="W514" s="1" t="str">
        <f>IF(tblInventory[[#This Row],[Status]]="Discontinued","INACTIVE",
IF(tblInventory[[#This Row],[Stock_Quantity]] &lt; tblInventory[[#This Row],[Reorder_Level]],"REORDER","OK"))</f>
        <v>REORDER</v>
      </c>
      <c r="X514" s="1" t="str">
        <f t="shared" ref="X514:X577" ca="1" si="17">IF(Q514&lt;TODAY(),"Expired","Valid")</f>
        <v>Expired</v>
      </c>
    </row>
    <row r="515" spans="1:24">
      <c r="A515" s="1">
        <v>514</v>
      </c>
      <c r="B515" s="1" t="s">
        <v>1527</v>
      </c>
      <c r="C515" s="1" t="s">
        <v>289</v>
      </c>
      <c r="D515" s="1" t="s">
        <v>49</v>
      </c>
      <c r="E515" s="1" t="s">
        <v>1528</v>
      </c>
      <c r="F515" s="1" t="s">
        <v>1375</v>
      </c>
      <c r="G515" s="6">
        <v>72</v>
      </c>
      <c r="H515" s="8">
        <f>tblInventory[[#This Row],[Stock_Quantity]] * tblInventory[[#This Row],[Unit_Price]]</f>
        <v>176.4</v>
      </c>
      <c r="I515" s="1">
        <v>32</v>
      </c>
      <c r="J515" s="1">
        <v>80</v>
      </c>
      <c r="K515" s="8">
        <f>tblInventory[[#This Row],[Reorder_Quantity]]*M515</f>
        <v>196</v>
      </c>
      <c r="L515" s="10">
        <f>tblInventory[[#This Row],[Stock_Quantity]] / tblInventory[[#This Row],[Reorder_Quantity]]</f>
        <v>0.9</v>
      </c>
      <c r="M515" s="3">
        <v>2.4500000000000002</v>
      </c>
      <c r="N515" s="10">
        <f t="shared" si="16"/>
        <v>1.2224108658743633</v>
      </c>
      <c r="O515" s="2">
        <v>45450</v>
      </c>
      <c r="P515" s="1" t="s">
        <v>317</v>
      </c>
      <c r="Q515" s="2">
        <v>45785</v>
      </c>
      <c r="R515" s="1" t="s">
        <v>1529</v>
      </c>
      <c r="S515" s="1">
        <v>25</v>
      </c>
      <c r="T515" s="1">
        <v>9</v>
      </c>
      <c r="U515" s="1" t="s">
        <v>38</v>
      </c>
      <c r="V515" s="3">
        <f>tblInventory[[#This Row],[Stock_Quantity]]*tblInventory[[#This Row],[Unit_Price]]</f>
        <v>176.4</v>
      </c>
      <c r="W515" s="1" t="str">
        <f>IF(tblInventory[[#This Row],[Status]]="Discontinued","INACTIVE",
IF(tblInventory[[#This Row],[Stock_Quantity]] &lt; tblInventory[[#This Row],[Reorder_Level]],"REORDER","OK"))</f>
        <v>OK</v>
      </c>
      <c r="X515" s="1" t="str">
        <f t="shared" ca="1" si="17"/>
        <v>Expired</v>
      </c>
    </row>
    <row r="516" spans="1:24">
      <c r="A516" s="1">
        <v>515</v>
      </c>
      <c r="B516" s="1" t="s">
        <v>1894</v>
      </c>
      <c r="C516" s="1" t="s">
        <v>289</v>
      </c>
      <c r="D516" s="1" t="s">
        <v>49</v>
      </c>
      <c r="E516" s="1" t="s">
        <v>1895</v>
      </c>
      <c r="F516" s="1" t="s">
        <v>1404</v>
      </c>
      <c r="G516" s="6">
        <v>91</v>
      </c>
      <c r="H516" s="8">
        <f>tblInventory[[#This Row],[Stock_Quantity]] * tblInventory[[#This Row],[Unit_Price]]</f>
        <v>218.4</v>
      </c>
      <c r="I516" s="1">
        <v>6</v>
      </c>
      <c r="J516" s="1">
        <v>37</v>
      </c>
      <c r="K516" s="8">
        <f>tblInventory[[#This Row],[Reorder_Quantity]]*M516</f>
        <v>88.8</v>
      </c>
      <c r="L516" s="10">
        <f>tblInventory[[#This Row],[Stock_Quantity]] / tblInventory[[#This Row],[Reorder_Quantity]]</f>
        <v>2.4594594594594597</v>
      </c>
      <c r="M516" s="3">
        <v>2.4</v>
      </c>
      <c r="N516" s="10">
        <f t="shared" si="16"/>
        <v>1.5449915110356538</v>
      </c>
      <c r="O516" s="2">
        <v>45296</v>
      </c>
      <c r="P516" s="2">
        <v>45481</v>
      </c>
      <c r="Q516" s="2">
        <v>45981</v>
      </c>
      <c r="R516" s="1" t="s">
        <v>1896</v>
      </c>
      <c r="S516" s="1">
        <v>38</v>
      </c>
      <c r="T516" s="1">
        <v>70</v>
      </c>
      <c r="U516" s="1" t="s">
        <v>38</v>
      </c>
      <c r="V516" s="3">
        <f>tblInventory[[#This Row],[Stock_Quantity]]*tblInventory[[#This Row],[Unit_Price]]</f>
        <v>218.4</v>
      </c>
      <c r="W516" s="1" t="str">
        <f>IF(tblInventory[[#This Row],[Status]]="Discontinued","INACTIVE",
IF(tblInventory[[#This Row],[Stock_Quantity]] &lt; tblInventory[[#This Row],[Reorder_Level]],"REORDER","OK"))</f>
        <v>OK</v>
      </c>
      <c r="X516" s="1" t="str">
        <f t="shared" ca="1" si="17"/>
        <v>Expired</v>
      </c>
    </row>
    <row r="517" spans="1:24">
      <c r="A517" s="1">
        <v>516</v>
      </c>
      <c r="B517" s="1" t="s">
        <v>1940</v>
      </c>
      <c r="C517" s="1" t="s">
        <v>289</v>
      </c>
      <c r="D517" s="1" t="s">
        <v>49</v>
      </c>
      <c r="E517" s="1" t="s">
        <v>1941</v>
      </c>
      <c r="F517" s="1" t="s">
        <v>601</v>
      </c>
      <c r="G517" s="6">
        <v>65</v>
      </c>
      <c r="H517" s="8">
        <f>tblInventory[[#This Row],[Stock_Quantity]] * tblInventory[[#This Row],[Unit_Price]]</f>
        <v>162.5</v>
      </c>
      <c r="I517" s="1">
        <v>88</v>
      </c>
      <c r="J517" s="1">
        <v>20</v>
      </c>
      <c r="K517" s="8">
        <f>tblInventory[[#This Row],[Reorder_Quantity]]*M517</f>
        <v>50</v>
      </c>
      <c r="L517" s="10">
        <f>tblInventory[[#This Row],[Stock_Quantity]] / tblInventory[[#This Row],[Reorder_Quantity]]</f>
        <v>3.25</v>
      </c>
      <c r="M517" s="3">
        <v>2.5</v>
      </c>
      <c r="N517" s="10">
        <f t="shared" si="16"/>
        <v>1.1035653650254669</v>
      </c>
      <c r="O517" s="1" t="s">
        <v>342</v>
      </c>
      <c r="P517" s="1" t="s">
        <v>444</v>
      </c>
      <c r="Q517" s="2">
        <v>45759</v>
      </c>
      <c r="R517" s="1" t="s">
        <v>1942</v>
      </c>
      <c r="S517" s="1">
        <v>89</v>
      </c>
      <c r="T517" s="1">
        <v>37</v>
      </c>
      <c r="U517" s="1" t="s">
        <v>38</v>
      </c>
      <c r="V517" s="3">
        <f>tblInventory[[#This Row],[Stock_Quantity]]*tblInventory[[#This Row],[Unit_Price]]</f>
        <v>162.5</v>
      </c>
      <c r="W517" s="1" t="str">
        <f>IF(tblInventory[[#This Row],[Status]]="Discontinued","INACTIVE",
IF(tblInventory[[#This Row],[Stock_Quantity]] &lt; tblInventory[[#This Row],[Reorder_Level]],"REORDER","OK"))</f>
        <v>REORDER</v>
      </c>
      <c r="X517" s="1" t="str">
        <f t="shared" ca="1" si="17"/>
        <v>Expired</v>
      </c>
    </row>
    <row r="518" spans="1:24">
      <c r="A518" s="1">
        <v>517</v>
      </c>
      <c r="B518" s="1" t="s">
        <v>1946</v>
      </c>
      <c r="C518" s="1" t="s">
        <v>289</v>
      </c>
      <c r="D518" s="1" t="s">
        <v>49</v>
      </c>
      <c r="E518" s="1" t="s">
        <v>1947</v>
      </c>
      <c r="F518" s="1" t="s">
        <v>1948</v>
      </c>
      <c r="G518" s="6">
        <v>63</v>
      </c>
      <c r="H518" s="8">
        <f>tblInventory[[#This Row],[Stock_Quantity]] * tblInventory[[#This Row],[Unit_Price]]</f>
        <v>157.5</v>
      </c>
      <c r="I518" s="1">
        <v>60</v>
      </c>
      <c r="J518" s="1">
        <v>54</v>
      </c>
      <c r="K518" s="8">
        <f>tblInventory[[#This Row],[Reorder_Quantity]]*M518</f>
        <v>135</v>
      </c>
      <c r="L518" s="10">
        <f>tblInventory[[#This Row],[Stock_Quantity]] / tblInventory[[#This Row],[Reorder_Quantity]]</f>
        <v>1.1666666666666667</v>
      </c>
      <c r="M518" s="3">
        <v>2.5</v>
      </c>
      <c r="N518" s="10">
        <f t="shared" si="16"/>
        <v>1.069609507640068</v>
      </c>
      <c r="O518" s="1" t="s">
        <v>247</v>
      </c>
      <c r="P518" s="1" t="s">
        <v>699</v>
      </c>
      <c r="Q518" s="2">
        <v>45820</v>
      </c>
      <c r="R518" s="1" t="s">
        <v>1949</v>
      </c>
      <c r="S518" s="1">
        <v>33</v>
      </c>
      <c r="T518" s="1">
        <v>31</v>
      </c>
      <c r="U518" s="1" t="s">
        <v>38</v>
      </c>
      <c r="V518" s="3">
        <f>tblInventory[[#This Row],[Stock_Quantity]]*tblInventory[[#This Row],[Unit_Price]]</f>
        <v>157.5</v>
      </c>
      <c r="W518" s="1" t="str">
        <f>IF(tblInventory[[#This Row],[Status]]="Discontinued","INACTIVE",
IF(tblInventory[[#This Row],[Stock_Quantity]] &lt; tblInventory[[#This Row],[Reorder_Level]],"REORDER","OK"))</f>
        <v>OK</v>
      </c>
      <c r="X518" s="1" t="str">
        <f t="shared" ca="1" si="17"/>
        <v>Expired</v>
      </c>
    </row>
    <row r="519" spans="1:24">
      <c r="A519" s="1">
        <v>518</v>
      </c>
      <c r="B519" s="1" t="s">
        <v>2487</v>
      </c>
      <c r="C519" s="1" t="s">
        <v>289</v>
      </c>
      <c r="D519" s="1" t="s">
        <v>49</v>
      </c>
      <c r="E519" s="1" t="s">
        <v>2488</v>
      </c>
      <c r="F519" s="1" t="s">
        <v>2198</v>
      </c>
      <c r="G519" s="6">
        <v>59</v>
      </c>
      <c r="H519" s="8">
        <f>tblInventory[[#This Row],[Stock_Quantity]] * tblInventory[[#This Row],[Unit_Price]]</f>
        <v>144.55000000000001</v>
      </c>
      <c r="I519" s="1">
        <v>82</v>
      </c>
      <c r="J519" s="1">
        <v>69</v>
      </c>
      <c r="K519" s="8">
        <f>tblInventory[[#This Row],[Reorder_Quantity]]*M519</f>
        <v>169.05</v>
      </c>
      <c r="L519" s="10">
        <f>tblInventory[[#This Row],[Stock_Quantity]] / tblInventory[[#This Row],[Reorder_Quantity]]</f>
        <v>0.85507246376811596</v>
      </c>
      <c r="M519" s="3">
        <v>2.4500000000000002</v>
      </c>
      <c r="N519" s="10">
        <f t="shared" si="16"/>
        <v>1.0016977928692701</v>
      </c>
      <c r="O519" s="2">
        <v>45387</v>
      </c>
      <c r="P519" s="1" t="s">
        <v>681</v>
      </c>
      <c r="Q519" s="2">
        <v>46164</v>
      </c>
      <c r="R519" s="1" t="s">
        <v>2489</v>
      </c>
      <c r="S519" s="1">
        <v>30</v>
      </c>
      <c r="T519" s="1">
        <v>34</v>
      </c>
      <c r="U519" s="1" t="s">
        <v>24</v>
      </c>
      <c r="V519" s="3">
        <f>tblInventory[[#This Row],[Stock_Quantity]]*tblInventory[[#This Row],[Unit_Price]]</f>
        <v>144.55000000000001</v>
      </c>
      <c r="W519" s="1" t="str">
        <f>IF(tblInventory[[#This Row],[Status]]="Discontinued","INACTIVE",
IF(tblInventory[[#This Row],[Stock_Quantity]] &lt; tblInventory[[#This Row],[Reorder_Level]],"REORDER","OK"))</f>
        <v>INACTIVE</v>
      </c>
      <c r="X519" s="1" t="str">
        <f t="shared" ca="1" si="17"/>
        <v>Valid</v>
      </c>
    </row>
    <row r="520" spans="1:24">
      <c r="A520" s="1">
        <v>519</v>
      </c>
      <c r="B520" s="1" t="s">
        <v>3593</v>
      </c>
      <c r="C520" s="1" t="s">
        <v>289</v>
      </c>
      <c r="D520" s="1" t="s">
        <v>49</v>
      </c>
      <c r="E520" s="1" t="s">
        <v>3594</v>
      </c>
      <c r="F520" s="1" t="s">
        <v>2603</v>
      </c>
      <c r="G520" s="6">
        <v>87</v>
      </c>
      <c r="H520" s="8">
        <f>tblInventory[[#This Row],[Stock_Quantity]] * tblInventory[[#This Row],[Unit_Price]]</f>
        <v>217.5</v>
      </c>
      <c r="I520" s="1">
        <v>1</v>
      </c>
      <c r="J520" s="1">
        <v>98</v>
      </c>
      <c r="K520" s="8">
        <f>tblInventory[[#This Row],[Reorder_Quantity]]*M520</f>
        <v>245</v>
      </c>
      <c r="L520" s="10">
        <f>tblInventory[[#This Row],[Stock_Quantity]] / tblInventory[[#This Row],[Reorder_Quantity]]</f>
        <v>0.88775510204081631</v>
      </c>
      <c r="M520" s="3">
        <v>2.5</v>
      </c>
      <c r="N520" s="10">
        <f t="shared" si="16"/>
        <v>1.4770797962648556</v>
      </c>
      <c r="O520" s="2">
        <v>45477</v>
      </c>
      <c r="P520" s="2">
        <v>45483</v>
      </c>
      <c r="Q520" s="2">
        <v>46543</v>
      </c>
      <c r="R520" s="1" t="s">
        <v>3595</v>
      </c>
      <c r="S520" s="1">
        <v>61</v>
      </c>
      <c r="T520" s="1">
        <v>84</v>
      </c>
      <c r="U520" s="1" t="s">
        <v>24</v>
      </c>
      <c r="V520" s="3">
        <f>tblInventory[[#This Row],[Stock_Quantity]]*tblInventory[[#This Row],[Unit_Price]]</f>
        <v>217.5</v>
      </c>
      <c r="W520" s="1" t="str">
        <f>IF(tblInventory[[#This Row],[Status]]="Discontinued","INACTIVE",
IF(tblInventory[[#This Row],[Stock_Quantity]] &lt; tblInventory[[#This Row],[Reorder_Level]],"REORDER","OK"))</f>
        <v>INACTIVE</v>
      </c>
      <c r="X520" s="1" t="str">
        <f t="shared" ca="1" si="17"/>
        <v>Valid</v>
      </c>
    </row>
    <row r="521" spans="1:24">
      <c r="A521" s="1">
        <v>520</v>
      </c>
      <c r="B521" s="1" t="s">
        <v>645</v>
      </c>
      <c r="C521" s="1" t="s">
        <v>646</v>
      </c>
      <c r="D521" s="1" t="s">
        <v>49</v>
      </c>
      <c r="E521" s="1" t="s">
        <v>647</v>
      </c>
      <c r="F521" s="1" t="s">
        <v>648</v>
      </c>
      <c r="G521" s="6">
        <v>58</v>
      </c>
      <c r="H521" s="8">
        <f>tblInventory[[#This Row],[Stock_Quantity]] * tblInventory[[#This Row],[Unit_Price]]</f>
        <v>116</v>
      </c>
      <c r="I521" s="1">
        <v>5</v>
      </c>
      <c r="J521" s="1">
        <v>1</v>
      </c>
      <c r="K521" s="8">
        <f>tblInventory[[#This Row],[Reorder_Quantity]]*M521</f>
        <v>2</v>
      </c>
      <c r="L521" s="10">
        <f>tblInventory[[#This Row],[Stock_Quantity]] / tblInventory[[#This Row],[Reorder_Quantity]]</f>
        <v>58</v>
      </c>
      <c r="M521" s="3">
        <v>2</v>
      </c>
      <c r="N521" s="10">
        <f t="shared" si="16"/>
        <v>0.98471986417657054</v>
      </c>
      <c r="O521" s="2">
        <v>45332</v>
      </c>
      <c r="P521" s="1" t="s">
        <v>96</v>
      </c>
      <c r="Q521" s="2">
        <v>45748</v>
      </c>
      <c r="R521" s="1" t="s">
        <v>649</v>
      </c>
      <c r="S521" s="1">
        <v>53</v>
      </c>
      <c r="T521" s="1">
        <v>80</v>
      </c>
      <c r="U521" s="1" t="s">
        <v>46</v>
      </c>
      <c r="V521" s="3">
        <f>tblInventory[[#This Row],[Stock_Quantity]]*tblInventory[[#This Row],[Unit_Price]]</f>
        <v>116</v>
      </c>
      <c r="W521" s="1" t="str">
        <f>IF(tblInventory[[#This Row],[Status]]="Discontinued","INACTIVE",
IF(tblInventory[[#This Row],[Stock_Quantity]] &lt; tblInventory[[#This Row],[Reorder_Level]],"REORDER","OK"))</f>
        <v>OK</v>
      </c>
      <c r="X521" s="1" t="str">
        <f t="shared" ca="1" si="17"/>
        <v>Expired</v>
      </c>
    </row>
    <row r="522" spans="1:24">
      <c r="A522" s="1">
        <v>521</v>
      </c>
      <c r="B522" s="1" t="s">
        <v>2843</v>
      </c>
      <c r="C522" s="1" t="s">
        <v>646</v>
      </c>
      <c r="D522" s="1" t="s">
        <v>49</v>
      </c>
      <c r="E522" s="1" t="s">
        <v>2844</v>
      </c>
      <c r="F522" s="1" t="s">
        <v>775</v>
      </c>
      <c r="G522" s="6">
        <v>100</v>
      </c>
      <c r="H522" s="8">
        <f>tblInventory[[#This Row],[Stock_Quantity]] * tblInventory[[#This Row],[Unit_Price]]</f>
        <v>200</v>
      </c>
      <c r="I522" s="1">
        <v>7</v>
      </c>
      <c r="J522" s="1">
        <v>14</v>
      </c>
      <c r="K522" s="8">
        <f>tblInventory[[#This Row],[Reorder_Quantity]]*M522</f>
        <v>28</v>
      </c>
      <c r="L522" s="10">
        <f>tblInventory[[#This Row],[Stock_Quantity]] / tblInventory[[#This Row],[Reorder_Quantity]]</f>
        <v>7.1428571428571432</v>
      </c>
      <c r="M522" s="3">
        <v>2</v>
      </c>
      <c r="N522" s="10">
        <f t="shared" si="16"/>
        <v>1.6977928692699491</v>
      </c>
      <c r="O522" s="1" t="s">
        <v>1254</v>
      </c>
      <c r="P522" s="2">
        <v>45446</v>
      </c>
      <c r="Q522" s="2">
        <v>46212</v>
      </c>
      <c r="R522" s="1" t="s">
        <v>2845</v>
      </c>
      <c r="S522" s="1">
        <v>26</v>
      </c>
      <c r="T522" s="1">
        <v>33</v>
      </c>
      <c r="U522" s="1" t="s">
        <v>38</v>
      </c>
      <c r="V522" s="3">
        <f>tblInventory[[#This Row],[Stock_Quantity]]*tblInventory[[#This Row],[Unit_Price]]</f>
        <v>200</v>
      </c>
      <c r="W522" s="1" t="str">
        <f>IF(tblInventory[[#This Row],[Status]]="Discontinued","INACTIVE",
IF(tblInventory[[#This Row],[Stock_Quantity]] &lt; tblInventory[[#This Row],[Reorder_Level]],"REORDER","OK"))</f>
        <v>OK</v>
      </c>
      <c r="X522" s="1" t="str">
        <f t="shared" ca="1" si="17"/>
        <v>Valid</v>
      </c>
    </row>
    <row r="523" spans="1:24">
      <c r="A523" s="1">
        <v>522</v>
      </c>
      <c r="B523" s="1" t="s">
        <v>2928</v>
      </c>
      <c r="C523" s="1" t="s">
        <v>646</v>
      </c>
      <c r="D523" s="1" t="s">
        <v>49</v>
      </c>
      <c r="E523" s="1" t="s">
        <v>2929</v>
      </c>
      <c r="F523" s="1" t="s">
        <v>1583</v>
      </c>
      <c r="G523" s="6">
        <v>22</v>
      </c>
      <c r="H523" s="8">
        <f>tblInventory[[#This Row],[Stock_Quantity]] * tblInventory[[#This Row],[Unit_Price]]</f>
        <v>44</v>
      </c>
      <c r="I523" s="1">
        <v>22</v>
      </c>
      <c r="J523" s="1">
        <v>65</v>
      </c>
      <c r="K523" s="8">
        <f>tblInventory[[#This Row],[Reorder_Quantity]]*M523</f>
        <v>130</v>
      </c>
      <c r="L523" s="10">
        <f>tblInventory[[#This Row],[Stock_Quantity]] / tblInventory[[#This Row],[Reorder_Quantity]]</f>
        <v>0.33846153846153848</v>
      </c>
      <c r="M523" s="3">
        <v>2</v>
      </c>
      <c r="N523" s="10">
        <f t="shared" si="16"/>
        <v>0.37351443123938882</v>
      </c>
      <c r="O523" s="1" t="s">
        <v>450</v>
      </c>
      <c r="P523" s="1" t="s">
        <v>304</v>
      </c>
      <c r="Q523" s="2">
        <v>46091</v>
      </c>
      <c r="R523" s="1" t="s">
        <v>2930</v>
      </c>
      <c r="S523" s="1">
        <v>62</v>
      </c>
      <c r="T523" s="1">
        <v>78</v>
      </c>
      <c r="U523" s="1" t="s">
        <v>38</v>
      </c>
      <c r="V523" s="3">
        <f>tblInventory[[#This Row],[Stock_Quantity]]*tblInventory[[#This Row],[Unit_Price]]</f>
        <v>44</v>
      </c>
      <c r="W523" s="1" t="str">
        <f>IF(tblInventory[[#This Row],[Status]]="Discontinued","INACTIVE",
IF(tblInventory[[#This Row],[Stock_Quantity]] &lt; tblInventory[[#This Row],[Reorder_Level]],"REORDER","OK"))</f>
        <v>OK</v>
      </c>
      <c r="X523" s="1" t="str">
        <f t="shared" ca="1" si="17"/>
        <v>Valid</v>
      </c>
    </row>
    <row r="524" spans="1:24">
      <c r="A524" s="1">
        <v>523</v>
      </c>
      <c r="B524" s="1" t="s">
        <v>3207</v>
      </c>
      <c r="C524" s="1" t="s">
        <v>646</v>
      </c>
      <c r="D524" s="1" t="s">
        <v>49</v>
      </c>
      <c r="E524" s="1" t="s">
        <v>3208</v>
      </c>
      <c r="F524" s="1" t="s">
        <v>978</v>
      </c>
      <c r="G524" s="6">
        <v>88</v>
      </c>
      <c r="H524" s="8">
        <f>tblInventory[[#This Row],[Stock_Quantity]] * tblInventory[[#This Row],[Unit_Price]]</f>
        <v>176</v>
      </c>
      <c r="I524" s="1">
        <v>56</v>
      </c>
      <c r="J524" s="1">
        <v>72</v>
      </c>
      <c r="K524" s="8">
        <f>tblInventory[[#This Row],[Reorder_Quantity]]*M524</f>
        <v>144</v>
      </c>
      <c r="L524" s="10">
        <f>tblInventory[[#This Row],[Stock_Quantity]] / tblInventory[[#This Row],[Reorder_Quantity]]</f>
        <v>1.2222222222222223</v>
      </c>
      <c r="M524" s="3">
        <v>2</v>
      </c>
      <c r="N524" s="10">
        <f t="shared" si="16"/>
        <v>1.4940577249575553</v>
      </c>
      <c r="O524" s="2">
        <v>45992</v>
      </c>
      <c r="P524" s="2">
        <v>45630</v>
      </c>
      <c r="Q524" s="2">
        <v>46388</v>
      </c>
      <c r="R524" s="1" t="s">
        <v>3209</v>
      </c>
      <c r="S524" s="1">
        <v>25</v>
      </c>
      <c r="T524" s="1">
        <v>36</v>
      </c>
      <c r="U524" s="1" t="s">
        <v>46</v>
      </c>
      <c r="V524" s="3">
        <f>tblInventory[[#This Row],[Stock_Quantity]]*tblInventory[[#This Row],[Unit_Price]]</f>
        <v>176</v>
      </c>
      <c r="W524" s="1" t="str">
        <f>IF(tblInventory[[#This Row],[Status]]="Discontinued","INACTIVE",
IF(tblInventory[[#This Row],[Stock_Quantity]] &lt; tblInventory[[#This Row],[Reorder_Level]],"REORDER","OK"))</f>
        <v>OK</v>
      </c>
      <c r="X524" s="1" t="str">
        <f t="shared" ca="1" si="17"/>
        <v>Valid</v>
      </c>
    </row>
    <row r="525" spans="1:24">
      <c r="A525" s="1">
        <v>524</v>
      </c>
      <c r="B525" s="1" t="s">
        <v>1053</v>
      </c>
      <c r="C525" s="1" t="s">
        <v>1054</v>
      </c>
      <c r="D525" s="1" t="s">
        <v>49</v>
      </c>
      <c r="E525" s="1" t="s">
        <v>1055</v>
      </c>
      <c r="F525" s="1" t="s">
        <v>35</v>
      </c>
      <c r="G525" s="6">
        <v>21</v>
      </c>
      <c r="H525" s="8">
        <f>tblInventory[[#This Row],[Stock_Quantity]] * tblInventory[[#This Row],[Unit_Price]]</f>
        <v>42</v>
      </c>
      <c r="I525" s="1">
        <v>30</v>
      </c>
      <c r="J525" s="1">
        <v>32</v>
      </c>
      <c r="K525" s="8">
        <f>tblInventory[[#This Row],[Reorder_Quantity]]*M525</f>
        <v>64</v>
      </c>
      <c r="L525" s="10">
        <f>tblInventory[[#This Row],[Stock_Quantity]] / tblInventory[[#This Row],[Reorder_Quantity]]</f>
        <v>0.65625</v>
      </c>
      <c r="M525" s="3">
        <v>2</v>
      </c>
      <c r="N525" s="10">
        <f t="shared" si="16"/>
        <v>0.35653650254668934</v>
      </c>
      <c r="O525" s="1" t="s">
        <v>1056</v>
      </c>
      <c r="P525" s="2">
        <v>45840</v>
      </c>
      <c r="Q525" s="2">
        <v>45842</v>
      </c>
      <c r="R525" s="1" t="s">
        <v>1057</v>
      </c>
      <c r="S525" s="1">
        <v>43</v>
      </c>
      <c r="T525" s="1">
        <v>54</v>
      </c>
      <c r="U525" s="1" t="s">
        <v>38</v>
      </c>
      <c r="V525" s="3">
        <f>tblInventory[[#This Row],[Stock_Quantity]]*tblInventory[[#This Row],[Unit_Price]]</f>
        <v>42</v>
      </c>
      <c r="W525" s="1" t="str">
        <f>IF(tblInventory[[#This Row],[Status]]="Discontinued","INACTIVE",
IF(tblInventory[[#This Row],[Stock_Quantity]] &lt; tblInventory[[#This Row],[Reorder_Level]],"REORDER","OK"))</f>
        <v>REORDER</v>
      </c>
      <c r="X525" s="1" t="str">
        <f t="shared" ca="1" si="17"/>
        <v>Expired</v>
      </c>
    </row>
    <row r="526" spans="1:24">
      <c r="A526" s="1">
        <v>525</v>
      </c>
      <c r="B526" s="1" t="s">
        <v>1131</v>
      </c>
      <c r="C526" s="1" t="s">
        <v>1054</v>
      </c>
      <c r="D526" s="1" t="s">
        <v>49</v>
      </c>
      <c r="E526" s="1" t="s">
        <v>1132</v>
      </c>
      <c r="F526" s="1" t="s">
        <v>1133</v>
      </c>
      <c r="G526" s="6">
        <v>29</v>
      </c>
      <c r="H526" s="8">
        <f>tblInventory[[#This Row],[Stock_Quantity]] * tblInventory[[#This Row],[Unit_Price]]</f>
        <v>58</v>
      </c>
      <c r="I526" s="1">
        <v>83</v>
      </c>
      <c r="J526" s="1">
        <v>91</v>
      </c>
      <c r="K526" s="8">
        <f>tblInventory[[#This Row],[Reorder_Quantity]]*M526</f>
        <v>182</v>
      </c>
      <c r="L526" s="10">
        <f>tblInventory[[#This Row],[Stock_Quantity]] / tblInventory[[#This Row],[Reorder_Quantity]]</f>
        <v>0.31868131868131866</v>
      </c>
      <c r="M526" s="3">
        <v>2</v>
      </c>
      <c r="N526" s="10">
        <f t="shared" si="16"/>
        <v>0.49235993208828527</v>
      </c>
      <c r="O526" s="1" t="s">
        <v>1134</v>
      </c>
      <c r="P526" s="2">
        <v>45840</v>
      </c>
      <c r="Q526" s="2">
        <v>45772</v>
      </c>
      <c r="R526" s="1" t="s">
        <v>1135</v>
      </c>
      <c r="S526" s="1">
        <v>81</v>
      </c>
      <c r="T526" s="1">
        <v>53</v>
      </c>
      <c r="U526" s="1" t="s">
        <v>38</v>
      </c>
      <c r="V526" s="3">
        <f>tblInventory[[#This Row],[Stock_Quantity]]*tblInventory[[#This Row],[Unit_Price]]</f>
        <v>58</v>
      </c>
      <c r="W526" s="1" t="str">
        <f>IF(tblInventory[[#This Row],[Status]]="Discontinued","INACTIVE",
IF(tblInventory[[#This Row],[Stock_Quantity]] &lt; tblInventory[[#This Row],[Reorder_Level]],"REORDER","OK"))</f>
        <v>REORDER</v>
      </c>
      <c r="X526" s="1" t="str">
        <f t="shared" ca="1" si="17"/>
        <v>Expired</v>
      </c>
    </row>
    <row r="527" spans="1:24">
      <c r="A527" s="1">
        <v>526</v>
      </c>
      <c r="B527" s="1" t="s">
        <v>2786</v>
      </c>
      <c r="C527" s="1" t="s">
        <v>1054</v>
      </c>
      <c r="D527" s="1" t="s">
        <v>49</v>
      </c>
      <c r="E527" s="1" t="s">
        <v>2787</v>
      </c>
      <c r="F527" s="1" t="s">
        <v>2788</v>
      </c>
      <c r="G527" s="6">
        <v>18</v>
      </c>
      <c r="H527" s="8">
        <f>tblInventory[[#This Row],[Stock_Quantity]] * tblInventory[[#This Row],[Unit_Price]]</f>
        <v>36</v>
      </c>
      <c r="I527" s="1">
        <v>8</v>
      </c>
      <c r="J527" s="1">
        <v>68</v>
      </c>
      <c r="K527" s="8">
        <f>tblInventory[[#This Row],[Reorder_Quantity]]*M527</f>
        <v>136</v>
      </c>
      <c r="L527" s="10">
        <f>tblInventory[[#This Row],[Stock_Quantity]] / tblInventory[[#This Row],[Reorder_Quantity]]</f>
        <v>0.26470588235294118</v>
      </c>
      <c r="M527" s="3">
        <v>2</v>
      </c>
      <c r="N527" s="10">
        <f t="shared" si="16"/>
        <v>0.30560271646859083</v>
      </c>
      <c r="O527" s="2">
        <v>45328</v>
      </c>
      <c r="P527" s="2">
        <v>45361</v>
      </c>
      <c r="Q527" s="2">
        <v>46256</v>
      </c>
      <c r="R527" s="1" t="s">
        <v>2789</v>
      </c>
      <c r="S527" s="1">
        <v>54</v>
      </c>
      <c r="T527" s="1">
        <v>45</v>
      </c>
      <c r="U527" s="1" t="s">
        <v>38</v>
      </c>
      <c r="V527" s="3">
        <f>tblInventory[[#This Row],[Stock_Quantity]]*tblInventory[[#This Row],[Unit_Price]]</f>
        <v>36</v>
      </c>
      <c r="W527" s="1" t="str">
        <f>IF(tblInventory[[#This Row],[Status]]="Discontinued","INACTIVE",
IF(tblInventory[[#This Row],[Stock_Quantity]] &lt; tblInventory[[#This Row],[Reorder_Level]],"REORDER","OK"))</f>
        <v>OK</v>
      </c>
      <c r="X527" s="1" t="str">
        <f t="shared" ca="1" si="17"/>
        <v>Valid</v>
      </c>
    </row>
    <row r="528" spans="1:24">
      <c r="A528" s="1">
        <v>527</v>
      </c>
      <c r="B528" s="1" t="s">
        <v>3029</v>
      </c>
      <c r="C528" s="1" t="s">
        <v>1054</v>
      </c>
      <c r="D528" s="1" t="s">
        <v>49</v>
      </c>
      <c r="E528" s="1" t="s">
        <v>3030</v>
      </c>
      <c r="F528" s="1" t="s">
        <v>422</v>
      </c>
      <c r="G528" s="6">
        <v>75</v>
      </c>
      <c r="H528" s="8">
        <f>tblInventory[[#This Row],[Stock_Quantity]] * tblInventory[[#This Row],[Unit_Price]]</f>
        <v>150</v>
      </c>
      <c r="I528" s="1">
        <v>18</v>
      </c>
      <c r="J528" s="1">
        <v>65</v>
      </c>
      <c r="K528" s="8">
        <f>tblInventory[[#This Row],[Reorder_Quantity]]*M528</f>
        <v>130</v>
      </c>
      <c r="L528" s="10">
        <f>tblInventory[[#This Row],[Stock_Quantity]] / tblInventory[[#This Row],[Reorder_Quantity]]</f>
        <v>1.1538461538461537</v>
      </c>
      <c r="M528" s="3">
        <v>2</v>
      </c>
      <c r="N528" s="10">
        <f t="shared" si="16"/>
        <v>1.2733446519524618</v>
      </c>
      <c r="O528" s="1" t="s">
        <v>566</v>
      </c>
      <c r="P528" s="1" t="s">
        <v>2202</v>
      </c>
      <c r="Q528" s="2">
        <v>46153</v>
      </c>
      <c r="R528" s="1" t="s">
        <v>3031</v>
      </c>
      <c r="S528" s="1">
        <v>32</v>
      </c>
      <c r="T528" s="1">
        <v>92</v>
      </c>
      <c r="U528" s="1" t="s">
        <v>46</v>
      </c>
      <c r="V528" s="3">
        <f>tblInventory[[#This Row],[Stock_Quantity]]*tblInventory[[#This Row],[Unit_Price]]</f>
        <v>150</v>
      </c>
      <c r="W528" s="1" t="str">
        <f>IF(tblInventory[[#This Row],[Status]]="Discontinued","INACTIVE",
IF(tblInventory[[#This Row],[Stock_Quantity]] &lt; tblInventory[[#This Row],[Reorder_Level]],"REORDER","OK"))</f>
        <v>OK</v>
      </c>
      <c r="X528" s="1" t="str">
        <f t="shared" ca="1" si="17"/>
        <v>Valid</v>
      </c>
    </row>
    <row r="529" spans="1:24">
      <c r="A529" s="1">
        <v>528</v>
      </c>
      <c r="B529" s="1" t="s">
        <v>3054</v>
      </c>
      <c r="C529" s="1" t="s">
        <v>1054</v>
      </c>
      <c r="D529" s="1" t="s">
        <v>49</v>
      </c>
      <c r="E529" s="1" t="s">
        <v>3055</v>
      </c>
      <c r="F529" s="1" t="s">
        <v>1404</v>
      </c>
      <c r="G529" s="6">
        <v>75</v>
      </c>
      <c r="H529" s="8">
        <f>tblInventory[[#This Row],[Stock_Quantity]] * tblInventory[[#This Row],[Unit_Price]]</f>
        <v>142.5</v>
      </c>
      <c r="I529" s="1">
        <v>56</v>
      </c>
      <c r="J529" s="1">
        <v>57</v>
      </c>
      <c r="K529" s="8">
        <f>tblInventory[[#This Row],[Reorder_Quantity]]*M529</f>
        <v>108.3</v>
      </c>
      <c r="L529" s="10">
        <f>tblInventory[[#This Row],[Stock_Quantity]] / tblInventory[[#This Row],[Reorder_Quantity]]</f>
        <v>1.3157894736842106</v>
      </c>
      <c r="M529" s="3">
        <v>1.9</v>
      </c>
      <c r="N529" s="10">
        <f t="shared" si="16"/>
        <v>1.2733446519524618</v>
      </c>
      <c r="O529" s="1" t="s">
        <v>496</v>
      </c>
      <c r="P529" s="1" t="s">
        <v>428</v>
      </c>
      <c r="Q529" s="2">
        <v>46339</v>
      </c>
      <c r="R529" s="1" t="s">
        <v>3056</v>
      </c>
      <c r="S529" s="1">
        <v>63</v>
      </c>
      <c r="T529" s="1">
        <v>64</v>
      </c>
      <c r="U529" s="1" t="s">
        <v>24</v>
      </c>
      <c r="V529" s="3">
        <f>tblInventory[[#This Row],[Stock_Quantity]]*tblInventory[[#This Row],[Unit_Price]]</f>
        <v>142.5</v>
      </c>
      <c r="W529" s="1" t="str">
        <f>IF(tblInventory[[#This Row],[Status]]="Discontinued","INACTIVE",
IF(tblInventory[[#This Row],[Stock_Quantity]] &lt; tblInventory[[#This Row],[Reorder_Level]],"REORDER","OK"))</f>
        <v>INACTIVE</v>
      </c>
      <c r="X529" s="1" t="str">
        <f t="shared" ca="1" si="17"/>
        <v>Valid</v>
      </c>
    </row>
    <row r="530" spans="1:24">
      <c r="A530" s="1">
        <v>529</v>
      </c>
      <c r="B530" s="1" t="s">
        <v>3129</v>
      </c>
      <c r="C530" s="1" t="s">
        <v>1054</v>
      </c>
      <c r="D530" s="1" t="s">
        <v>49</v>
      </c>
      <c r="E530" s="1" t="s">
        <v>3130</v>
      </c>
      <c r="F530" s="1" t="s">
        <v>1272</v>
      </c>
      <c r="G530" s="6">
        <v>76</v>
      </c>
      <c r="H530" s="8">
        <f>tblInventory[[#This Row],[Stock_Quantity]] * tblInventory[[#This Row],[Unit_Price]]</f>
        <v>152</v>
      </c>
      <c r="I530" s="1">
        <v>39</v>
      </c>
      <c r="J530" s="1">
        <v>15</v>
      </c>
      <c r="K530" s="8">
        <f>tblInventory[[#This Row],[Reorder_Quantity]]*M530</f>
        <v>30</v>
      </c>
      <c r="L530" s="10">
        <f>tblInventory[[#This Row],[Stock_Quantity]] / tblInventory[[#This Row],[Reorder_Quantity]]</f>
        <v>5.0666666666666664</v>
      </c>
      <c r="M530" s="3">
        <v>2</v>
      </c>
      <c r="N530" s="10">
        <f t="shared" si="16"/>
        <v>1.2903225806451613</v>
      </c>
      <c r="O530" s="2">
        <v>45455</v>
      </c>
      <c r="P530" s="1" t="s">
        <v>240</v>
      </c>
      <c r="Q530" s="2">
        <v>46215</v>
      </c>
      <c r="R530" s="1" t="s">
        <v>3131</v>
      </c>
      <c r="S530" s="1">
        <v>77</v>
      </c>
      <c r="T530" s="1">
        <v>70</v>
      </c>
      <c r="U530" s="1" t="s">
        <v>38</v>
      </c>
      <c r="V530" s="3">
        <f>tblInventory[[#This Row],[Stock_Quantity]]*tblInventory[[#This Row],[Unit_Price]]</f>
        <v>152</v>
      </c>
      <c r="W530" s="1" t="str">
        <f>IF(tblInventory[[#This Row],[Status]]="Discontinued","INACTIVE",
IF(tblInventory[[#This Row],[Stock_Quantity]] &lt; tblInventory[[#This Row],[Reorder_Level]],"REORDER","OK"))</f>
        <v>OK</v>
      </c>
      <c r="X530" s="1" t="str">
        <f t="shared" ca="1" si="17"/>
        <v>Valid</v>
      </c>
    </row>
    <row r="531" spans="1:24">
      <c r="A531" s="1">
        <v>530</v>
      </c>
      <c r="B531" s="1" t="s">
        <v>3647</v>
      </c>
      <c r="C531" s="1" t="s">
        <v>1054</v>
      </c>
      <c r="D531" s="1" t="s">
        <v>49</v>
      </c>
      <c r="E531" s="1" t="s">
        <v>3648</v>
      </c>
      <c r="F531" s="1" t="s">
        <v>1650</v>
      </c>
      <c r="G531" s="6">
        <v>14</v>
      </c>
      <c r="H531" s="8">
        <f>tblInventory[[#This Row],[Stock_Quantity]] * tblInventory[[#This Row],[Unit_Price]]</f>
        <v>26.599999999999998</v>
      </c>
      <c r="I531" s="1">
        <v>75</v>
      </c>
      <c r="J531" s="1">
        <v>19</v>
      </c>
      <c r="K531" s="8">
        <f>tblInventory[[#This Row],[Reorder_Quantity]]*M531</f>
        <v>36.1</v>
      </c>
      <c r="L531" s="10">
        <f>tblInventory[[#This Row],[Stock_Quantity]] / tblInventory[[#This Row],[Reorder_Quantity]]</f>
        <v>0.73684210526315785</v>
      </c>
      <c r="M531" s="3">
        <v>1.9</v>
      </c>
      <c r="N531" s="10">
        <f t="shared" si="16"/>
        <v>0.23769100169779286</v>
      </c>
      <c r="O531" s="1" t="s">
        <v>855</v>
      </c>
      <c r="P531" s="2">
        <v>45601</v>
      </c>
      <c r="Q531" s="2">
        <v>46531</v>
      </c>
      <c r="R531" s="1" t="s">
        <v>3649</v>
      </c>
      <c r="S531" s="1">
        <v>100</v>
      </c>
      <c r="T531" s="1">
        <v>84</v>
      </c>
      <c r="U531" s="1" t="s">
        <v>38</v>
      </c>
      <c r="V531" s="3">
        <f>tblInventory[[#This Row],[Stock_Quantity]]*tblInventory[[#This Row],[Unit_Price]]</f>
        <v>26.599999999999998</v>
      </c>
      <c r="W531" s="1" t="str">
        <f>IF(tblInventory[[#This Row],[Status]]="Discontinued","INACTIVE",
IF(tblInventory[[#This Row],[Stock_Quantity]] &lt; tblInventory[[#This Row],[Reorder_Level]],"REORDER","OK"))</f>
        <v>REORDER</v>
      </c>
      <c r="X531" s="1" t="str">
        <f t="shared" ca="1" si="17"/>
        <v>Valid</v>
      </c>
    </row>
    <row r="532" spans="1:24">
      <c r="A532" s="1">
        <v>531</v>
      </c>
      <c r="B532" s="1" t="s">
        <v>39</v>
      </c>
      <c r="C532" s="1" t="s">
        <v>40</v>
      </c>
      <c r="D532" s="1" t="s">
        <v>17</v>
      </c>
      <c r="E532" s="1" t="s">
        <v>41</v>
      </c>
      <c r="F532" s="1" t="s">
        <v>42</v>
      </c>
      <c r="G532" s="6">
        <v>12</v>
      </c>
      <c r="H532" s="8">
        <f>tblInventory[[#This Row],[Stock_Quantity]] * tblInventory[[#This Row],[Unit_Price]]</f>
        <v>18</v>
      </c>
      <c r="I532" s="1">
        <v>59</v>
      </c>
      <c r="J532" s="1">
        <v>62</v>
      </c>
      <c r="K532" s="8">
        <f>tblInventory[[#This Row],[Reorder_Quantity]]*M532</f>
        <v>93</v>
      </c>
      <c r="L532" s="10">
        <f>tblInventory[[#This Row],[Stock_Quantity]] / tblInventory[[#This Row],[Reorder_Quantity]]</f>
        <v>0.19354838709677419</v>
      </c>
      <c r="M532" s="3">
        <v>1.5</v>
      </c>
      <c r="N532" s="10">
        <f t="shared" si="16"/>
        <v>0.2037351443123939</v>
      </c>
      <c r="O532" s="2">
        <v>45516</v>
      </c>
      <c r="P532" s="1" t="s">
        <v>43</v>
      </c>
      <c r="Q532" s="2">
        <v>45557</v>
      </c>
      <c r="R532" s="1" t="s">
        <v>45</v>
      </c>
      <c r="S532" s="1">
        <v>95</v>
      </c>
      <c r="T532" s="1">
        <v>99</v>
      </c>
      <c r="U532" s="1" t="s">
        <v>46</v>
      </c>
      <c r="V532" s="3">
        <f>tblInventory[[#This Row],[Stock_Quantity]]*tblInventory[[#This Row],[Unit_Price]]</f>
        <v>18</v>
      </c>
      <c r="W532" s="1" t="str">
        <f>IF(tblInventory[[#This Row],[Status]]="Discontinued","INACTIVE",
IF(tblInventory[[#This Row],[Stock_Quantity]] &lt; tblInventory[[#This Row],[Reorder_Level]],"REORDER","OK"))</f>
        <v>REORDER</v>
      </c>
      <c r="X532" s="1" t="str">
        <f t="shared" ca="1" si="17"/>
        <v>Expired</v>
      </c>
    </row>
    <row r="533" spans="1:24">
      <c r="A533" s="1">
        <v>532</v>
      </c>
      <c r="B533" s="1" t="s">
        <v>85</v>
      </c>
      <c r="C533" s="1" t="s">
        <v>40</v>
      </c>
      <c r="D533" s="1" t="s">
        <v>17</v>
      </c>
      <c r="E533" s="1" t="s">
        <v>86</v>
      </c>
      <c r="F533" s="1" t="s">
        <v>87</v>
      </c>
      <c r="G533" s="6">
        <v>62</v>
      </c>
      <c r="H533" s="8">
        <f>tblInventory[[#This Row],[Stock_Quantity]] * tblInventory[[#This Row],[Unit_Price]]</f>
        <v>99.2</v>
      </c>
      <c r="I533" s="1">
        <v>81</v>
      </c>
      <c r="J533" s="1">
        <v>91</v>
      </c>
      <c r="K533" s="8">
        <f>tblInventory[[#This Row],[Reorder_Quantity]]*M533</f>
        <v>145.6</v>
      </c>
      <c r="L533" s="10">
        <f>tblInventory[[#This Row],[Stock_Quantity]] / tblInventory[[#This Row],[Reorder_Quantity]]</f>
        <v>0.68131868131868134</v>
      </c>
      <c r="M533" s="3">
        <v>1.6</v>
      </c>
      <c r="N533" s="10">
        <f t="shared" si="16"/>
        <v>1.0526315789473684</v>
      </c>
      <c r="O533" s="1" t="s">
        <v>88</v>
      </c>
      <c r="P533" s="1" t="s">
        <v>89</v>
      </c>
      <c r="Q533" s="2">
        <v>45564</v>
      </c>
      <c r="R533" s="1" t="s">
        <v>90</v>
      </c>
      <c r="S533" s="1">
        <v>100</v>
      </c>
      <c r="T533" s="1">
        <v>42</v>
      </c>
      <c r="U533" s="1" t="s">
        <v>24</v>
      </c>
      <c r="V533" s="3">
        <f>tblInventory[[#This Row],[Stock_Quantity]]*tblInventory[[#This Row],[Unit_Price]]</f>
        <v>99.2</v>
      </c>
      <c r="W533" s="1" t="str">
        <f>IF(tblInventory[[#This Row],[Status]]="Discontinued","INACTIVE",
IF(tblInventory[[#This Row],[Stock_Quantity]] &lt; tblInventory[[#This Row],[Reorder_Level]],"REORDER","OK"))</f>
        <v>INACTIVE</v>
      </c>
      <c r="X533" s="1" t="str">
        <f t="shared" ca="1" si="17"/>
        <v>Expired</v>
      </c>
    </row>
    <row r="534" spans="1:24">
      <c r="A534" s="1">
        <v>533</v>
      </c>
      <c r="B534" s="1" t="s">
        <v>314</v>
      </c>
      <c r="C534" s="1" t="s">
        <v>40</v>
      </c>
      <c r="D534" s="1" t="s">
        <v>17</v>
      </c>
      <c r="E534" s="1" t="s">
        <v>315</v>
      </c>
      <c r="F534" s="1" t="s">
        <v>316</v>
      </c>
      <c r="G534" s="6">
        <v>67</v>
      </c>
      <c r="H534" s="8">
        <f>tblInventory[[#This Row],[Stock_Quantity]] * tblInventory[[#This Row],[Unit_Price]]</f>
        <v>100.5</v>
      </c>
      <c r="I534" s="1">
        <v>88</v>
      </c>
      <c r="J534" s="1">
        <v>32</v>
      </c>
      <c r="K534" s="8">
        <f>tblInventory[[#This Row],[Reorder_Quantity]]*M534</f>
        <v>48</v>
      </c>
      <c r="L534" s="10">
        <f>tblInventory[[#This Row],[Stock_Quantity]] / tblInventory[[#This Row],[Reorder_Quantity]]</f>
        <v>2.09375</v>
      </c>
      <c r="M534" s="3">
        <v>1.5</v>
      </c>
      <c r="N534" s="10">
        <f t="shared" si="16"/>
        <v>1.137521222410866</v>
      </c>
      <c r="O534" s="2">
        <v>45447</v>
      </c>
      <c r="P534" s="2">
        <v>45296</v>
      </c>
      <c r="Q534" s="2">
        <v>45362</v>
      </c>
      <c r="R534" s="1" t="s">
        <v>318</v>
      </c>
      <c r="S534" s="1">
        <v>66</v>
      </c>
      <c r="T534" s="1">
        <v>42</v>
      </c>
      <c r="U534" s="1" t="s">
        <v>24</v>
      </c>
      <c r="V534" s="3">
        <f>tblInventory[[#This Row],[Stock_Quantity]]*tblInventory[[#This Row],[Unit_Price]]</f>
        <v>100.5</v>
      </c>
      <c r="W534" s="1" t="str">
        <f>IF(tblInventory[[#This Row],[Status]]="Discontinued","INACTIVE",
IF(tblInventory[[#This Row],[Stock_Quantity]] &lt; tblInventory[[#This Row],[Reorder_Level]],"REORDER","OK"))</f>
        <v>INACTIVE</v>
      </c>
      <c r="X534" s="1" t="str">
        <f t="shared" ca="1" si="17"/>
        <v>Expired</v>
      </c>
    </row>
    <row r="535" spans="1:24">
      <c r="A535" s="1">
        <v>534</v>
      </c>
      <c r="B535" s="1" t="s">
        <v>806</v>
      </c>
      <c r="C535" s="1" t="s">
        <v>40</v>
      </c>
      <c r="D535" s="1" t="s">
        <v>17</v>
      </c>
      <c r="E535" s="1" t="s">
        <v>807</v>
      </c>
      <c r="F535" s="1" t="s">
        <v>808</v>
      </c>
      <c r="G535" s="6">
        <v>26</v>
      </c>
      <c r="H535" s="8">
        <f>tblInventory[[#This Row],[Stock_Quantity]] * tblInventory[[#This Row],[Unit_Price]]</f>
        <v>39</v>
      </c>
      <c r="I535" s="1">
        <v>82</v>
      </c>
      <c r="J535" s="1">
        <v>19</v>
      </c>
      <c r="K535" s="8">
        <f>tblInventory[[#This Row],[Reorder_Quantity]]*M535</f>
        <v>28.5</v>
      </c>
      <c r="L535" s="10">
        <f>tblInventory[[#This Row],[Stock_Quantity]] / tblInventory[[#This Row],[Reorder_Quantity]]</f>
        <v>1.368421052631579</v>
      </c>
      <c r="M535" s="3">
        <v>1.5</v>
      </c>
      <c r="N535" s="10">
        <f t="shared" si="16"/>
        <v>0.44142614601018676</v>
      </c>
      <c r="O535" s="1" t="s">
        <v>409</v>
      </c>
      <c r="P535" s="2">
        <v>45572</v>
      </c>
      <c r="Q535" s="2">
        <v>45840</v>
      </c>
      <c r="R535" s="1" t="s">
        <v>809</v>
      </c>
      <c r="S535" s="1">
        <v>76</v>
      </c>
      <c r="T535" s="1">
        <v>88</v>
      </c>
      <c r="U535" s="1" t="s">
        <v>46</v>
      </c>
      <c r="V535" s="3">
        <f>tblInventory[[#This Row],[Stock_Quantity]]*tblInventory[[#This Row],[Unit_Price]]</f>
        <v>39</v>
      </c>
      <c r="W535" s="1" t="str">
        <f>IF(tblInventory[[#This Row],[Status]]="Discontinued","INACTIVE",
IF(tblInventory[[#This Row],[Stock_Quantity]] &lt; tblInventory[[#This Row],[Reorder_Level]],"REORDER","OK"))</f>
        <v>REORDER</v>
      </c>
      <c r="X535" s="1" t="str">
        <f t="shared" ca="1" si="17"/>
        <v>Expired</v>
      </c>
    </row>
    <row r="536" spans="1:24">
      <c r="A536" s="1">
        <v>535</v>
      </c>
      <c r="B536" s="1" t="s">
        <v>1566</v>
      </c>
      <c r="C536" s="1" t="s">
        <v>40</v>
      </c>
      <c r="D536" s="1" t="s">
        <v>17</v>
      </c>
      <c r="E536" s="1" t="s">
        <v>1567</v>
      </c>
      <c r="F536" s="1" t="s">
        <v>1196</v>
      </c>
      <c r="G536" s="6">
        <v>69</v>
      </c>
      <c r="H536" s="8">
        <f>tblInventory[[#This Row],[Stock_Quantity]] * tblInventory[[#This Row],[Unit_Price]]</f>
        <v>103.5</v>
      </c>
      <c r="I536" s="1">
        <v>82</v>
      </c>
      <c r="J536" s="1">
        <v>58</v>
      </c>
      <c r="K536" s="8">
        <f>tblInventory[[#This Row],[Reorder_Quantity]]*M536</f>
        <v>87</v>
      </c>
      <c r="L536" s="10">
        <f>tblInventory[[#This Row],[Stock_Quantity]] / tblInventory[[#This Row],[Reorder_Quantity]]</f>
        <v>1.1896551724137931</v>
      </c>
      <c r="M536" s="3">
        <v>1.5</v>
      </c>
      <c r="N536" s="10">
        <f t="shared" si="16"/>
        <v>1.1714770797962648</v>
      </c>
      <c r="O536" s="2">
        <v>45480</v>
      </c>
      <c r="P536" s="1" t="s">
        <v>610</v>
      </c>
      <c r="Q536" s="2">
        <v>45885</v>
      </c>
      <c r="R536" s="1" t="s">
        <v>1568</v>
      </c>
      <c r="S536" s="1">
        <v>34</v>
      </c>
      <c r="T536" s="1">
        <v>22</v>
      </c>
      <c r="U536" s="1" t="s">
        <v>24</v>
      </c>
      <c r="V536" s="3">
        <f>tblInventory[[#This Row],[Stock_Quantity]]*tblInventory[[#This Row],[Unit_Price]]</f>
        <v>103.5</v>
      </c>
      <c r="W536" s="1" t="str">
        <f>IF(tblInventory[[#This Row],[Status]]="Discontinued","INACTIVE",
IF(tblInventory[[#This Row],[Stock_Quantity]] &lt; tblInventory[[#This Row],[Reorder_Level]],"REORDER","OK"))</f>
        <v>INACTIVE</v>
      </c>
      <c r="X536" s="1" t="str">
        <f t="shared" ca="1" si="17"/>
        <v>Expired</v>
      </c>
    </row>
    <row r="537" spans="1:24">
      <c r="A537" s="1">
        <v>536</v>
      </c>
      <c r="B537" s="1" t="s">
        <v>1569</v>
      </c>
      <c r="C537" s="1" t="s">
        <v>40</v>
      </c>
      <c r="D537" s="1" t="s">
        <v>17</v>
      </c>
      <c r="E537" s="1" t="s">
        <v>1570</v>
      </c>
      <c r="F537" s="1" t="s">
        <v>1289</v>
      </c>
      <c r="G537" s="6">
        <v>71</v>
      </c>
      <c r="H537" s="8">
        <f>tblInventory[[#This Row],[Stock_Quantity]] * tblInventory[[#This Row],[Unit_Price]]</f>
        <v>106.5</v>
      </c>
      <c r="I537" s="1">
        <v>10</v>
      </c>
      <c r="J537" s="1">
        <v>49</v>
      </c>
      <c r="K537" s="8">
        <f>tblInventory[[#This Row],[Reorder_Quantity]]*M537</f>
        <v>73.5</v>
      </c>
      <c r="L537" s="10">
        <f>tblInventory[[#This Row],[Stock_Quantity]] / tblInventory[[#This Row],[Reorder_Quantity]]</f>
        <v>1.4489795918367347</v>
      </c>
      <c r="M537" s="3">
        <v>1.5</v>
      </c>
      <c r="N537" s="10">
        <f t="shared" si="16"/>
        <v>1.2054329371816639</v>
      </c>
      <c r="O537" s="2">
        <v>45604</v>
      </c>
      <c r="P537" s="1" t="s">
        <v>466</v>
      </c>
      <c r="Q537" s="2">
        <v>45886</v>
      </c>
      <c r="R537" s="1" t="s">
        <v>1571</v>
      </c>
      <c r="S537" s="1">
        <v>66</v>
      </c>
      <c r="T537" s="1">
        <v>43</v>
      </c>
      <c r="U537" s="1" t="s">
        <v>46</v>
      </c>
      <c r="V537" s="3">
        <f>tblInventory[[#This Row],[Stock_Quantity]]*tblInventory[[#This Row],[Unit_Price]]</f>
        <v>106.5</v>
      </c>
      <c r="W537" s="1" t="str">
        <f>IF(tblInventory[[#This Row],[Status]]="Discontinued","INACTIVE",
IF(tblInventory[[#This Row],[Stock_Quantity]] &lt; tblInventory[[#This Row],[Reorder_Level]],"REORDER","OK"))</f>
        <v>OK</v>
      </c>
      <c r="X537" s="1" t="str">
        <f t="shared" ca="1" si="17"/>
        <v>Expired</v>
      </c>
    </row>
    <row r="538" spans="1:24">
      <c r="A538" s="1">
        <v>537</v>
      </c>
      <c r="B538" s="1" t="s">
        <v>1683</v>
      </c>
      <c r="C538" s="1" t="s">
        <v>40</v>
      </c>
      <c r="D538" s="1" t="s">
        <v>17</v>
      </c>
      <c r="E538" s="1" t="s">
        <v>1684</v>
      </c>
      <c r="F538" s="1" t="s">
        <v>931</v>
      </c>
      <c r="G538" s="6">
        <v>98</v>
      </c>
      <c r="H538" s="8">
        <f>tblInventory[[#This Row],[Stock_Quantity]] * tblInventory[[#This Row],[Unit_Price]]</f>
        <v>147</v>
      </c>
      <c r="I538" s="1">
        <v>40</v>
      </c>
      <c r="J538" s="1">
        <v>93</v>
      </c>
      <c r="K538" s="8">
        <f>tblInventory[[#This Row],[Reorder_Quantity]]*M538</f>
        <v>139.5</v>
      </c>
      <c r="L538" s="10">
        <f>tblInventory[[#This Row],[Stock_Quantity]] / tblInventory[[#This Row],[Reorder_Quantity]]</f>
        <v>1.053763440860215</v>
      </c>
      <c r="M538" s="3">
        <v>1.5</v>
      </c>
      <c r="N538" s="10">
        <f t="shared" si="16"/>
        <v>1.66383701188455</v>
      </c>
      <c r="O538" s="1" t="s">
        <v>43</v>
      </c>
      <c r="P538" s="2">
        <v>45963</v>
      </c>
      <c r="Q538" s="2">
        <v>45918</v>
      </c>
      <c r="R538" s="1" t="s">
        <v>1685</v>
      </c>
      <c r="S538" s="1">
        <v>30</v>
      </c>
      <c r="T538" s="1">
        <v>53</v>
      </c>
      <c r="U538" s="1" t="s">
        <v>46</v>
      </c>
      <c r="V538" s="3">
        <f>tblInventory[[#This Row],[Stock_Quantity]]*tblInventory[[#This Row],[Unit_Price]]</f>
        <v>147</v>
      </c>
      <c r="W538" s="1" t="str">
        <f>IF(tblInventory[[#This Row],[Status]]="Discontinued","INACTIVE",
IF(tblInventory[[#This Row],[Stock_Quantity]] &lt; tblInventory[[#This Row],[Reorder_Level]],"REORDER","OK"))</f>
        <v>OK</v>
      </c>
      <c r="X538" s="1" t="str">
        <f t="shared" ca="1" si="17"/>
        <v>Expired</v>
      </c>
    </row>
    <row r="539" spans="1:24">
      <c r="A539" s="1">
        <v>538</v>
      </c>
      <c r="B539" s="1" t="s">
        <v>1877</v>
      </c>
      <c r="C539" s="1" t="s">
        <v>40</v>
      </c>
      <c r="D539" s="1" t="s">
        <v>17</v>
      </c>
      <c r="E539" s="1" t="s">
        <v>1878</v>
      </c>
      <c r="F539" s="1" t="s">
        <v>341</v>
      </c>
      <c r="G539" s="6">
        <v>11</v>
      </c>
      <c r="H539" s="8">
        <f>tblInventory[[#This Row],[Stock_Quantity]] * tblInventory[[#This Row],[Unit_Price]]</f>
        <v>16.5</v>
      </c>
      <c r="I539" s="1">
        <v>10</v>
      </c>
      <c r="J539" s="1">
        <v>80</v>
      </c>
      <c r="K539" s="8">
        <f>tblInventory[[#This Row],[Reorder_Quantity]]*M539</f>
        <v>120</v>
      </c>
      <c r="L539" s="10">
        <f>tblInventory[[#This Row],[Stock_Quantity]] / tblInventory[[#This Row],[Reorder_Quantity]]</f>
        <v>0.13750000000000001</v>
      </c>
      <c r="M539" s="3">
        <v>1.5</v>
      </c>
      <c r="N539" s="10">
        <f t="shared" si="16"/>
        <v>0.18675721561969441</v>
      </c>
      <c r="O539" s="2">
        <v>45418</v>
      </c>
      <c r="P539" s="1" t="s">
        <v>1293</v>
      </c>
      <c r="Q539" s="2">
        <v>45976</v>
      </c>
      <c r="R539" s="1" t="s">
        <v>1879</v>
      </c>
      <c r="S539" s="1">
        <v>48</v>
      </c>
      <c r="T539" s="1">
        <v>65</v>
      </c>
      <c r="U539" s="1" t="s">
        <v>24</v>
      </c>
      <c r="V539" s="3">
        <f>tblInventory[[#This Row],[Stock_Quantity]]*tblInventory[[#This Row],[Unit_Price]]</f>
        <v>16.5</v>
      </c>
      <c r="W539" s="1" t="str">
        <f>IF(tblInventory[[#This Row],[Status]]="Discontinued","INACTIVE",
IF(tblInventory[[#This Row],[Stock_Quantity]] &lt; tblInventory[[#This Row],[Reorder_Level]],"REORDER","OK"))</f>
        <v>INACTIVE</v>
      </c>
      <c r="X539" s="1" t="str">
        <f t="shared" ca="1" si="17"/>
        <v>Expired</v>
      </c>
    </row>
    <row r="540" spans="1:24">
      <c r="A540" s="1">
        <v>539</v>
      </c>
      <c r="B540" s="1" t="s">
        <v>3537</v>
      </c>
      <c r="C540" s="1" t="s">
        <v>40</v>
      </c>
      <c r="D540" s="1" t="s">
        <v>17</v>
      </c>
      <c r="E540" s="1" t="s">
        <v>3538</v>
      </c>
      <c r="F540" s="1" t="s">
        <v>1655</v>
      </c>
      <c r="G540" s="6">
        <v>39</v>
      </c>
      <c r="H540" s="8">
        <f>tblInventory[[#This Row],[Stock_Quantity]] * tblInventory[[#This Row],[Unit_Price]]</f>
        <v>56.55</v>
      </c>
      <c r="I540" s="1">
        <v>2</v>
      </c>
      <c r="J540" s="1">
        <v>71</v>
      </c>
      <c r="K540" s="8">
        <f>tblInventory[[#This Row],[Reorder_Quantity]]*M540</f>
        <v>102.95</v>
      </c>
      <c r="L540" s="10">
        <f>tblInventory[[#This Row],[Stock_Quantity]] / tblInventory[[#This Row],[Reorder_Quantity]]</f>
        <v>0.54929577464788737</v>
      </c>
      <c r="M540" s="3">
        <v>1.45</v>
      </c>
      <c r="N540" s="10">
        <f t="shared" si="16"/>
        <v>0.66213921901528017</v>
      </c>
      <c r="O540" s="1" t="s">
        <v>610</v>
      </c>
      <c r="P540" s="1" t="s">
        <v>64</v>
      </c>
      <c r="Q540" s="2">
        <v>46495</v>
      </c>
      <c r="R540" s="1" t="s">
        <v>3539</v>
      </c>
      <c r="S540" s="1">
        <v>20</v>
      </c>
      <c r="T540" s="1">
        <v>70</v>
      </c>
      <c r="U540" s="1" t="s">
        <v>38</v>
      </c>
      <c r="V540" s="3">
        <f>tblInventory[[#This Row],[Stock_Quantity]]*tblInventory[[#This Row],[Unit_Price]]</f>
        <v>56.55</v>
      </c>
      <c r="W540" s="1" t="str">
        <f>IF(tblInventory[[#This Row],[Status]]="Discontinued","INACTIVE",
IF(tblInventory[[#This Row],[Stock_Quantity]] &lt; tblInventory[[#This Row],[Reorder_Level]],"REORDER","OK"))</f>
        <v>OK</v>
      </c>
      <c r="X540" s="1" t="str">
        <f t="shared" ca="1" si="17"/>
        <v>Valid</v>
      </c>
    </row>
    <row r="541" spans="1:24">
      <c r="A541" s="1">
        <v>540</v>
      </c>
      <c r="B541" s="1" t="s">
        <v>1234</v>
      </c>
      <c r="C541" s="1" t="s">
        <v>1235</v>
      </c>
      <c r="D541" s="1" t="s">
        <v>155</v>
      </c>
      <c r="E541" s="1" t="s">
        <v>1236</v>
      </c>
      <c r="F541" s="1" t="s">
        <v>1237</v>
      </c>
      <c r="G541" s="6">
        <v>71</v>
      </c>
      <c r="H541" s="8">
        <f>tblInventory[[#This Row],[Stock_Quantity]] * tblInventory[[#This Row],[Unit_Price]]</f>
        <v>532.5</v>
      </c>
      <c r="I541" s="1">
        <v>7</v>
      </c>
      <c r="J541" s="1">
        <v>6</v>
      </c>
      <c r="K541" s="8">
        <f>tblInventory[[#This Row],[Reorder_Quantity]]*M541</f>
        <v>45</v>
      </c>
      <c r="L541" s="10">
        <f>tblInventory[[#This Row],[Stock_Quantity]] / tblInventory[[#This Row],[Reorder_Quantity]]</f>
        <v>11.833333333333334</v>
      </c>
      <c r="M541" s="3">
        <v>7.5</v>
      </c>
      <c r="N541" s="10">
        <f t="shared" si="16"/>
        <v>1.2054329371816639</v>
      </c>
      <c r="O541" s="1" t="s">
        <v>761</v>
      </c>
      <c r="P541" s="2">
        <v>45334</v>
      </c>
      <c r="Q541" s="2">
        <v>45798</v>
      </c>
      <c r="R541" s="1" t="s">
        <v>1238</v>
      </c>
      <c r="S541" s="1">
        <v>52</v>
      </c>
      <c r="T541" s="1">
        <v>68</v>
      </c>
      <c r="U541" s="1" t="s">
        <v>38</v>
      </c>
      <c r="V541" s="3">
        <f>tblInventory[[#This Row],[Stock_Quantity]]*tblInventory[[#This Row],[Unit_Price]]</f>
        <v>532.5</v>
      </c>
      <c r="W541" s="1" t="str">
        <f>IF(tblInventory[[#This Row],[Status]]="Discontinued","INACTIVE",
IF(tblInventory[[#This Row],[Stock_Quantity]] &lt; tblInventory[[#This Row],[Reorder_Level]],"REORDER","OK"))</f>
        <v>OK</v>
      </c>
      <c r="X541" s="1" t="str">
        <f t="shared" ca="1" si="17"/>
        <v>Expired</v>
      </c>
    </row>
    <row r="542" spans="1:24">
      <c r="A542" s="1">
        <v>541</v>
      </c>
      <c r="B542" s="1" t="s">
        <v>1759</v>
      </c>
      <c r="C542" s="1" t="s">
        <v>1235</v>
      </c>
      <c r="D542" s="1" t="s">
        <v>155</v>
      </c>
      <c r="E542" s="1" t="s">
        <v>1760</v>
      </c>
      <c r="F542" s="1" t="s">
        <v>1196</v>
      </c>
      <c r="G542" s="6">
        <v>82</v>
      </c>
      <c r="H542" s="8">
        <f>tblInventory[[#This Row],[Stock_Quantity]] * tblInventory[[#This Row],[Unit_Price]]</f>
        <v>615</v>
      </c>
      <c r="I542" s="1">
        <v>25</v>
      </c>
      <c r="J542" s="1">
        <v>94</v>
      </c>
      <c r="K542" s="8">
        <f>tblInventory[[#This Row],[Reorder_Quantity]]*M542</f>
        <v>705</v>
      </c>
      <c r="L542" s="10">
        <f>tblInventory[[#This Row],[Stock_Quantity]] / tblInventory[[#This Row],[Reorder_Quantity]]</f>
        <v>0.87234042553191493</v>
      </c>
      <c r="M542" s="3">
        <v>7.5</v>
      </c>
      <c r="N542" s="10">
        <f t="shared" si="16"/>
        <v>1.3921901528013583</v>
      </c>
      <c r="O542" s="1" t="s">
        <v>632</v>
      </c>
      <c r="P542" s="1" t="s">
        <v>466</v>
      </c>
      <c r="Q542" s="2">
        <v>45971</v>
      </c>
      <c r="R542" s="1" t="s">
        <v>1761</v>
      </c>
      <c r="S542" s="1">
        <v>66</v>
      </c>
      <c r="T542" s="1">
        <v>14</v>
      </c>
      <c r="U542" s="1" t="s">
        <v>38</v>
      </c>
      <c r="V542" s="3">
        <f>tblInventory[[#This Row],[Stock_Quantity]]*tblInventory[[#This Row],[Unit_Price]]</f>
        <v>615</v>
      </c>
      <c r="W542" s="1" t="str">
        <f>IF(tblInventory[[#This Row],[Status]]="Discontinued","INACTIVE",
IF(tblInventory[[#This Row],[Stock_Quantity]] &lt; tblInventory[[#This Row],[Reorder_Level]],"REORDER","OK"))</f>
        <v>OK</v>
      </c>
      <c r="X542" s="1" t="str">
        <f t="shared" ca="1" si="17"/>
        <v>Expired</v>
      </c>
    </row>
    <row r="543" spans="1:24">
      <c r="A543" s="1">
        <v>542</v>
      </c>
      <c r="B543" s="1" t="s">
        <v>1907</v>
      </c>
      <c r="C543" s="1" t="s">
        <v>1235</v>
      </c>
      <c r="D543" s="1" t="s">
        <v>155</v>
      </c>
      <c r="E543" s="1" t="s">
        <v>1908</v>
      </c>
      <c r="F543" s="1" t="s">
        <v>1909</v>
      </c>
      <c r="G543" s="6">
        <v>30</v>
      </c>
      <c r="H543" s="8">
        <f>tblInventory[[#This Row],[Stock_Quantity]] * tblInventory[[#This Row],[Unit_Price]]</f>
        <v>225</v>
      </c>
      <c r="I543" s="1">
        <v>29</v>
      </c>
      <c r="J543" s="1">
        <v>70</v>
      </c>
      <c r="K543" s="8">
        <f>tblInventory[[#This Row],[Reorder_Quantity]]*M543</f>
        <v>525</v>
      </c>
      <c r="L543" s="10">
        <f>tblInventory[[#This Row],[Stock_Quantity]] / tblInventory[[#This Row],[Reorder_Quantity]]</f>
        <v>0.42857142857142855</v>
      </c>
      <c r="M543" s="3">
        <v>7.5</v>
      </c>
      <c r="N543" s="10">
        <f t="shared" si="16"/>
        <v>0.50933786078098475</v>
      </c>
      <c r="O543" s="1" t="s">
        <v>151</v>
      </c>
      <c r="P543" s="1" t="s">
        <v>226</v>
      </c>
      <c r="Q543" s="2">
        <v>45985</v>
      </c>
      <c r="R543" s="1" t="s">
        <v>1910</v>
      </c>
      <c r="S543" s="1">
        <v>80</v>
      </c>
      <c r="T543" s="1">
        <v>43</v>
      </c>
      <c r="U543" s="1" t="s">
        <v>38</v>
      </c>
      <c r="V543" s="3">
        <f>tblInventory[[#This Row],[Stock_Quantity]]*tblInventory[[#This Row],[Unit_Price]]</f>
        <v>225</v>
      </c>
      <c r="W543" s="1" t="str">
        <f>IF(tblInventory[[#This Row],[Status]]="Discontinued","INACTIVE",
IF(tblInventory[[#This Row],[Stock_Quantity]] &lt; tblInventory[[#This Row],[Reorder_Level]],"REORDER","OK"))</f>
        <v>OK</v>
      </c>
      <c r="X543" s="1" t="str">
        <f t="shared" ca="1" si="17"/>
        <v>Expired</v>
      </c>
    </row>
    <row r="544" spans="1:24">
      <c r="A544" s="1">
        <v>543</v>
      </c>
      <c r="B544" s="1" t="s">
        <v>2014</v>
      </c>
      <c r="C544" s="1" t="s">
        <v>1235</v>
      </c>
      <c r="D544" s="1" t="s">
        <v>155</v>
      </c>
      <c r="E544" s="1" t="s">
        <v>2015</v>
      </c>
      <c r="F544" s="1" t="s">
        <v>2016</v>
      </c>
      <c r="G544" s="6">
        <v>89</v>
      </c>
      <c r="H544" s="8">
        <f>tblInventory[[#This Row],[Stock_Quantity]] * tblInventory[[#This Row],[Unit_Price]]</f>
        <v>667.5</v>
      </c>
      <c r="I544" s="1">
        <v>26</v>
      </c>
      <c r="J544" s="1">
        <v>36</v>
      </c>
      <c r="K544" s="8">
        <f>tblInventory[[#This Row],[Reorder_Quantity]]*M544</f>
        <v>270</v>
      </c>
      <c r="L544" s="10">
        <f>tblInventory[[#This Row],[Stock_Quantity]] / tblInventory[[#This Row],[Reorder_Quantity]]</f>
        <v>2.4722222222222223</v>
      </c>
      <c r="M544" s="3">
        <v>7.5</v>
      </c>
      <c r="N544" s="10">
        <f t="shared" si="16"/>
        <v>1.5110356536502547</v>
      </c>
      <c r="O544" s="1" t="s">
        <v>394</v>
      </c>
      <c r="P544" s="1" t="s">
        <v>1327</v>
      </c>
      <c r="Q544" s="2">
        <v>46018</v>
      </c>
      <c r="R544" s="1" t="s">
        <v>2017</v>
      </c>
      <c r="S544" s="1">
        <v>48</v>
      </c>
      <c r="T544" s="1">
        <v>94</v>
      </c>
      <c r="U544" s="1" t="s">
        <v>46</v>
      </c>
      <c r="V544" s="3">
        <f>tblInventory[[#This Row],[Stock_Quantity]]*tblInventory[[#This Row],[Unit_Price]]</f>
        <v>667.5</v>
      </c>
      <c r="W544" s="1" t="str">
        <f>IF(tblInventory[[#This Row],[Status]]="Discontinued","INACTIVE",
IF(tblInventory[[#This Row],[Stock_Quantity]] &lt; tblInventory[[#This Row],[Reorder_Level]],"REORDER","OK"))</f>
        <v>OK</v>
      </c>
      <c r="X544" s="1" t="str">
        <f t="shared" ca="1" si="17"/>
        <v>Valid</v>
      </c>
    </row>
    <row r="545" spans="1:24">
      <c r="A545" s="1">
        <v>544</v>
      </c>
      <c r="B545" s="1" t="s">
        <v>2342</v>
      </c>
      <c r="C545" s="1" t="s">
        <v>1235</v>
      </c>
      <c r="D545" s="1" t="s">
        <v>155</v>
      </c>
      <c r="E545" s="1" t="s">
        <v>2343</v>
      </c>
      <c r="F545" s="1" t="s">
        <v>2344</v>
      </c>
      <c r="G545" s="6">
        <v>76</v>
      </c>
      <c r="H545" s="8">
        <f>tblInventory[[#This Row],[Stock_Quantity]] * tblInventory[[#This Row],[Unit_Price]]</f>
        <v>570</v>
      </c>
      <c r="I545" s="1">
        <v>21</v>
      </c>
      <c r="J545" s="1">
        <v>3</v>
      </c>
      <c r="K545" s="8">
        <f>tblInventory[[#This Row],[Reorder_Quantity]]*M545</f>
        <v>22.5</v>
      </c>
      <c r="L545" s="10">
        <f>tblInventory[[#This Row],[Stock_Quantity]] / tblInventory[[#This Row],[Reorder_Quantity]]</f>
        <v>25.333333333333332</v>
      </c>
      <c r="M545" s="3">
        <v>7.5</v>
      </c>
      <c r="N545" s="10">
        <f t="shared" si="16"/>
        <v>1.2903225806451613</v>
      </c>
      <c r="O545" s="1" t="s">
        <v>277</v>
      </c>
      <c r="P545" s="2">
        <v>45573</v>
      </c>
      <c r="Q545" s="2">
        <v>46238</v>
      </c>
      <c r="R545" s="1" t="s">
        <v>2345</v>
      </c>
      <c r="S545" s="1">
        <v>31</v>
      </c>
      <c r="T545" s="1">
        <v>47</v>
      </c>
      <c r="U545" s="1" t="s">
        <v>24</v>
      </c>
      <c r="V545" s="3">
        <f>tblInventory[[#This Row],[Stock_Quantity]]*tblInventory[[#This Row],[Unit_Price]]</f>
        <v>570</v>
      </c>
      <c r="W545" s="1" t="str">
        <f>IF(tblInventory[[#This Row],[Status]]="Discontinued","INACTIVE",
IF(tblInventory[[#This Row],[Stock_Quantity]] &lt; tblInventory[[#This Row],[Reorder_Level]],"REORDER","OK"))</f>
        <v>INACTIVE</v>
      </c>
      <c r="X545" s="1" t="str">
        <f t="shared" ca="1" si="17"/>
        <v>Valid</v>
      </c>
    </row>
    <row r="546" spans="1:24">
      <c r="A546" s="1">
        <v>545</v>
      </c>
      <c r="B546" s="1" t="s">
        <v>2980</v>
      </c>
      <c r="C546" s="1" t="s">
        <v>1235</v>
      </c>
      <c r="D546" s="1" t="s">
        <v>155</v>
      </c>
      <c r="E546" s="1" t="s">
        <v>2981</v>
      </c>
      <c r="F546" s="1" t="s">
        <v>2557</v>
      </c>
      <c r="G546" s="6">
        <v>45</v>
      </c>
      <c r="H546" s="8">
        <f>tblInventory[[#This Row],[Stock_Quantity]] * tblInventory[[#This Row],[Unit_Price]]</f>
        <v>337.5</v>
      </c>
      <c r="I546" s="1">
        <v>56</v>
      </c>
      <c r="J546" s="1">
        <v>64</v>
      </c>
      <c r="K546" s="8">
        <f>tblInventory[[#This Row],[Reorder_Quantity]]*M546</f>
        <v>480</v>
      </c>
      <c r="L546" s="10">
        <f>tblInventory[[#This Row],[Stock_Quantity]] / tblInventory[[#This Row],[Reorder_Quantity]]</f>
        <v>0.703125</v>
      </c>
      <c r="M546" s="3">
        <v>7.5</v>
      </c>
      <c r="N546" s="10">
        <f t="shared" si="16"/>
        <v>0.76400679117147707</v>
      </c>
      <c r="O546" s="1" t="s">
        <v>693</v>
      </c>
      <c r="P546" s="1" t="s">
        <v>850</v>
      </c>
      <c r="Q546" s="2">
        <v>46315</v>
      </c>
      <c r="R546" s="1" t="s">
        <v>2982</v>
      </c>
      <c r="S546" s="1">
        <v>35</v>
      </c>
      <c r="T546" s="1">
        <v>82</v>
      </c>
      <c r="U546" s="1" t="s">
        <v>24</v>
      </c>
      <c r="V546" s="3">
        <f>tblInventory[[#This Row],[Stock_Quantity]]*tblInventory[[#This Row],[Unit_Price]]</f>
        <v>337.5</v>
      </c>
      <c r="W546" s="1" t="str">
        <f>IF(tblInventory[[#This Row],[Status]]="Discontinued","INACTIVE",
IF(tblInventory[[#This Row],[Stock_Quantity]] &lt; tblInventory[[#This Row],[Reorder_Level]],"REORDER","OK"))</f>
        <v>INACTIVE</v>
      </c>
      <c r="X546" s="1" t="str">
        <f t="shared" ca="1" si="17"/>
        <v>Valid</v>
      </c>
    </row>
    <row r="547" spans="1:24">
      <c r="A547" s="1">
        <v>546</v>
      </c>
      <c r="B547" s="1" t="s">
        <v>3265</v>
      </c>
      <c r="C547" s="1" t="s">
        <v>1235</v>
      </c>
      <c r="D547" s="1" t="s">
        <v>155</v>
      </c>
      <c r="E547" s="1" t="s">
        <v>3266</v>
      </c>
      <c r="F547" s="1" t="s">
        <v>619</v>
      </c>
      <c r="G547" s="6">
        <v>91</v>
      </c>
      <c r="H547" s="8">
        <f>tblInventory[[#This Row],[Stock_Quantity]] * tblInventory[[#This Row],[Unit_Price]]</f>
        <v>682.5</v>
      </c>
      <c r="I547" s="1">
        <v>96</v>
      </c>
      <c r="J547" s="1">
        <v>90</v>
      </c>
      <c r="K547" s="8">
        <f>tblInventory[[#This Row],[Reorder_Quantity]]*M547</f>
        <v>675</v>
      </c>
      <c r="L547" s="10">
        <f>tblInventory[[#This Row],[Stock_Quantity]] / tblInventory[[#This Row],[Reorder_Quantity]]</f>
        <v>1.0111111111111111</v>
      </c>
      <c r="M547" s="3">
        <v>7.5</v>
      </c>
      <c r="N547" s="10">
        <f t="shared" si="16"/>
        <v>1.5449915110356538</v>
      </c>
      <c r="O547" s="1" t="s">
        <v>165</v>
      </c>
      <c r="P547" s="2">
        <v>45604</v>
      </c>
      <c r="Q547" s="2">
        <v>46407</v>
      </c>
      <c r="R547" s="1" t="s">
        <v>3267</v>
      </c>
      <c r="S547" s="1">
        <v>90</v>
      </c>
      <c r="T547" s="1">
        <v>75</v>
      </c>
      <c r="U547" s="1" t="s">
        <v>38</v>
      </c>
      <c r="V547" s="3">
        <f>tblInventory[[#This Row],[Stock_Quantity]]*tblInventory[[#This Row],[Unit_Price]]</f>
        <v>682.5</v>
      </c>
      <c r="W547" s="1" t="str">
        <f>IF(tblInventory[[#This Row],[Status]]="Discontinued","INACTIVE",
IF(tblInventory[[#This Row],[Stock_Quantity]] &lt; tblInventory[[#This Row],[Reorder_Level]],"REORDER","OK"))</f>
        <v>REORDER</v>
      </c>
      <c r="X547" s="1" t="str">
        <f t="shared" ca="1" si="17"/>
        <v>Valid</v>
      </c>
    </row>
    <row r="548" spans="1:24">
      <c r="A548" s="1">
        <v>547</v>
      </c>
      <c r="B548" s="1" t="s">
        <v>281</v>
      </c>
      <c r="C548" s="1" t="s">
        <v>282</v>
      </c>
      <c r="D548" s="1" t="s">
        <v>49</v>
      </c>
      <c r="E548" s="1" t="s">
        <v>283</v>
      </c>
      <c r="F548" s="1" t="s">
        <v>284</v>
      </c>
      <c r="G548" s="6">
        <v>24</v>
      </c>
      <c r="H548" s="8">
        <f>tblInventory[[#This Row],[Stock_Quantity]] * tblInventory[[#This Row],[Unit_Price]]</f>
        <v>120</v>
      </c>
      <c r="I548" s="1">
        <v>55</v>
      </c>
      <c r="J548" s="1">
        <v>51</v>
      </c>
      <c r="K548" s="8">
        <f>tblInventory[[#This Row],[Reorder_Quantity]]*M548</f>
        <v>255</v>
      </c>
      <c r="L548" s="10">
        <f>tblInventory[[#This Row],[Stock_Quantity]] / tblInventory[[#This Row],[Reorder_Quantity]]</f>
        <v>0.47058823529411764</v>
      </c>
      <c r="M548" s="3">
        <v>5</v>
      </c>
      <c r="N548" s="10">
        <f t="shared" si="16"/>
        <v>0.40747028862478779</v>
      </c>
      <c r="O548" s="1" t="s">
        <v>285</v>
      </c>
      <c r="P548" s="1" t="s">
        <v>198</v>
      </c>
      <c r="Q548" s="2">
        <v>45594</v>
      </c>
      <c r="R548" s="1" t="s">
        <v>287</v>
      </c>
      <c r="S548" s="1">
        <v>39</v>
      </c>
      <c r="T548" s="1">
        <v>15</v>
      </c>
      <c r="U548" s="1" t="s">
        <v>24</v>
      </c>
      <c r="V548" s="3">
        <f>tblInventory[[#This Row],[Stock_Quantity]]*tblInventory[[#This Row],[Unit_Price]]</f>
        <v>120</v>
      </c>
      <c r="W548" s="1" t="str">
        <f>IF(tblInventory[[#This Row],[Status]]="Discontinued","INACTIVE",
IF(tblInventory[[#This Row],[Stock_Quantity]] &lt; tblInventory[[#This Row],[Reorder_Level]],"REORDER","OK"))</f>
        <v>INACTIVE</v>
      </c>
      <c r="X548" s="1" t="str">
        <f t="shared" ca="1" si="17"/>
        <v>Expired</v>
      </c>
    </row>
    <row r="549" spans="1:24">
      <c r="A549" s="1">
        <v>548</v>
      </c>
      <c r="B549" s="1" t="s">
        <v>331</v>
      </c>
      <c r="C549" s="1" t="s">
        <v>282</v>
      </c>
      <c r="D549" s="1" t="s">
        <v>49</v>
      </c>
      <c r="E549" s="1" t="s">
        <v>332</v>
      </c>
      <c r="F549" s="1" t="s">
        <v>333</v>
      </c>
      <c r="G549" s="6">
        <v>92</v>
      </c>
      <c r="H549" s="8">
        <f>tblInventory[[#This Row],[Stock_Quantity]] * tblInventory[[#This Row],[Unit_Price]]</f>
        <v>460</v>
      </c>
      <c r="I549" s="1">
        <v>46</v>
      </c>
      <c r="J549" s="1">
        <v>13</v>
      </c>
      <c r="K549" s="8">
        <f>tblInventory[[#This Row],[Reorder_Quantity]]*M549</f>
        <v>65</v>
      </c>
      <c r="L549" s="10">
        <f>tblInventory[[#This Row],[Stock_Quantity]] / tblInventory[[#This Row],[Reorder_Quantity]]</f>
        <v>7.0769230769230766</v>
      </c>
      <c r="M549" s="3">
        <v>5</v>
      </c>
      <c r="N549" s="10">
        <f t="shared" si="16"/>
        <v>1.5619694397283532</v>
      </c>
      <c r="O549" s="1" t="s">
        <v>334</v>
      </c>
      <c r="P549" s="1" t="s">
        <v>335</v>
      </c>
      <c r="Q549" s="2">
        <v>45454</v>
      </c>
      <c r="R549" s="1" t="s">
        <v>337</v>
      </c>
      <c r="S549" s="1">
        <v>24</v>
      </c>
      <c r="T549" s="1">
        <v>75</v>
      </c>
      <c r="U549" s="1" t="s">
        <v>24</v>
      </c>
      <c r="V549" s="3">
        <f>tblInventory[[#This Row],[Stock_Quantity]]*tblInventory[[#This Row],[Unit_Price]]</f>
        <v>460</v>
      </c>
      <c r="W549" s="1" t="str">
        <f>IF(tblInventory[[#This Row],[Status]]="Discontinued","INACTIVE",
IF(tblInventory[[#This Row],[Stock_Quantity]] &lt; tblInventory[[#This Row],[Reorder_Level]],"REORDER","OK"))</f>
        <v>INACTIVE</v>
      </c>
      <c r="X549" s="1" t="str">
        <f t="shared" ca="1" si="17"/>
        <v>Expired</v>
      </c>
    </row>
    <row r="550" spans="1:24">
      <c r="A550" s="1">
        <v>549</v>
      </c>
      <c r="B550" s="1" t="s">
        <v>482</v>
      </c>
      <c r="C550" s="1" t="s">
        <v>282</v>
      </c>
      <c r="D550" s="1" t="s">
        <v>49</v>
      </c>
      <c r="E550" s="1" t="s">
        <v>483</v>
      </c>
      <c r="F550" s="1" t="s">
        <v>484</v>
      </c>
      <c r="G550" s="6">
        <v>60</v>
      </c>
      <c r="H550" s="8">
        <f>tblInventory[[#This Row],[Stock_Quantity]] * tblInventory[[#This Row],[Unit_Price]]</f>
        <v>270</v>
      </c>
      <c r="I550" s="1">
        <v>36</v>
      </c>
      <c r="J550" s="1">
        <v>28</v>
      </c>
      <c r="K550" s="8">
        <f>tblInventory[[#This Row],[Reorder_Quantity]]*M550</f>
        <v>126</v>
      </c>
      <c r="L550" s="10">
        <f>tblInventory[[#This Row],[Stock_Quantity]] / tblInventory[[#This Row],[Reorder_Quantity]]</f>
        <v>2.1428571428571428</v>
      </c>
      <c r="M550" s="3">
        <v>4.5</v>
      </c>
      <c r="N550" s="10">
        <f t="shared" si="16"/>
        <v>1.0186757215619695</v>
      </c>
      <c r="O550" s="1" t="s">
        <v>115</v>
      </c>
      <c r="P550" s="1" t="s">
        <v>485</v>
      </c>
      <c r="Q550" s="2">
        <v>45394</v>
      </c>
      <c r="R550" s="1" t="s">
        <v>486</v>
      </c>
      <c r="S550" s="1">
        <v>26</v>
      </c>
      <c r="T550" s="1">
        <v>29</v>
      </c>
      <c r="U550" s="1" t="s">
        <v>46</v>
      </c>
      <c r="V550" s="3">
        <f>tblInventory[[#This Row],[Stock_Quantity]]*tblInventory[[#This Row],[Unit_Price]]</f>
        <v>270</v>
      </c>
      <c r="W550" s="1" t="str">
        <f>IF(tblInventory[[#This Row],[Status]]="Discontinued","INACTIVE",
IF(tblInventory[[#This Row],[Stock_Quantity]] &lt; tblInventory[[#This Row],[Reorder_Level]],"REORDER","OK"))</f>
        <v>OK</v>
      </c>
      <c r="X550" s="1" t="str">
        <f t="shared" ca="1" si="17"/>
        <v>Expired</v>
      </c>
    </row>
    <row r="551" spans="1:24">
      <c r="A551" s="1">
        <v>550</v>
      </c>
      <c r="B551" s="1" t="s">
        <v>929</v>
      </c>
      <c r="C551" s="1" t="s">
        <v>282</v>
      </c>
      <c r="D551" s="1" t="s">
        <v>49</v>
      </c>
      <c r="E551" s="1" t="s">
        <v>930</v>
      </c>
      <c r="F551" s="1" t="s">
        <v>931</v>
      </c>
      <c r="G551" s="6">
        <v>89</v>
      </c>
      <c r="H551" s="8">
        <f>tblInventory[[#This Row],[Stock_Quantity]] * tblInventory[[#This Row],[Unit_Price]]</f>
        <v>427.2</v>
      </c>
      <c r="I551" s="1">
        <v>92</v>
      </c>
      <c r="J551" s="1">
        <v>62</v>
      </c>
      <c r="K551" s="8">
        <f>tblInventory[[#This Row],[Reorder_Quantity]]*M551</f>
        <v>297.59999999999997</v>
      </c>
      <c r="L551" s="10">
        <f>tblInventory[[#This Row],[Stock_Quantity]] / tblInventory[[#This Row],[Reorder_Quantity]]</f>
        <v>1.435483870967742</v>
      </c>
      <c r="M551" s="3">
        <v>4.8</v>
      </c>
      <c r="N551" s="10">
        <f t="shared" si="16"/>
        <v>1.5110356536502547</v>
      </c>
      <c r="O551" s="2">
        <v>45325</v>
      </c>
      <c r="P551" s="2">
        <v>45511</v>
      </c>
      <c r="Q551" s="2">
        <v>45841</v>
      </c>
      <c r="R551" s="1" t="s">
        <v>932</v>
      </c>
      <c r="S551" s="1">
        <v>46</v>
      </c>
      <c r="T551" s="1">
        <v>11</v>
      </c>
      <c r="U551" s="1" t="s">
        <v>38</v>
      </c>
      <c r="V551" s="3">
        <f>tblInventory[[#This Row],[Stock_Quantity]]*tblInventory[[#This Row],[Unit_Price]]</f>
        <v>427.2</v>
      </c>
      <c r="W551" s="1" t="str">
        <f>IF(tblInventory[[#This Row],[Status]]="Discontinued","INACTIVE",
IF(tblInventory[[#This Row],[Stock_Quantity]] &lt; tblInventory[[#This Row],[Reorder_Level]],"REORDER","OK"))</f>
        <v>REORDER</v>
      </c>
      <c r="X551" s="1" t="str">
        <f t="shared" ca="1" si="17"/>
        <v>Expired</v>
      </c>
    </row>
    <row r="552" spans="1:24">
      <c r="A552" s="1">
        <v>551</v>
      </c>
      <c r="B552" s="1" t="s">
        <v>1594</v>
      </c>
      <c r="C552" s="1" t="s">
        <v>282</v>
      </c>
      <c r="D552" s="1" t="s">
        <v>49</v>
      </c>
      <c r="E552" s="1" t="s">
        <v>1595</v>
      </c>
      <c r="F552" s="1" t="s">
        <v>1596</v>
      </c>
      <c r="G552" s="6">
        <v>58</v>
      </c>
      <c r="H552" s="8">
        <f>tblInventory[[#This Row],[Stock_Quantity]] * tblInventory[[#This Row],[Unit_Price]]</f>
        <v>272.60000000000002</v>
      </c>
      <c r="I552" s="1">
        <v>58</v>
      </c>
      <c r="J552" s="1">
        <v>28</v>
      </c>
      <c r="K552" s="8">
        <f>tblInventory[[#This Row],[Reorder_Quantity]]*M552</f>
        <v>131.6</v>
      </c>
      <c r="L552" s="10">
        <f>tblInventory[[#This Row],[Stock_Quantity]] / tblInventory[[#This Row],[Reorder_Quantity]]</f>
        <v>2.0714285714285716</v>
      </c>
      <c r="M552" s="3">
        <v>4.7</v>
      </c>
      <c r="N552" s="10">
        <f t="shared" si="16"/>
        <v>0.98471986417657054</v>
      </c>
      <c r="O552" s="1" t="s">
        <v>64</v>
      </c>
      <c r="P552" s="2">
        <v>45420</v>
      </c>
      <c r="Q552" s="2">
        <v>45894</v>
      </c>
      <c r="R552" s="1" t="s">
        <v>1598</v>
      </c>
      <c r="S552" s="1">
        <v>85</v>
      </c>
      <c r="T552" s="1">
        <v>63</v>
      </c>
      <c r="U552" s="1" t="s">
        <v>46</v>
      </c>
      <c r="V552" s="3">
        <f>tblInventory[[#This Row],[Stock_Quantity]]*tblInventory[[#This Row],[Unit_Price]]</f>
        <v>272.60000000000002</v>
      </c>
      <c r="W552" s="1" t="str">
        <f>IF(tblInventory[[#This Row],[Status]]="Discontinued","INACTIVE",
IF(tblInventory[[#This Row],[Stock_Quantity]] &lt; tblInventory[[#This Row],[Reorder_Level]],"REORDER","OK"))</f>
        <v>OK</v>
      </c>
      <c r="X552" s="1" t="str">
        <f t="shared" ca="1" si="17"/>
        <v>Expired</v>
      </c>
    </row>
    <row r="553" spans="1:24">
      <c r="A553" s="1">
        <v>552</v>
      </c>
      <c r="B553" s="1" t="s">
        <v>2402</v>
      </c>
      <c r="C553" s="1" t="s">
        <v>282</v>
      </c>
      <c r="D553" s="1" t="s">
        <v>49</v>
      </c>
      <c r="E553" s="1" t="s">
        <v>2403</v>
      </c>
      <c r="F553" s="1" t="s">
        <v>2153</v>
      </c>
      <c r="G553" s="6">
        <v>84</v>
      </c>
      <c r="H553" s="8">
        <f>tblInventory[[#This Row],[Stock_Quantity]] * tblInventory[[#This Row],[Unit_Price]]</f>
        <v>420</v>
      </c>
      <c r="I553" s="1">
        <v>9</v>
      </c>
      <c r="J553" s="1">
        <v>46</v>
      </c>
      <c r="K553" s="8">
        <f>tblInventory[[#This Row],[Reorder_Quantity]]*M553</f>
        <v>230</v>
      </c>
      <c r="L553" s="10">
        <f>tblInventory[[#This Row],[Stock_Quantity]] / tblInventory[[#This Row],[Reorder_Quantity]]</f>
        <v>1.826086956521739</v>
      </c>
      <c r="M553" s="3">
        <v>5</v>
      </c>
      <c r="N553" s="10">
        <f t="shared" si="16"/>
        <v>1.4261460101867574</v>
      </c>
      <c r="O553" s="2">
        <v>45510</v>
      </c>
      <c r="P553" s="1" t="s">
        <v>134</v>
      </c>
      <c r="Q553" s="2">
        <v>46138</v>
      </c>
      <c r="R553" s="1" t="s">
        <v>2404</v>
      </c>
      <c r="S553" s="1">
        <v>30</v>
      </c>
      <c r="T553" s="1">
        <v>68</v>
      </c>
      <c r="U553" s="1" t="s">
        <v>38</v>
      </c>
      <c r="V553" s="3">
        <f>tblInventory[[#This Row],[Stock_Quantity]]*tblInventory[[#This Row],[Unit_Price]]</f>
        <v>420</v>
      </c>
      <c r="W553" s="1" t="str">
        <f>IF(tblInventory[[#This Row],[Status]]="Discontinued","INACTIVE",
IF(tblInventory[[#This Row],[Stock_Quantity]] &lt; tblInventory[[#This Row],[Reorder_Level]],"REORDER","OK"))</f>
        <v>OK</v>
      </c>
      <c r="X553" s="1" t="str">
        <f t="shared" ca="1" si="17"/>
        <v>Valid</v>
      </c>
    </row>
    <row r="554" spans="1:24">
      <c r="A554" s="1">
        <v>553</v>
      </c>
      <c r="B554" s="1" t="s">
        <v>2428</v>
      </c>
      <c r="C554" s="1" t="s">
        <v>282</v>
      </c>
      <c r="D554" s="1" t="s">
        <v>49</v>
      </c>
      <c r="E554" s="1" t="s">
        <v>2429</v>
      </c>
      <c r="F554" s="1" t="s">
        <v>931</v>
      </c>
      <c r="G554" s="6">
        <v>99</v>
      </c>
      <c r="H554" s="8">
        <f>tblInventory[[#This Row],[Stock_Quantity]] * tblInventory[[#This Row],[Unit_Price]]</f>
        <v>495</v>
      </c>
      <c r="I554" s="1">
        <v>59</v>
      </c>
      <c r="J554" s="1">
        <v>12</v>
      </c>
      <c r="K554" s="8">
        <f>tblInventory[[#This Row],[Reorder_Quantity]]*M554</f>
        <v>60</v>
      </c>
      <c r="L554" s="10">
        <f>tblInventory[[#This Row],[Stock_Quantity]] / tblInventory[[#This Row],[Reorder_Quantity]]</f>
        <v>8.25</v>
      </c>
      <c r="M554" s="3">
        <v>5</v>
      </c>
      <c r="N554" s="10">
        <f t="shared" si="16"/>
        <v>1.6808149405772497</v>
      </c>
      <c r="O554" s="1" t="s">
        <v>197</v>
      </c>
      <c r="P554" s="1" t="s">
        <v>536</v>
      </c>
      <c r="Q554" s="2">
        <v>46117</v>
      </c>
      <c r="R554" s="1" t="s">
        <v>2430</v>
      </c>
      <c r="S554" s="1">
        <v>52</v>
      </c>
      <c r="T554" s="1">
        <v>57</v>
      </c>
      <c r="U554" s="1" t="s">
        <v>38</v>
      </c>
      <c r="V554" s="3">
        <f>tblInventory[[#This Row],[Stock_Quantity]]*tblInventory[[#This Row],[Unit_Price]]</f>
        <v>495</v>
      </c>
      <c r="W554" s="1" t="str">
        <f>IF(tblInventory[[#This Row],[Status]]="Discontinued","INACTIVE",
IF(tblInventory[[#This Row],[Stock_Quantity]] &lt; tblInventory[[#This Row],[Reorder_Level]],"REORDER","OK"))</f>
        <v>OK</v>
      </c>
      <c r="X554" s="1" t="str">
        <f t="shared" ca="1" si="17"/>
        <v>Valid</v>
      </c>
    </row>
    <row r="555" spans="1:24">
      <c r="A555" s="1">
        <v>554</v>
      </c>
      <c r="B555" s="1" t="s">
        <v>2699</v>
      </c>
      <c r="C555" s="1" t="s">
        <v>282</v>
      </c>
      <c r="D555" s="1" t="s">
        <v>49</v>
      </c>
      <c r="E555" s="1" t="s">
        <v>2700</v>
      </c>
      <c r="F555" s="1" t="s">
        <v>19</v>
      </c>
      <c r="G555" s="6">
        <v>61</v>
      </c>
      <c r="H555" s="8">
        <f>tblInventory[[#This Row],[Stock_Quantity]] * tblInventory[[#This Row],[Unit_Price]]</f>
        <v>317.2</v>
      </c>
      <c r="I555" s="1">
        <v>14</v>
      </c>
      <c r="J555" s="1">
        <v>49</v>
      </c>
      <c r="K555" s="8">
        <f>tblInventory[[#This Row],[Reorder_Quantity]]*M555</f>
        <v>254.8</v>
      </c>
      <c r="L555" s="10">
        <f>tblInventory[[#This Row],[Stock_Quantity]] / tblInventory[[#This Row],[Reorder_Quantity]]</f>
        <v>1.2448979591836735</v>
      </c>
      <c r="M555" s="3">
        <v>5.2</v>
      </c>
      <c r="N555" s="10">
        <f t="shared" si="16"/>
        <v>1.0356536502546689</v>
      </c>
      <c r="O555" s="2">
        <v>45571</v>
      </c>
      <c r="P555" s="2">
        <v>45638</v>
      </c>
      <c r="Q555" s="2">
        <v>46229</v>
      </c>
      <c r="R555" s="1" t="s">
        <v>2701</v>
      </c>
      <c r="S555" s="1">
        <v>74</v>
      </c>
      <c r="T555" s="1">
        <v>35</v>
      </c>
      <c r="U555" s="1" t="s">
        <v>24</v>
      </c>
      <c r="V555" s="3">
        <f>tblInventory[[#This Row],[Stock_Quantity]]*tblInventory[[#This Row],[Unit_Price]]</f>
        <v>317.2</v>
      </c>
      <c r="W555" s="1" t="str">
        <f>IF(tblInventory[[#This Row],[Status]]="Discontinued","INACTIVE",
IF(tblInventory[[#This Row],[Stock_Quantity]] &lt; tblInventory[[#This Row],[Reorder_Level]],"REORDER","OK"))</f>
        <v>INACTIVE</v>
      </c>
      <c r="X555" s="1" t="str">
        <f t="shared" ca="1" si="17"/>
        <v>Valid</v>
      </c>
    </row>
    <row r="556" spans="1:24">
      <c r="A556" s="1">
        <v>555</v>
      </c>
      <c r="B556" s="1" t="s">
        <v>3238</v>
      </c>
      <c r="C556" s="1" t="s">
        <v>282</v>
      </c>
      <c r="D556" s="1" t="s">
        <v>49</v>
      </c>
      <c r="E556" s="1" t="s">
        <v>3239</v>
      </c>
      <c r="F556" s="1" t="s">
        <v>484</v>
      </c>
      <c r="G556" s="6">
        <v>32</v>
      </c>
      <c r="H556" s="8">
        <f>tblInventory[[#This Row],[Stock_Quantity]] * tblInventory[[#This Row],[Unit_Price]]</f>
        <v>156.80000000000001</v>
      </c>
      <c r="I556" s="1">
        <v>63</v>
      </c>
      <c r="J556" s="1">
        <v>92</v>
      </c>
      <c r="K556" s="8">
        <f>tblInventory[[#This Row],[Reorder_Quantity]]*M556</f>
        <v>450.8</v>
      </c>
      <c r="L556" s="10">
        <f>tblInventory[[#This Row],[Stock_Quantity]] / tblInventory[[#This Row],[Reorder_Quantity]]</f>
        <v>0.34782608695652173</v>
      </c>
      <c r="M556" s="3">
        <v>4.9000000000000004</v>
      </c>
      <c r="N556" s="10">
        <f t="shared" si="16"/>
        <v>0.54329371816638372</v>
      </c>
      <c r="O556" s="1" t="s">
        <v>317</v>
      </c>
      <c r="P556" s="1" t="s">
        <v>872</v>
      </c>
      <c r="Q556" s="2">
        <v>46692</v>
      </c>
      <c r="R556" s="1" t="s">
        <v>3240</v>
      </c>
      <c r="S556" s="1">
        <v>84</v>
      </c>
      <c r="T556" s="1">
        <v>34</v>
      </c>
      <c r="U556" s="1" t="s">
        <v>24</v>
      </c>
      <c r="V556" s="3">
        <f>tblInventory[[#This Row],[Stock_Quantity]]*tblInventory[[#This Row],[Unit_Price]]</f>
        <v>156.80000000000001</v>
      </c>
      <c r="W556" s="1" t="str">
        <f>IF(tblInventory[[#This Row],[Status]]="Discontinued","INACTIVE",
IF(tblInventory[[#This Row],[Stock_Quantity]] &lt; tblInventory[[#This Row],[Reorder_Level]],"REORDER","OK"))</f>
        <v>INACTIVE</v>
      </c>
      <c r="X556" s="1" t="str">
        <f t="shared" ca="1" si="17"/>
        <v>Valid</v>
      </c>
    </row>
    <row r="557" spans="1:24">
      <c r="A557" s="1">
        <v>556</v>
      </c>
      <c r="B557" s="1" t="s">
        <v>3392</v>
      </c>
      <c r="C557" s="1" t="s">
        <v>282</v>
      </c>
      <c r="D557" s="1" t="s">
        <v>49</v>
      </c>
      <c r="E557" s="1" t="s">
        <v>3393</v>
      </c>
      <c r="F557" s="1" t="s">
        <v>1818</v>
      </c>
      <c r="G557" s="6">
        <v>53</v>
      </c>
      <c r="H557" s="8">
        <f>tblInventory[[#This Row],[Stock_Quantity]] * tblInventory[[#This Row],[Unit_Price]]</f>
        <v>265</v>
      </c>
      <c r="I557" s="1">
        <v>98</v>
      </c>
      <c r="J557" s="1">
        <v>23</v>
      </c>
      <c r="K557" s="8">
        <f>tblInventory[[#This Row],[Reorder_Quantity]]*M557</f>
        <v>115</v>
      </c>
      <c r="L557" s="10">
        <f>tblInventory[[#This Row],[Stock_Quantity]] / tblInventory[[#This Row],[Reorder_Quantity]]</f>
        <v>2.3043478260869565</v>
      </c>
      <c r="M557" s="3">
        <v>5</v>
      </c>
      <c r="N557" s="10">
        <f t="shared" si="16"/>
        <v>0.89983022071307306</v>
      </c>
      <c r="O557" s="1" t="s">
        <v>198</v>
      </c>
      <c r="P557" s="2">
        <v>45389</v>
      </c>
      <c r="Q557" s="2">
        <v>46421</v>
      </c>
      <c r="R557" s="1" t="s">
        <v>3394</v>
      </c>
      <c r="S557" s="1">
        <v>41</v>
      </c>
      <c r="T557" s="1">
        <v>84</v>
      </c>
      <c r="U557" s="1" t="s">
        <v>38</v>
      </c>
      <c r="V557" s="3">
        <f>tblInventory[[#This Row],[Stock_Quantity]]*tblInventory[[#This Row],[Unit_Price]]</f>
        <v>265</v>
      </c>
      <c r="W557" s="1" t="str">
        <f>IF(tblInventory[[#This Row],[Status]]="Discontinued","INACTIVE",
IF(tblInventory[[#This Row],[Stock_Quantity]] &lt; tblInventory[[#This Row],[Reorder_Level]],"REORDER","OK"))</f>
        <v>REORDER</v>
      </c>
      <c r="X557" s="1" t="str">
        <f t="shared" ca="1" si="17"/>
        <v>Valid</v>
      </c>
    </row>
    <row r="558" spans="1:24">
      <c r="A558" s="1">
        <v>557</v>
      </c>
      <c r="B558" s="1" t="s">
        <v>3488</v>
      </c>
      <c r="C558" s="1" t="s">
        <v>282</v>
      </c>
      <c r="D558" s="1" t="s">
        <v>49</v>
      </c>
      <c r="E558" s="1" t="s">
        <v>3489</v>
      </c>
      <c r="F558" s="1" t="s">
        <v>1106</v>
      </c>
      <c r="G558" s="6">
        <v>73</v>
      </c>
      <c r="H558" s="8">
        <f>tblInventory[[#This Row],[Stock_Quantity]] * tblInventory[[#This Row],[Unit_Price]]</f>
        <v>365</v>
      </c>
      <c r="I558" s="1">
        <v>69</v>
      </c>
      <c r="J558" s="1">
        <v>1</v>
      </c>
      <c r="K558" s="8">
        <f>tblInventory[[#This Row],[Reorder_Quantity]]*M558</f>
        <v>5</v>
      </c>
      <c r="L558" s="10">
        <f>tblInventory[[#This Row],[Stock_Quantity]] / tblInventory[[#This Row],[Reorder_Quantity]]</f>
        <v>73</v>
      </c>
      <c r="M558" s="3">
        <v>5</v>
      </c>
      <c r="N558" s="10">
        <f t="shared" si="16"/>
        <v>1.2393887945670627</v>
      </c>
      <c r="O558" s="2">
        <v>45423</v>
      </c>
      <c r="P558" s="1" t="s">
        <v>1651</v>
      </c>
      <c r="Q558" s="2">
        <v>46422</v>
      </c>
      <c r="R558" s="1" t="s">
        <v>3490</v>
      </c>
      <c r="S558" s="1">
        <v>50</v>
      </c>
      <c r="T558" s="1">
        <v>67</v>
      </c>
      <c r="U558" s="1" t="s">
        <v>46</v>
      </c>
      <c r="V558" s="3">
        <f>tblInventory[[#This Row],[Stock_Quantity]]*tblInventory[[#This Row],[Unit_Price]]</f>
        <v>365</v>
      </c>
      <c r="W558" s="1" t="str">
        <f>IF(tblInventory[[#This Row],[Status]]="Discontinued","INACTIVE",
IF(tblInventory[[#This Row],[Stock_Quantity]] &lt; tblInventory[[#This Row],[Reorder_Level]],"REORDER","OK"))</f>
        <v>OK</v>
      </c>
      <c r="X558" s="1" t="str">
        <f t="shared" ca="1" si="17"/>
        <v>Valid</v>
      </c>
    </row>
    <row r="559" spans="1:24">
      <c r="A559" s="1">
        <v>558</v>
      </c>
      <c r="B559" s="1" t="s">
        <v>1295</v>
      </c>
      <c r="C559" s="1" t="s">
        <v>1296</v>
      </c>
      <c r="D559" s="1" t="s">
        <v>69</v>
      </c>
      <c r="E559" s="1" t="s">
        <v>1297</v>
      </c>
      <c r="F559" s="1" t="s">
        <v>1298</v>
      </c>
      <c r="G559" s="6">
        <v>43</v>
      </c>
      <c r="H559" s="8">
        <f>tblInventory[[#This Row],[Stock_Quantity]] * tblInventory[[#This Row],[Unit_Price]]</f>
        <v>43</v>
      </c>
      <c r="I559" s="1">
        <v>88</v>
      </c>
      <c r="J559" s="1">
        <v>33</v>
      </c>
      <c r="K559" s="8">
        <f>tblInventory[[#This Row],[Reorder_Quantity]]*M559</f>
        <v>33</v>
      </c>
      <c r="L559" s="10">
        <f>tblInventory[[#This Row],[Stock_Quantity]] / tblInventory[[#This Row],[Reorder_Quantity]]</f>
        <v>1.303030303030303</v>
      </c>
      <c r="M559" s="3">
        <v>1</v>
      </c>
      <c r="N559" s="10">
        <f t="shared" si="16"/>
        <v>0.7300509337860781</v>
      </c>
      <c r="O559" s="1" t="s">
        <v>1299</v>
      </c>
      <c r="P559" s="2">
        <v>45718</v>
      </c>
      <c r="Q559" s="2">
        <v>45814</v>
      </c>
      <c r="R559" s="1" t="s">
        <v>1300</v>
      </c>
      <c r="S559" s="1">
        <v>84</v>
      </c>
      <c r="T559" s="1">
        <v>75</v>
      </c>
      <c r="U559" s="1" t="s">
        <v>24</v>
      </c>
      <c r="V559" s="3">
        <f>tblInventory[[#This Row],[Stock_Quantity]]*tblInventory[[#This Row],[Unit_Price]]</f>
        <v>43</v>
      </c>
      <c r="W559" s="1" t="str">
        <f>IF(tblInventory[[#This Row],[Status]]="Discontinued","INACTIVE",
IF(tblInventory[[#This Row],[Stock_Quantity]] &lt; tblInventory[[#This Row],[Reorder_Level]],"REORDER","OK"))</f>
        <v>INACTIVE</v>
      </c>
      <c r="X559" s="1" t="str">
        <f t="shared" ca="1" si="17"/>
        <v>Expired</v>
      </c>
    </row>
    <row r="560" spans="1:24">
      <c r="A560" s="1">
        <v>559</v>
      </c>
      <c r="B560" s="1" t="s">
        <v>1480</v>
      </c>
      <c r="C560" s="1" t="s">
        <v>1296</v>
      </c>
      <c r="D560" s="1" t="s">
        <v>69</v>
      </c>
      <c r="E560" s="1" t="s">
        <v>1481</v>
      </c>
      <c r="F560" s="1" t="s">
        <v>1175</v>
      </c>
      <c r="G560" s="6">
        <v>74</v>
      </c>
      <c r="H560" s="8">
        <f>tblInventory[[#This Row],[Stock_Quantity]] * tblInventory[[#This Row],[Unit_Price]]</f>
        <v>74</v>
      </c>
      <c r="I560" s="1">
        <v>90</v>
      </c>
      <c r="J560" s="1">
        <v>26</v>
      </c>
      <c r="K560" s="8">
        <f>tblInventory[[#This Row],[Reorder_Quantity]]*M560</f>
        <v>26</v>
      </c>
      <c r="L560" s="10">
        <f>tblInventory[[#This Row],[Stock_Quantity]] / tblInventory[[#This Row],[Reorder_Quantity]]</f>
        <v>2.8461538461538463</v>
      </c>
      <c r="M560" s="3">
        <v>1</v>
      </c>
      <c r="N560" s="10">
        <f t="shared" si="16"/>
        <v>1.2563667232597624</v>
      </c>
      <c r="O560" s="1" t="s">
        <v>770</v>
      </c>
      <c r="P560" s="2">
        <v>45840</v>
      </c>
      <c r="Q560" s="2">
        <v>45861</v>
      </c>
      <c r="R560" s="1" t="s">
        <v>1482</v>
      </c>
      <c r="S560" s="1">
        <v>24</v>
      </c>
      <c r="T560" s="1">
        <v>11</v>
      </c>
      <c r="U560" s="1" t="s">
        <v>24</v>
      </c>
      <c r="V560" s="3">
        <f>tblInventory[[#This Row],[Stock_Quantity]]*tblInventory[[#This Row],[Unit_Price]]</f>
        <v>74</v>
      </c>
      <c r="W560" s="1" t="str">
        <f>IF(tblInventory[[#This Row],[Status]]="Discontinued","INACTIVE",
IF(tblInventory[[#This Row],[Stock_Quantity]] &lt; tblInventory[[#This Row],[Reorder_Level]],"REORDER","OK"))</f>
        <v>INACTIVE</v>
      </c>
      <c r="X560" s="1" t="str">
        <f t="shared" ca="1" si="17"/>
        <v>Expired</v>
      </c>
    </row>
    <row r="561" spans="1:24">
      <c r="A561" s="1">
        <v>560</v>
      </c>
      <c r="B561" s="1" t="s">
        <v>2100</v>
      </c>
      <c r="C561" s="1" t="s">
        <v>1296</v>
      </c>
      <c r="D561" s="1" t="s">
        <v>69</v>
      </c>
      <c r="E561" s="1" t="s">
        <v>2101</v>
      </c>
      <c r="F561" s="1" t="s">
        <v>2102</v>
      </c>
      <c r="G561" s="6">
        <v>18</v>
      </c>
      <c r="H561" s="8">
        <f>tblInventory[[#This Row],[Stock_Quantity]] * tblInventory[[#This Row],[Unit_Price]]</f>
        <v>18</v>
      </c>
      <c r="I561" s="1">
        <v>64</v>
      </c>
      <c r="J561" s="1">
        <v>86</v>
      </c>
      <c r="K561" s="8">
        <f>tblInventory[[#This Row],[Reorder_Quantity]]*M561</f>
        <v>86</v>
      </c>
      <c r="L561" s="10">
        <f>tblInventory[[#This Row],[Stock_Quantity]] / tblInventory[[#This Row],[Reorder_Quantity]]</f>
        <v>0.20930232558139536</v>
      </c>
      <c r="M561" s="3">
        <v>1</v>
      </c>
      <c r="N561" s="10">
        <f t="shared" si="16"/>
        <v>0.30560271646859083</v>
      </c>
      <c r="O561" s="1" t="s">
        <v>525</v>
      </c>
      <c r="P561" s="2">
        <v>45541</v>
      </c>
      <c r="Q561" s="2">
        <v>46045</v>
      </c>
      <c r="R561" s="1" t="s">
        <v>2103</v>
      </c>
      <c r="S561" s="1">
        <v>73</v>
      </c>
      <c r="T561" s="1">
        <v>38</v>
      </c>
      <c r="U561" s="1" t="s">
        <v>46</v>
      </c>
      <c r="V561" s="3">
        <f>tblInventory[[#This Row],[Stock_Quantity]]*tblInventory[[#This Row],[Unit_Price]]</f>
        <v>18</v>
      </c>
      <c r="W561" s="1" t="str">
        <f>IF(tblInventory[[#This Row],[Status]]="Discontinued","INACTIVE",
IF(tblInventory[[#This Row],[Stock_Quantity]] &lt; tblInventory[[#This Row],[Reorder_Level]],"REORDER","OK"))</f>
        <v>REORDER</v>
      </c>
      <c r="X561" s="1" t="str">
        <f t="shared" ca="1" si="17"/>
        <v>Valid</v>
      </c>
    </row>
    <row r="562" spans="1:24">
      <c r="A562" s="1">
        <v>561</v>
      </c>
      <c r="B562" s="1" t="s">
        <v>2196</v>
      </c>
      <c r="C562" s="1" t="s">
        <v>1296</v>
      </c>
      <c r="D562" s="1" t="s">
        <v>69</v>
      </c>
      <c r="E562" s="1" t="s">
        <v>2197</v>
      </c>
      <c r="F562" s="1" t="s">
        <v>2198</v>
      </c>
      <c r="G562" s="6">
        <v>13</v>
      </c>
      <c r="H562" s="8">
        <f>tblInventory[[#This Row],[Stock_Quantity]] * tblInventory[[#This Row],[Unit_Price]]</f>
        <v>11.700000000000001</v>
      </c>
      <c r="I562" s="1">
        <v>39</v>
      </c>
      <c r="J562" s="1">
        <v>98</v>
      </c>
      <c r="K562" s="8">
        <f>tblInventory[[#This Row],[Reorder_Quantity]]*M562</f>
        <v>88.2</v>
      </c>
      <c r="L562" s="10">
        <f>tblInventory[[#This Row],[Stock_Quantity]] / tblInventory[[#This Row],[Reorder_Quantity]]</f>
        <v>0.1326530612244898</v>
      </c>
      <c r="M562" s="3">
        <v>0.9</v>
      </c>
      <c r="N562" s="10">
        <f t="shared" si="16"/>
        <v>0.22071307300509338</v>
      </c>
      <c r="O562" s="2">
        <v>45328</v>
      </c>
      <c r="P562" s="2">
        <v>45423</v>
      </c>
      <c r="Q562" s="2">
        <v>46074</v>
      </c>
      <c r="R562" s="1" t="s">
        <v>2199</v>
      </c>
      <c r="S562" s="1">
        <v>46</v>
      </c>
      <c r="T562" s="1">
        <v>46</v>
      </c>
      <c r="U562" s="1" t="s">
        <v>38</v>
      </c>
      <c r="V562" s="3">
        <f>tblInventory[[#This Row],[Stock_Quantity]]*tblInventory[[#This Row],[Unit_Price]]</f>
        <v>11.700000000000001</v>
      </c>
      <c r="W562" s="1" t="str">
        <f>IF(tblInventory[[#This Row],[Status]]="Discontinued","INACTIVE",
IF(tblInventory[[#This Row],[Stock_Quantity]] &lt; tblInventory[[#This Row],[Reorder_Level]],"REORDER","OK"))</f>
        <v>REORDER</v>
      </c>
      <c r="X562" s="1" t="str">
        <f t="shared" ca="1" si="17"/>
        <v>Valid</v>
      </c>
    </row>
    <row r="563" spans="1:24">
      <c r="A563" s="1">
        <v>562</v>
      </c>
      <c r="B563" s="1" t="s">
        <v>2696</v>
      </c>
      <c r="C563" s="1" t="s">
        <v>1296</v>
      </c>
      <c r="D563" s="1" t="s">
        <v>69</v>
      </c>
      <c r="E563" s="1" t="s">
        <v>2697</v>
      </c>
      <c r="F563" s="1" t="s">
        <v>1350</v>
      </c>
      <c r="G563" s="6">
        <v>12</v>
      </c>
      <c r="H563" s="8">
        <f>tblInventory[[#This Row],[Stock_Quantity]] * tblInventory[[#This Row],[Unit_Price]]</f>
        <v>12</v>
      </c>
      <c r="I563" s="1">
        <v>54</v>
      </c>
      <c r="J563" s="1">
        <v>48</v>
      </c>
      <c r="K563" s="8">
        <f>tblInventory[[#This Row],[Reorder_Quantity]]*M563</f>
        <v>48</v>
      </c>
      <c r="L563" s="10">
        <f>tblInventory[[#This Row],[Stock_Quantity]] / tblInventory[[#This Row],[Reorder_Quantity]]</f>
        <v>0.25</v>
      </c>
      <c r="M563" s="3">
        <v>1</v>
      </c>
      <c r="N563" s="10">
        <f t="shared" si="16"/>
        <v>0.2037351443123939</v>
      </c>
      <c r="O563" s="2">
        <v>45454</v>
      </c>
      <c r="P563" s="1" t="s">
        <v>213</v>
      </c>
      <c r="Q563" s="2">
        <v>46228</v>
      </c>
      <c r="R563" s="1" t="s">
        <v>2698</v>
      </c>
      <c r="S563" s="1">
        <v>31</v>
      </c>
      <c r="T563" s="1">
        <v>88</v>
      </c>
      <c r="U563" s="1" t="s">
        <v>38</v>
      </c>
      <c r="V563" s="3">
        <f>tblInventory[[#This Row],[Stock_Quantity]]*tblInventory[[#This Row],[Unit_Price]]</f>
        <v>12</v>
      </c>
      <c r="W563" s="1" t="str">
        <f>IF(tblInventory[[#This Row],[Status]]="Discontinued","INACTIVE",
IF(tblInventory[[#This Row],[Stock_Quantity]] &lt; tblInventory[[#This Row],[Reorder_Level]],"REORDER","OK"))</f>
        <v>REORDER</v>
      </c>
      <c r="X563" s="1" t="str">
        <f t="shared" ca="1" si="17"/>
        <v>Valid</v>
      </c>
    </row>
    <row r="564" spans="1:24">
      <c r="A564" s="1">
        <v>563</v>
      </c>
      <c r="B564" s="1" t="s">
        <v>440</v>
      </c>
      <c r="C564" s="1" t="s">
        <v>441</v>
      </c>
      <c r="D564" s="1" t="s">
        <v>69</v>
      </c>
      <c r="E564" s="1" t="s">
        <v>442</v>
      </c>
      <c r="F564" s="1" t="s">
        <v>443</v>
      </c>
      <c r="G564" s="6">
        <v>45</v>
      </c>
      <c r="H564" s="8">
        <f>tblInventory[[#This Row],[Stock_Quantity]] * tblInventory[[#This Row],[Unit_Price]]</f>
        <v>315</v>
      </c>
      <c r="I564" s="1">
        <v>63</v>
      </c>
      <c r="J564" s="1">
        <v>75</v>
      </c>
      <c r="K564" s="8">
        <f>tblInventory[[#This Row],[Reorder_Quantity]]*M564</f>
        <v>525</v>
      </c>
      <c r="L564" s="10">
        <f>tblInventory[[#This Row],[Stock_Quantity]] / tblInventory[[#This Row],[Reorder_Quantity]]</f>
        <v>0.6</v>
      </c>
      <c r="M564" s="3">
        <v>7</v>
      </c>
      <c r="N564" s="10">
        <f t="shared" si="16"/>
        <v>0.76400679117147707</v>
      </c>
      <c r="O564" s="1" t="s">
        <v>342</v>
      </c>
      <c r="P564" s="1" t="s">
        <v>444</v>
      </c>
      <c r="Q564" s="2">
        <v>45622</v>
      </c>
      <c r="R564" s="1" t="s">
        <v>445</v>
      </c>
      <c r="S564" s="1">
        <v>83</v>
      </c>
      <c r="T564" s="1">
        <v>5</v>
      </c>
      <c r="U564" s="1" t="s">
        <v>24</v>
      </c>
      <c r="V564" s="3">
        <f>tblInventory[[#This Row],[Stock_Quantity]]*tblInventory[[#This Row],[Unit_Price]]</f>
        <v>315</v>
      </c>
      <c r="W564" s="1" t="str">
        <f>IF(tblInventory[[#This Row],[Status]]="Discontinued","INACTIVE",
IF(tblInventory[[#This Row],[Stock_Quantity]] &lt; tblInventory[[#This Row],[Reorder_Level]],"REORDER","OK"))</f>
        <v>INACTIVE</v>
      </c>
      <c r="X564" s="1" t="str">
        <f t="shared" ca="1" si="17"/>
        <v>Expired</v>
      </c>
    </row>
    <row r="565" spans="1:24">
      <c r="A565" s="1">
        <v>564</v>
      </c>
      <c r="B565" s="1" t="s">
        <v>1018</v>
      </c>
      <c r="C565" s="1" t="s">
        <v>441</v>
      </c>
      <c r="D565" s="1" t="s">
        <v>69</v>
      </c>
      <c r="E565" s="1" t="s">
        <v>1019</v>
      </c>
      <c r="F565" s="1" t="s">
        <v>1020</v>
      </c>
      <c r="G565" s="6">
        <v>96</v>
      </c>
      <c r="H565" s="8">
        <f>tblInventory[[#This Row],[Stock_Quantity]] * tblInventory[[#This Row],[Unit_Price]]</f>
        <v>672</v>
      </c>
      <c r="I565" s="1">
        <v>38</v>
      </c>
      <c r="J565" s="1">
        <v>17</v>
      </c>
      <c r="K565" s="8">
        <f>tblInventory[[#This Row],[Reorder_Quantity]]*M565</f>
        <v>119</v>
      </c>
      <c r="L565" s="10">
        <f>tblInventory[[#This Row],[Stock_Quantity]] / tblInventory[[#This Row],[Reorder_Quantity]]</f>
        <v>5.6470588235294121</v>
      </c>
      <c r="M565" s="3">
        <v>7</v>
      </c>
      <c r="N565" s="10">
        <f t="shared" si="16"/>
        <v>1.6298811544991512</v>
      </c>
      <c r="O565" s="1" t="s">
        <v>604</v>
      </c>
      <c r="P565" s="2">
        <v>45301</v>
      </c>
      <c r="Q565" s="2">
        <v>45744</v>
      </c>
      <c r="R565" s="1" t="s">
        <v>1021</v>
      </c>
      <c r="S565" s="1">
        <v>72</v>
      </c>
      <c r="T565" s="1">
        <v>84</v>
      </c>
      <c r="U565" s="1" t="s">
        <v>46</v>
      </c>
      <c r="V565" s="3">
        <f>tblInventory[[#This Row],[Stock_Quantity]]*tblInventory[[#This Row],[Unit_Price]]</f>
        <v>672</v>
      </c>
      <c r="W565" s="1" t="str">
        <f>IF(tblInventory[[#This Row],[Status]]="Discontinued","INACTIVE",
IF(tblInventory[[#This Row],[Stock_Quantity]] &lt; tblInventory[[#This Row],[Reorder_Level]],"REORDER","OK"))</f>
        <v>OK</v>
      </c>
      <c r="X565" s="1" t="str">
        <f t="shared" ca="1" si="17"/>
        <v>Expired</v>
      </c>
    </row>
    <row r="566" spans="1:24">
      <c r="A566" s="1">
        <v>565</v>
      </c>
      <c r="B566" s="1" t="s">
        <v>1144</v>
      </c>
      <c r="C566" s="1" t="s">
        <v>441</v>
      </c>
      <c r="D566" s="1" t="s">
        <v>69</v>
      </c>
      <c r="E566" s="1" t="s">
        <v>1145</v>
      </c>
      <c r="F566" s="1" t="s">
        <v>918</v>
      </c>
      <c r="G566" s="6">
        <v>16</v>
      </c>
      <c r="H566" s="8">
        <f>tblInventory[[#This Row],[Stock_Quantity]] * tblInventory[[#This Row],[Unit_Price]]</f>
        <v>115.2</v>
      </c>
      <c r="I566" s="1">
        <v>56</v>
      </c>
      <c r="J566" s="1">
        <v>13</v>
      </c>
      <c r="K566" s="8">
        <f>tblInventory[[#This Row],[Reorder_Quantity]]*M566</f>
        <v>93.600000000000009</v>
      </c>
      <c r="L566" s="10">
        <f>tblInventory[[#This Row],[Stock_Quantity]] / tblInventory[[#This Row],[Reorder_Quantity]]</f>
        <v>1.2307692307692308</v>
      </c>
      <c r="M566" s="3">
        <v>7.2</v>
      </c>
      <c r="N566" s="10">
        <f t="shared" si="16"/>
        <v>0.27164685908319186</v>
      </c>
      <c r="O566" s="2">
        <v>45932</v>
      </c>
      <c r="P566" s="2">
        <v>45568</v>
      </c>
      <c r="Q566" s="2">
        <v>45775</v>
      </c>
      <c r="R566" s="1" t="s">
        <v>1146</v>
      </c>
      <c r="S566" s="1">
        <v>56</v>
      </c>
      <c r="T566" s="1">
        <v>28</v>
      </c>
      <c r="U566" s="1" t="s">
        <v>24</v>
      </c>
      <c r="V566" s="3">
        <f>tblInventory[[#This Row],[Stock_Quantity]]*tblInventory[[#This Row],[Unit_Price]]</f>
        <v>115.2</v>
      </c>
      <c r="W566" s="1" t="str">
        <f>IF(tblInventory[[#This Row],[Status]]="Discontinued","INACTIVE",
IF(tblInventory[[#This Row],[Stock_Quantity]] &lt; tblInventory[[#This Row],[Reorder_Level]],"REORDER","OK"))</f>
        <v>INACTIVE</v>
      </c>
      <c r="X566" s="1" t="str">
        <f t="shared" ca="1" si="17"/>
        <v>Expired</v>
      </c>
    </row>
    <row r="567" spans="1:24">
      <c r="A567" s="1">
        <v>566</v>
      </c>
      <c r="B567" s="1" t="s">
        <v>2142</v>
      </c>
      <c r="C567" s="1" t="s">
        <v>441</v>
      </c>
      <c r="D567" s="1" t="s">
        <v>69</v>
      </c>
      <c r="E567" s="1" t="s">
        <v>2143</v>
      </c>
      <c r="F567" s="1" t="s">
        <v>393</v>
      </c>
      <c r="G567" s="6">
        <v>58</v>
      </c>
      <c r="H567" s="8">
        <f>tblInventory[[#This Row],[Stock_Quantity]] * tblInventory[[#This Row],[Unit_Price]]</f>
        <v>406</v>
      </c>
      <c r="I567" s="1">
        <v>17</v>
      </c>
      <c r="J567" s="1">
        <v>26</v>
      </c>
      <c r="K567" s="8">
        <f>tblInventory[[#This Row],[Reorder_Quantity]]*M567</f>
        <v>182</v>
      </c>
      <c r="L567" s="10">
        <f>tblInventory[[#This Row],[Stock_Quantity]] / tblInventory[[#This Row],[Reorder_Quantity]]</f>
        <v>2.2307692307692308</v>
      </c>
      <c r="M567" s="3">
        <v>7</v>
      </c>
      <c r="N567" s="10">
        <f t="shared" si="16"/>
        <v>0.98471986417657054</v>
      </c>
      <c r="O567" s="1" t="s">
        <v>240</v>
      </c>
      <c r="P567" s="2">
        <v>45480</v>
      </c>
      <c r="Q567" s="2">
        <v>46144</v>
      </c>
      <c r="R567" s="1" t="s">
        <v>2144</v>
      </c>
      <c r="S567" s="1">
        <v>62</v>
      </c>
      <c r="T567" s="1">
        <v>89</v>
      </c>
      <c r="U567" s="1" t="s">
        <v>38</v>
      </c>
      <c r="V567" s="3">
        <f>tblInventory[[#This Row],[Stock_Quantity]]*tblInventory[[#This Row],[Unit_Price]]</f>
        <v>406</v>
      </c>
      <c r="W567" s="1" t="str">
        <f>IF(tblInventory[[#This Row],[Status]]="Discontinued","INACTIVE",
IF(tblInventory[[#This Row],[Stock_Quantity]] &lt; tblInventory[[#This Row],[Reorder_Level]],"REORDER","OK"))</f>
        <v>OK</v>
      </c>
      <c r="X567" s="1" t="str">
        <f t="shared" ca="1" si="17"/>
        <v>Valid</v>
      </c>
    </row>
    <row r="568" spans="1:24">
      <c r="A568" s="1">
        <v>567</v>
      </c>
      <c r="B568" s="1" t="s">
        <v>2534</v>
      </c>
      <c r="C568" s="1" t="s">
        <v>441</v>
      </c>
      <c r="D568" s="1" t="s">
        <v>69</v>
      </c>
      <c r="E568" s="1" t="s">
        <v>2535</v>
      </c>
      <c r="F568" s="1" t="s">
        <v>1225</v>
      </c>
      <c r="G568" s="6">
        <v>36</v>
      </c>
      <c r="H568" s="8">
        <f>tblInventory[[#This Row],[Stock_Quantity]] * tblInventory[[#This Row],[Unit_Price]]</f>
        <v>255.6</v>
      </c>
      <c r="I568" s="1">
        <v>82</v>
      </c>
      <c r="J568" s="1">
        <v>85</v>
      </c>
      <c r="K568" s="8">
        <f>tblInventory[[#This Row],[Reorder_Quantity]]*M568</f>
        <v>603.5</v>
      </c>
      <c r="L568" s="10">
        <f>tblInventory[[#This Row],[Stock_Quantity]] / tblInventory[[#This Row],[Reorder_Quantity]]</f>
        <v>0.42352941176470588</v>
      </c>
      <c r="M568" s="3">
        <v>7.1</v>
      </c>
      <c r="N568" s="10">
        <f t="shared" si="16"/>
        <v>0.61120543293718166</v>
      </c>
      <c r="O568" s="1" t="s">
        <v>786</v>
      </c>
      <c r="P568" s="1" t="s">
        <v>1154</v>
      </c>
      <c r="Q568" s="2">
        <v>46148</v>
      </c>
      <c r="R568" s="1" t="s">
        <v>2536</v>
      </c>
      <c r="S568" s="1">
        <v>27</v>
      </c>
      <c r="T568" s="1">
        <v>67</v>
      </c>
      <c r="U568" s="1" t="s">
        <v>24</v>
      </c>
      <c r="V568" s="3">
        <f>tblInventory[[#This Row],[Stock_Quantity]]*tblInventory[[#This Row],[Unit_Price]]</f>
        <v>255.6</v>
      </c>
      <c r="W568" s="1" t="str">
        <f>IF(tblInventory[[#This Row],[Status]]="Discontinued","INACTIVE",
IF(tblInventory[[#This Row],[Stock_Quantity]] &lt; tblInventory[[#This Row],[Reorder_Level]],"REORDER","OK"))</f>
        <v>INACTIVE</v>
      </c>
      <c r="X568" s="1" t="str">
        <f t="shared" ca="1" si="17"/>
        <v>Valid</v>
      </c>
    </row>
    <row r="569" spans="1:24">
      <c r="A569" s="1">
        <v>568</v>
      </c>
      <c r="B569" s="1" t="s">
        <v>2803</v>
      </c>
      <c r="C569" s="1" t="s">
        <v>441</v>
      </c>
      <c r="D569" s="1" t="s">
        <v>69</v>
      </c>
      <c r="E569" s="1" t="s">
        <v>2804</v>
      </c>
      <c r="F569" s="1" t="s">
        <v>2805</v>
      </c>
      <c r="G569" s="6">
        <v>55</v>
      </c>
      <c r="H569" s="8">
        <f>tblInventory[[#This Row],[Stock_Quantity]] * tblInventory[[#This Row],[Unit_Price]]</f>
        <v>396</v>
      </c>
      <c r="I569" s="1">
        <v>58</v>
      </c>
      <c r="J569" s="1">
        <v>6</v>
      </c>
      <c r="K569" s="8">
        <f>tblInventory[[#This Row],[Reorder_Quantity]]*M569</f>
        <v>43.2</v>
      </c>
      <c r="L569" s="10">
        <f>tblInventory[[#This Row],[Stock_Quantity]] / tblInventory[[#This Row],[Reorder_Quantity]]</f>
        <v>9.1666666666666661</v>
      </c>
      <c r="M569" s="3">
        <v>7.2</v>
      </c>
      <c r="N569" s="10">
        <f t="shared" si="16"/>
        <v>0.93378607809847203</v>
      </c>
      <c r="O569" s="1" t="s">
        <v>682</v>
      </c>
      <c r="P569" s="2">
        <v>45633</v>
      </c>
      <c r="Q569" s="2">
        <v>46261</v>
      </c>
      <c r="R569" s="1" t="s">
        <v>2806</v>
      </c>
      <c r="S569" s="1">
        <v>48</v>
      </c>
      <c r="T569" s="1">
        <v>17</v>
      </c>
      <c r="U569" s="1" t="s">
        <v>24</v>
      </c>
      <c r="V569" s="3">
        <f>tblInventory[[#This Row],[Stock_Quantity]]*tblInventory[[#This Row],[Unit_Price]]</f>
        <v>396</v>
      </c>
      <c r="W569" s="1" t="str">
        <f>IF(tblInventory[[#This Row],[Status]]="Discontinued","INACTIVE",
IF(tblInventory[[#This Row],[Stock_Quantity]] &lt; tblInventory[[#This Row],[Reorder_Level]],"REORDER","OK"))</f>
        <v>INACTIVE</v>
      </c>
      <c r="X569" s="1" t="str">
        <f t="shared" ca="1" si="17"/>
        <v>Valid</v>
      </c>
    </row>
    <row r="570" spans="1:24">
      <c r="A570" s="1">
        <v>569</v>
      </c>
      <c r="B570" s="1" t="s">
        <v>3503</v>
      </c>
      <c r="C570" s="1" t="s">
        <v>441</v>
      </c>
      <c r="D570" s="1" t="s">
        <v>69</v>
      </c>
      <c r="E570" s="1" t="s">
        <v>3504</v>
      </c>
      <c r="F570" s="1" t="s">
        <v>755</v>
      </c>
      <c r="G570" s="6">
        <v>24</v>
      </c>
      <c r="H570" s="8">
        <f>tblInventory[[#This Row],[Stock_Quantity]] * tblInventory[[#This Row],[Unit_Price]]</f>
        <v>168</v>
      </c>
      <c r="I570" s="1">
        <v>1</v>
      </c>
      <c r="J570" s="1">
        <v>65</v>
      </c>
      <c r="K570" s="8">
        <f>tblInventory[[#This Row],[Reorder_Quantity]]*M570</f>
        <v>455</v>
      </c>
      <c r="L570" s="10">
        <f>tblInventory[[#This Row],[Stock_Quantity]] / tblInventory[[#This Row],[Reorder_Quantity]]</f>
        <v>0.36923076923076925</v>
      </c>
      <c r="M570" s="3">
        <v>7</v>
      </c>
      <c r="N570" s="10">
        <f t="shared" si="16"/>
        <v>0.40747028862478779</v>
      </c>
      <c r="O570" s="1" t="s">
        <v>82</v>
      </c>
      <c r="P570" s="2">
        <v>45633</v>
      </c>
      <c r="Q570" s="2">
        <v>46572</v>
      </c>
      <c r="R570" s="1" t="s">
        <v>3505</v>
      </c>
      <c r="S570" s="1">
        <v>58</v>
      </c>
      <c r="T570" s="1">
        <v>61</v>
      </c>
      <c r="U570" s="1" t="s">
        <v>46</v>
      </c>
      <c r="V570" s="3">
        <f>tblInventory[[#This Row],[Stock_Quantity]]*tblInventory[[#This Row],[Unit_Price]]</f>
        <v>168</v>
      </c>
      <c r="W570" s="1" t="str">
        <f>IF(tblInventory[[#This Row],[Status]]="Discontinued","INACTIVE",
IF(tblInventory[[#This Row],[Stock_Quantity]] &lt; tblInventory[[#This Row],[Reorder_Level]],"REORDER","OK"))</f>
        <v>OK</v>
      </c>
      <c r="X570" s="1" t="str">
        <f t="shared" ca="1" si="17"/>
        <v>Valid</v>
      </c>
    </row>
    <row r="571" spans="1:24">
      <c r="A571" s="1">
        <v>570</v>
      </c>
      <c r="B571" s="1" t="s">
        <v>307</v>
      </c>
      <c r="C571" s="1" t="s">
        <v>308</v>
      </c>
      <c r="D571" s="1" t="s">
        <v>100</v>
      </c>
      <c r="E571" s="1" t="s">
        <v>309</v>
      </c>
      <c r="F571" s="1" t="s">
        <v>310</v>
      </c>
      <c r="G571" s="6">
        <v>65</v>
      </c>
      <c r="H571" s="8">
        <f>tblInventory[[#This Row],[Stock_Quantity]] * tblInventory[[#This Row],[Unit_Price]]</f>
        <v>227.5</v>
      </c>
      <c r="I571" s="1">
        <v>36</v>
      </c>
      <c r="J571" s="1">
        <v>37</v>
      </c>
      <c r="K571" s="8">
        <f>tblInventory[[#This Row],[Reorder_Quantity]]*M571</f>
        <v>129.5</v>
      </c>
      <c r="L571" s="10">
        <f>tblInventory[[#This Row],[Stock_Quantity]] / tblInventory[[#This Row],[Reorder_Quantity]]</f>
        <v>1.7567567567567568</v>
      </c>
      <c r="M571" s="3">
        <v>3.5</v>
      </c>
      <c r="N571" s="10">
        <f t="shared" si="16"/>
        <v>1.1035653650254669</v>
      </c>
      <c r="O571" s="1" t="s">
        <v>311</v>
      </c>
      <c r="P571" s="2">
        <v>45632</v>
      </c>
      <c r="Q571" s="2">
        <v>45333</v>
      </c>
      <c r="R571" s="1" t="s">
        <v>313</v>
      </c>
      <c r="S571" s="1">
        <v>32</v>
      </c>
      <c r="T571" s="1">
        <v>70</v>
      </c>
      <c r="U571" s="1" t="s">
        <v>38</v>
      </c>
      <c r="V571" s="3">
        <f>tblInventory[[#This Row],[Stock_Quantity]]*tblInventory[[#This Row],[Unit_Price]]</f>
        <v>227.5</v>
      </c>
      <c r="W571" s="1" t="str">
        <f>IF(tblInventory[[#This Row],[Status]]="Discontinued","INACTIVE",
IF(tblInventory[[#This Row],[Stock_Quantity]] &lt; tblInventory[[#This Row],[Reorder_Level]],"REORDER","OK"))</f>
        <v>OK</v>
      </c>
      <c r="X571" s="1" t="str">
        <f t="shared" ca="1" si="17"/>
        <v>Expired</v>
      </c>
    </row>
    <row r="572" spans="1:24">
      <c r="A572" s="1">
        <v>571</v>
      </c>
      <c r="B572" s="1" t="s">
        <v>606</v>
      </c>
      <c r="C572" s="1" t="s">
        <v>308</v>
      </c>
      <c r="D572" s="1" t="s">
        <v>100</v>
      </c>
      <c r="E572" s="1" t="s">
        <v>607</v>
      </c>
      <c r="F572" s="1" t="s">
        <v>608</v>
      </c>
      <c r="G572" s="6">
        <v>56</v>
      </c>
      <c r="H572" s="8">
        <f>tblInventory[[#This Row],[Stock_Quantity]] * tblInventory[[#This Row],[Unit_Price]]</f>
        <v>179.20000000000002</v>
      </c>
      <c r="I572" s="1">
        <v>86</v>
      </c>
      <c r="J572" s="1">
        <v>23</v>
      </c>
      <c r="K572" s="8">
        <f>tblInventory[[#This Row],[Reorder_Quantity]]*M572</f>
        <v>73.600000000000009</v>
      </c>
      <c r="L572" s="10">
        <f>tblInventory[[#This Row],[Stock_Quantity]] / tblInventory[[#This Row],[Reorder_Quantity]]</f>
        <v>2.4347826086956523</v>
      </c>
      <c r="M572" s="3">
        <v>3.2</v>
      </c>
      <c r="N572" s="10">
        <f t="shared" si="16"/>
        <v>0.95076400679117146</v>
      </c>
      <c r="O572" s="1" t="s">
        <v>609</v>
      </c>
      <c r="P572" s="1" t="s">
        <v>610</v>
      </c>
      <c r="Q572" s="2">
        <v>45653</v>
      </c>
      <c r="R572" s="1" t="s">
        <v>611</v>
      </c>
      <c r="S572" s="1">
        <v>67</v>
      </c>
      <c r="T572" s="1">
        <v>56</v>
      </c>
      <c r="U572" s="1" t="s">
        <v>38</v>
      </c>
      <c r="V572" s="3">
        <f>tblInventory[[#This Row],[Stock_Quantity]]*tblInventory[[#This Row],[Unit_Price]]</f>
        <v>179.20000000000002</v>
      </c>
      <c r="W572" s="1" t="str">
        <f>IF(tblInventory[[#This Row],[Status]]="Discontinued","INACTIVE",
IF(tblInventory[[#This Row],[Stock_Quantity]] &lt; tblInventory[[#This Row],[Reorder_Level]],"REORDER","OK"))</f>
        <v>REORDER</v>
      </c>
      <c r="X572" s="1" t="str">
        <f t="shared" ca="1" si="17"/>
        <v>Expired</v>
      </c>
    </row>
    <row r="573" spans="1:24">
      <c r="A573" s="1">
        <v>572</v>
      </c>
      <c r="B573" s="1" t="s">
        <v>1068</v>
      </c>
      <c r="C573" s="1" t="s">
        <v>308</v>
      </c>
      <c r="D573" s="1" t="s">
        <v>100</v>
      </c>
      <c r="E573" s="1" t="s">
        <v>1069</v>
      </c>
      <c r="F573" s="1" t="s">
        <v>1070</v>
      </c>
      <c r="G573" s="6">
        <v>46</v>
      </c>
      <c r="H573" s="8">
        <f>tblInventory[[#This Row],[Stock_Quantity]] * tblInventory[[#This Row],[Unit_Price]]</f>
        <v>161</v>
      </c>
      <c r="I573" s="1">
        <v>43</v>
      </c>
      <c r="J573" s="1">
        <v>46</v>
      </c>
      <c r="K573" s="8">
        <f>tblInventory[[#This Row],[Reorder_Quantity]]*M573</f>
        <v>161</v>
      </c>
      <c r="L573" s="10">
        <f>tblInventory[[#This Row],[Stock_Quantity]] / tblInventory[[#This Row],[Reorder_Quantity]]</f>
        <v>1</v>
      </c>
      <c r="M573" s="3">
        <v>3.5</v>
      </c>
      <c r="N573" s="10">
        <f t="shared" si="16"/>
        <v>0.78098471986417661</v>
      </c>
      <c r="O573" s="2">
        <v>45931</v>
      </c>
      <c r="P573" s="2">
        <v>45422</v>
      </c>
      <c r="Q573" s="2">
        <v>45934</v>
      </c>
      <c r="R573" s="1" t="s">
        <v>1071</v>
      </c>
      <c r="S573" s="1">
        <v>68</v>
      </c>
      <c r="T573" s="1">
        <v>59</v>
      </c>
      <c r="U573" s="1" t="s">
        <v>38</v>
      </c>
      <c r="V573" s="3">
        <f>tblInventory[[#This Row],[Stock_Quantity]]*tblInventory[[#This Row],[Unit_Price]]</f>
        <v>161</v>
      </c>
      <c r="W573" s="1" t="str">
        <f>IF(tblInventory[[#This Row],[Status]]="Discontinued","INACTIVE",
IF(tblInventory[[#This Row],[Stock_Quantity]] &lt; tblInventory[[#This Row],[Reorder_Level]],"REORDER","OK"))</f>
        <v>OK</v>
      </c>
      <c r="X573" s="1" t="str">
        <f t="shared" ca="1" si="17"/>
        <v>Expired</v>
      </c>
    </row>
    <row r="574" spans="1:24">
      <c r="A574" s="1">
        <v>573</v>
      </c>
      <c r="B574" s="1" t="s">
        <v>1836</v>
      </c>
      <c r="C574" s="1" t="s">
        <v>308</v>
      </c>
      <c r="D574" s="1" t="s">
        <v>100</v>
      </c>
      <c r="E574" s="1" t="s">
        <v>1837</v>
      </c>
      <c r="F574" s="1" t="s">
        <v>1818</v>
      </c>
      <c r="G574" s="6">
        <v>85</v>
      </c>
      <c r="H574" s="8">
        <f>tblInventory[[#This Row],[Stock_Quantity]] * tblInventory[[#This Row],[Unit_Price]]</f>
        <v>297.5</v>
      </c>
      <c r="I574" s="1">
        <v>57</v>
      </c>
      <c r="J574" s="1">
        <v>25</v>
      </c>
      <c r="K574" s="8">
        <f>tblInventory[[#This Row],[Reorder_Quantity]]*M574</f>
        <v>87.5</v>
      </c>
      <c r="L574" s="10">
        <f>tblInventory[[#This Row],[Stock_Quantity]] / tblInventory[[#This Row],[Reorder_Quantity]]</f>
        <v>3.4</v>
      </c>
      <c r="M574" s="3">
        <v>3.5</v>
      </c>
      <c r="N574" s="10">
        <f t="shared" si="16"/>
        <v>1.4431239388794568</v>
      </c>
      <c r="O574" s="1" t="s">
        <v>1532</v>
      </c>
      <c r="P574" s="1" t="s">
        <v>402</v>
      </c>
      <c r="Q574" s="2">
        <v>45727</v>
      </c>
      <c r="R574" s="1" t="s">
        <v>1838</v>
      </c>
      <c r="S574" s="1">
        <v>30</v>
      </c>
      <c r="T574" s="1">
        <v>42</v>
      </c>
      <c r="U574" s="1" t="s">
        <v>24</v>
      </c>
      <c r="V574" s="3">
        <f>tblInventory[[#This Row],[Stock_Quantity]]*tblInventory[[#This Row],[Unit_Price]]</f>
        <v>297.5</v>
      </c>
      <c r="W574" s="1" t="str">
        <f>IF(tblInventory[[#This Row],[Status]]="Discontinued","INACTIVE",
IF(tblInventory[[#This Row],[Stock_Quantity]] &lt; tblInventory[[#This Row],[Reorder_Level]],"REORDER","OK"))</f>
        <v>INACTIVE</v>
      </c>
      <c r="X574" s="1" t="str">
        <f t="shared" ca="1" si="17"/>
        <v>Expired</v>
      </c>
    </row>
    <row r="575" spans="1:24">
      <c r="A575" s="1">
        <v>574</v>
      </c>
      <c r="B575" s="1" t="s">
        <v>2859</v>
      </c>
      <c r="C575" s="1" t="s">
        <v>308</v>
      </c>
      <c r="D575" s="1" t="s">
        <v>100</v>
      </c>
      <c r="E575" s="1" t="s">
        <v>2860</v>
      </c>
      <c r="F575" s="1" t="s">
        <v>2861</v>
      </c>
      <c r="G575" s="6">
        <v>87</v>
      </c>
      <c r="H575" s="8">
        <f>tblInventory[[#This Row],[Stock_Quantity]] * tblInventory[[#This Row],[Unit_Price]]</f>
        <v>278.40000000000003</v>
      </c>
      <c r="I575" s="1">
        <v>70</v>
      </c>
      <c r="J575" s="1">
        <v>77</v>
      </c>
      <c r="K575" s="8">
        <f>tblInventory[[#This Row],[Reorder_Quantity]]*M575</f>
        <v>246.4</v>
      </c>
      <c r="L575" s="10">
        <f>tblInventory[[#This Row],[Stock_Quantity]] / tblInventory[[#This Row],[Reorder_Quantity]]</f>
        <v>1.1298701298701299</v>
      </c>
      <c r="M575" s="3">
        <v>3.2</v>
      </c>
      <c r="N575" s="10">
        <f t="shared" si="16"/>
        <v>1.4770797962648556</v>
      </c>
      <c r="O575" s="2">
        <v>45509</v>
      </c>
      <c r="P575" s="1" t="s">
        <v>122</v>
      </c>
      <c r="Q575" s="2">
        <v>46365</v>
      </c>
      <c r="R575" s="1" t="s">
        <v>2862</v>
      </c>
      <c r="S575" s="1">
        <v>73</v>
      </c>
      <c r="T575" s="1">
        <v>44</v>
      </c>
      <c r="U575" s="1" t="s">
        <v>46</v>
      </c>
      <c r="V575" s="3">
        <f>tblInventory[[#This Row],[Stock_Quantity]]*tblInventory[[#This Row],[Unit_Price]]</f>
        <v>278.40000000000003</v>
      </c>
      <c r="W575" s="1" t="str">
        <f>IF(tblInventory[[#This Row],[Status]]="Discontinued","INACTIVE",
IF(tblInventory[[#This Row],[Stock_Quantity]] &lt; tblInventory[[#This Row],[Reorder_Level]],"REORDER","OK"))</f>
        <v>OK</v>
      </c>
      <c r="X575" s="1" t="str">
        <f t="shared" ca="1" si="17"/>
        <v>Valid</v>
      </c>
    </row>
    <row r="576" spans="1:24">
      <c r="A576" s="1">
        <v>575</v>
      </c>
      <c r="B576" s="1" t="s">
        <v>3229</v>
      </c>
      <c r="C576" s="1" t="s">
        <v>308</v>
      </c>
      <c r="D576" s="1" t="s">
        <v>100</v>
      </c>
      <c r="E576" s="1" t="s">
        <v>3230</v>
      </c>
      <c r="F576" s="1" t="s">
        <v>1161</v>
      </c>
      <c r="G576" s="6">
        <v>47</v>
      </c>
      <c r="H576" s="8">
        <f>tblInventory[[#This Row],[Stock_Quantity]] * tblInventory[[#This Row],[Unit_Price]]</f>
        <v>152.75</v>
      </c>
      <c r="I576" s="1">
        <v>26</v>
      </c>
      <c r="J576" s="1">
        <v>40</v>
      </c>
      <c r="K576" s="8">
        <f>tblInventory[[#This Row],[Reorder_Quantity]]*M576</f>
        <v>130</v>
      </c>
      <c r="L576" s="10">
        <f>tblInventory[[#This Row],[Stock_Quantity]] / tblInventory[[#This Row],[Reorder_Quantity]]</f>
        <v>1.175</v>
      </c>
      <c r="M576" s="3">
        <v>3.25</v>
      </c>
      <c r="N576" s="10">
        <f t="shared" si="16"/>
        <v>0.79796264855687604</v>
      </c>
      <c r="O576" s="1" t="s">
        <v>103</v>
      </c>
      <c r="P576" s="2">
        <v>45992</v>
      </c>
      <c r="Q576" s="2">
        <v>46600</v>
      </c>
      <c r="R576" s="1" t="s">
        <v>3231</v>
      </c>
      <c r="S576" s="1">
        <v>30</v>
      </c>
      <c r="T576" s="1">
        <v>72</v>
      </c>
      <c r="U576" s="1" t="s">
        <v>46</v>
      </c>
      <c r="V576" s="3">
        <f>tblInventory[[#This Row],[Stock_Quantity]]*tblInventory[[#This Row],[Unit_Price]]</f>
        <v>152.75</v>
      </c>
      <c r="W576" s="1" t="str">
        <f>IF(tblInventory[[#This Row],[Status]]="Discontinued","INACTIVE",
IF(tblInventory[[#This Row],[Stock_Quantity]] &lt; tblInventory[[#This Row],[Reorder_Level]],"REORDER","OK"))</f>
        <v>OK</v>
      </c>
      <c r="X576" s="1" t="str">
        <f t="shared" ca="1" si="17"/>
        <v>Valid</v>
      </c>
    </row>
    <row r="577" spans="1:24">
      <c r="A577" s="1">
        <v>576</v>
      </c>
      <c r="B577" s="1" t="s">
        <v>3531</v>
      </c>
      <c r="C577" s="1" t="s">
        <v>308</v>
      </c>
      <c r="D577" s="1" t="s">
        <v>100</v>
      </c>
      <c r="E577" s="1" t="s">
        <v>3532</v>
      </c>
      <c r="F577" s="1" t="s">
        <v>1074</v>
      </c>
      <c r="G577" s="6">
        <v>38</v>
      </c>
      <c r="H577" s="8">
        <f>tblInventory[[#This Row],[Stock_Quantity]] * tblInventory[[#This Row],[Unit_Price]]</f>
        <v>133</v>
      </c>
      <c r="I577" s="1">
        <v>37</v>
      </c>
      <c r="J577" s="1">
        <v>27</v>
      </c>
      <c r="K577" s="8">
        <f>tblInventory[[#This Row],[Reorder_Quantity]]*M577</f>
        <v>94.5</v>
      </c>
      <c r="L577" s="10">
        <f>tblInventory[[#This Row],[Stock_Quantity]] / tblInventory[[#This Row],[Reorder_Quantity]]</f>
        <v>1.4074074074074074</v>
      </c>
      <c r="M577" s="3">
        <v>3.5</v>
      </c>
      <c r="N577" s="10">
        <f t="shared" si="16"/>
        <v>0.64516129032258063</v>
      </c>
      <c r="O577" s="1" t="s">
        <v>116</v>
      </c>
      <c r="P577" s="2">
        <v>45422</v>
      </c>
      <c r="Q577" s="2">
        <v>46493</v>
      </c>
      <c r="R577" s="1" t="s">
        <v>3533</v>
      </c>
      <c r="S577" s="1">
        <v>45</v>
      </c>
      <c r="T577" s="1">
        <v>88</v>
      </c>
      <c r="U577" s="1" t="s">
        <v>38</v>
      </c>
      <c r="V577" s="3">
        <f>tblInventory[[#This Row],[Stock_Quantity]]*tblInventory[[#This Row],[Unit_Price]]</f>
        <v>133</v>
      </c>
      <c r="W577" s="1" t="str">
        <f>IF(tblInventory[[#This Row],[Status]]="Discontinued","INACTIVE",
IF(tblInventory[[#This Row],[Stock_Quantity]] &lt; tblInventory[[#This Row],[Reorder_Level]],"REORDER","OK"))</f>
        <v>OK</v>
      </c>
      <c r="X577" s="1" t="str">
        <f t="shared" ca="1" si="17"/>
        <v>Valid</v>
      </c>
    </row>
    <row r="578" spans="1:24">
      <c r="A578" s="1">
        <v>577</v>
      </c>
      <c r="B578" s="1" t="s">
        <v>3596</v>
      </c>
      <c r="C578" s="1" t="s">
        <v>308</v>
      </c>
      <c r="D578" s="1" t="s">
        <v>100</v>
      </c>
      <c r="E578" s="1" t="s">
        <v>3597</v>
      </c>
      <c r="F578" s="1" t="s">
        <v>347</v>
      </c>
      <c r="G578" s="6">
        <v>93</v>
      </c>
      <c r="H578" s="8">
        <f>tblInventory[[#This Row],[Stock_Quantity]] * tblInventory[[#This Row],[Unit_Price]]</f>
        <v>302.25</v>
      </c>
      <c r="I578" s="1">
        <v>55</v>
      </c>
      <c r="J578" s="1">
        <v>95</v>
      </c>
      <c r="K578" s="8">
        <f>tblInventory[[#This Row],[Reorder_Quantity]]*M578</f>
        <v>308.75</v>
      </c>
      <c r="L578" s="10">
        <f>tblInventory[[#This Row],[Stock_Quantity]] / tblInventory[[#This Row],[Reorder_Quantity]]</f>
        <v>0.97894736842105268</v>
      </c>
      <c r="M578" s="3">
        <v>3.25</v>
      </c>
      <c r="N578" s="10">
        <f t="shared" ref="N578:N641" si="18">G578 / 58.9</f>
        <v>1.5789473684210527</v>
      </c>
      <c r="O578" s="2">
        <v>45963</v>
      </c>
      <c r="P578" s="2">
        <v>45415</v>
      </c>
      <c r="Q578" s="2">
        <v>46573</v>
      </c>
      <c r="R578" s="1" t="s">
        <v>3598</v>
      </c>
      <c r="S578" s="1">
        <v>56</v>
      </c>
      <c r="T578" s="1">
        <v>72</v>
      </c>
      <c r="U578" s="1" t="s">
        <v>38</v>
      </c>
      <c r="V578" s="3">
        <f>tblInventory[[#This Row],[Stock_Quantity]]*tblInventory[[#This Row],[Unit_Price]]</f>
        <v>302.25</v>
      </c>
      <c r="W578" s="1" t="str">
        <f>IF(tblInventory[[#This Row],[Status]]="Discontinued","INACTIVE",
IF(tblInventory[[#This Row],[Stock_Quantity]] &lt; tblInventory[[#This Row],[Reorder_Level]],"REORDER","OK"))</f>
        <v>OK</v>
      </c>
      <c r="X578" s="1" t="str">
        <f t="shared" ref="X578:X641" ca="1" si="19">IF(Q578&lt;TODAY(),"Expired","Valid")</f>
        <v>Valid</v>
      </c>
    </row>
    <row r="579" spans="1:24">
      <c r="A579" s="1">
        <v>578</v>
      </c>
      <c r="B579" s="1" t="s">
        <v>193</v>
      </c>
      <c r="C579" s="1" t="s">
        <v>194</v>
      </c>
      <c r="D579" s="1" t="s">
        <v>49</v>
      </c>
      <c r="E579" s="1" t="s">
        <v>195</v>
      </c>
      <c r="F579" s="1" t="s">
        <v>196</v>
      </c>
      <c r="G579" s="6">
        <v>72</v>
      </c>
      <c r="H579" s="8">
        <f>tblInventory[[#This Row],[Stock_Quantity]] * tblInventory[[#This Row],[Unit_Price]]</f>
        <v>432</v>
      </c>
      <c r="I579" s="1">
        <v>87</v>
      </c>
      <c r="J579" s="1">
        <v>39</v>
      </c>
      <c r="K579" s="8">
        <f>tblInventory[[#This Row],[Reorder_Quantity]]*M579</f>
        <v>234</v>
      </c>
      <c r="L579" s="10">
        <f>tblInventory[[#This Row],[Stock_Quantity]] / tblInventory[[#This Row],[Reorder_Quantity]]</f>
        <v>1.8461538461538463</v>
      </c>
      <c r="M579" s="3">
        <v>6</v>
      </c>
      <c r="N579" s="10">
        <f t="shared" si="18"/>
        <v>1.2224108658743633</v>
      </c>
      <c r="O579" s="1" t="s">
        <v>197</v>
      </c>
      <c r="P579" s="1" t="s">
        <v>198</v>
      </c>
      <c r="Q579" s="2">
        <v>45581</v>
      </c>
      <c r="R579" s="1" t="s">
        <v>200</v>
      </c>
      <c r="S579" s="1">
        <v>94</v>
      </c>
      <c r="T579" s="1">
        <v>57</v>
      </c>
      <c r="U579" s="1" t="s">
        <v>46</v>
      </c>
      <c r="V579" s="3">
        <f>tblInventory[[#This Row],[Stock_Quantity]]*tblInventory[[#This Row],[Unit_Price]]</f>
        <v>432</v>
      </c>
      <c r="W579" s="1" t="str">
        <f>IF(tblInventory[[#This Row],[Status]]="Discontinued","INACTIVE",
IF(tblInventory[[#This Row],[Stock_Quantity]] &lt; tblInventory[[#This Row],[Reorder_Level]],"REORDER","OK"))</f>
        <v>REORDER</v>
      </c>
      <c r="X579" s="1" t="str">
        <f t="shared" ca="1" si="19"/>
        <v>Expired</v>
      </c>
    </row>
    <row r="580" spans="1:24">
      <c r="A580" s="1">
        <v>579</v>
      </c>
      <c r="B580" s="1" t="s">
        <v>1081</v>
      </c>
      <c r="C580" s="1" t="s">
        <v>194</v>
      </c>
      <c r="D580" s="1" t="s">
        <v>49</v>
      </c>
      <c r="E580" s="1" t="s">
        <v>1082</v>
      </c>
      <c r="F580" s="1" t="s">
        <v>121</v>
      </c>
      <c r="G580" s="6">
        <v>51</v>
      </c>
      <c r="H580" s="8">
        <f>tblInventory[[#This Row],[Stock_Quantity]] * tblInventory[[#This Row],[Unit_Price]]</f>
        <v>306</v>
      </c>
      <c r="I580" s="1">
        <v>62</v>
      </c>
      <c r="J580" s="1">
        <v>95</v>
      </c>
      <c r="K580" s="8">
        <f>tblInventory[[#This Row],[Reorder_Quantity]]*M580</f>
        <v>570</v>
      </c>
      <c r="L580" s="10">
        <f>tblInventory[[#This Row],[Stock_Quantity]] / tblInventory[[#This Row],[Reorder_Quantity]]</f>
        <v>0.5368421052631579</v>
      </c>
      <c r="M580" s="3">
        <v>6</v>
      </c>
      <c r="N580" s="10">
        <f t="shared" si="18"/>
        <v>0.86587436332767409</v>
      </c>
      <c r="O580" s="2">
        <v>45477</v>
      </c>
      <c r="P580" s="1" t="s">
        <v>219</v>
      </c>
      <c r="Q580" s="2">
        <v>45760</v>
      </c>
      <c r="R580" s="1" t="s">
        <v>1083</v>
      </c>
      <c r="S580" s="1">
        <v>52</v>
      </c>
      <c r="T580" s="1">
        <v>21</v>
      </c>
      <c r="U580" s="1" t="s">
        <v>46</v>
      </c>
      <c r="V580" s="3">
        <f>tblInventory[[#This Row],[Stock_Quantity]]*tblInventory[[#This Row],[Unit_Price]]</f>
        <v>306</v>
      </c>
      <c r="W580" s="1" t="str">
        <f>IF(tblInventory[[#This Row],[Status]]="Discontinued","INACTIVE",
IF(tblInventory[[#This Row],[Stock_Quantity]] &lt; tblInventory[[#This Row],[Reorder_Level]],"REORDER","OK"))</f>
        <v>REORDER</v>
      </c>
      <c r="X580" s="1" t="str">
        <f t="shared" ca="1" si="19"/>
        <v>Expired</v>
      </c>
    </row>
    <row r="581" spans="1:24">
      <c r="A581" s="1">
        <v>580</v>
      </c>
      <c r="B581" s="1" t="s">
        <v>1108</v>
      </c>
      <c r="C581" s="1" t="s">
        <v>194</v>
      </c>
      <c r="D581" s="1" t="s">
        <v>49</v>
      </c>
      <c r="E581" s="1" t="s">
        <v>1109</v>
      </c>
      <c r="F581" s="1" t="s">
        <v>1110</v>
      </c>
      <c r="G581" s="6">
        <v>35</v>
      </c>
      <c r="H581" s="8">
        <f>tblInventory[[#This Row],[Stock_Quantity]] * tblInventory[[#This Row],[Unit_Price]]</f>
        <v>227.5</v>
      </c>
      <c r="I581" s="1">
        <v>19</v>
      </c>
      <c r="J581" s="1">
        <v>30</v>
      </c>
      <c r="K581" s="8">
        <f>tblInventory[[#This Row],[Reorder_Quantity]]*M581</f>
        <v>195</v>
      </c>
      <c r="L581" s="10">
        <f>tblInventory[[#This Row],[Stock_Quantity]] / tblInventory[[#This Row],[Reorder_Quantity]]</f>
        <v>1.1666666666666667</v>
      </c>
      <c r="M581" s="3">
        <v>6.5</v>
      </c>
      <c r="N581" s="10">
        <f t="shared" si="18"/>
        <v>0.59422750424448223</v>
      </c>
      <c r="O581" s="2">
        <v>45809</v>
      </c>
      <c r="P581" s="1" t="s">
        <v>1111</v>
      </c>
      <c r="Q581" s="2">
        <v>45767</v>
      </c>
      <c r="R581" s="1" t="s">
        <v>1112</v>
      </c>
      <c r="S581" s="1">
        <v>88</v>
      </c>
      <c r="T581" s="1">
        <v>6</v>
      </c>
      <c r="U581" s="1" t="s">
        <v>38</v>
      </c>
      <c r="V581" s="3">
        <f>tblInventory[[#This Row],[Stock_Quantity]]*tblInventory[[#This Row],[Unit_Price]]</f>
        <v>227.5</v>
      </c>
      <c r="W581" s="1" t="str">
        <f>IF(tblInventory[[#This Row],[Status]]="Discontinued","INACTIVE",
IF(tblInventory[[#This Row],[Stock_Quantity]] &lt; tblInventory[[#This Row],[Reorder_Level]],"REORDER","OK"))</f>
        <v>OK</v>
      </c>
      <c r="X581" s="1" t="str">
        <f t="shared" ca="1" si="19"/>
        <v>Expired</v>
      </c>
    </row>
    <row r="582" spans="1:24">
      <c r="A582" s="1">
        <v>581</v>
      </c>
      <c r="B582" s="1" t="s">
        <v>1352</v>
      </c>
      <c r="C582" s="1" t="s">
        <v>194</v>
      </c>
      <c r="D582" s="1" t="s">
        <v>49</v>
      </c>
      <c r="E582" s="1" t="s">
        <v>1353</v>
      </c>
      <c r="F582" s="1" t="s">
        <v>1339</v>
      </c>
      <c r="G582" s="6">
        <v>79</v>
      </c>
      <c r="H582" s="8">
        <f>tblInventory[[#This Row],[Stock_Quantity]] * tblInventory[[#This Row],[Unit_Price]]</f>
        <v>474</v>
      </c>
      <c r="I582" s="1">
        <v>45</v>
      </c>
      <c r="J582" s="1">
        <v>39</v>
      </c>
      <c r="K582" s="8">
        <f>tblInventory[[#This Row],[Reorder_Quantity]]*M582</f>
        <v>234</v>
      </c>
      <c r="L582" s="10">
        <f>tblInventory[[#This Row],[Stock_Quantity]] / tblInventory[[#This Row],[Reorder_Quantity]]</f>
        <v>2.0256410256410255</v>
      </c>
      <c r="M582" s="3">
        <v>6</v>
      </c>
      <c r="N582" s="10">
        <f t="shared" si="18"/>
        <v>1.3412563667232598</v>
      </c>
      <c r="O582" s="1" t="s">
        <v>620</v>
      </c>
      <c r="P582" s="2">
        <v>45484</v>
      </c>
      <c r="Q582" s="2">
        <v>45828</v>
      </c>
      <c r="R582" s="1" t="s">
        <v>1354</v>
      </c>
      <c r="S582" s="1">
        <v>55</v>
      </c>
      <c r="T582" s="1">
        <v>20</v>
      </c>
      <c r="U582" s="1" t="s">
        <v>38</v>
      </c>
      <c r="V582" s="3">
        <f>tblInventory[[#This Row],[Stock_Quantity]]*tblInventory[[#This Row],[Unit_Price]]</f>
        <v>474</v>
      </c>
      <c r="W582" s="1" t="str">
        <f>IF(tblInventory[[#This Row],[Status]]="Discontinued","INACTIVE",
IF(tblInventory[[#This Row],[Stock_Quantity]] &lt; tblInventory[[#This Row],[Reorder_Level]],"REORDER","OK"))</f>
        <v>OK</v>
      </c>
      <c r="X582" s="1" t="str">
        <f t="shared" ca="1" si="19"/>
        <v>Expired</v>
      </c>
    </row>
    <row r="583" spans="1:24">
      <c r="A583" s="1">
        <v>582</v>
      </c>
      <c r="B583" s="1" t="s">
        <v>1756</v>
      </c>
      <c r="C583" s="1" t="s">
        <v>194</v>
      </c>
      <c r="D583" s="1" t="s">
        <v>49</v>
      </c>
      <c r="E583" s="1" t="s">
        <v>1757</v>
      </c>
      <c r="F583" s="1" t="s">
        <v>990</v>
      </c>
      <c r="G583" s="6">
        <v>34</v>
      </c>
      <c r="H583" s="8">
        <f>tblInventory[[#This Row],[Stock_Quantity]] * tblInventory[[#This Row],[Unit_Price]]</f>
        <v>210.8</v>
      </c>
      <c r="I583" s="1">
        <v>1</v>
      </c>
      <c r="J583" s="1">
        <v>79</v>
      </c>
      <c r="K583" s="8">
        <f>tblInventory[[#This Row],[Reorder_Quantity]]*M583</f>
        <v>489.8</v>
      </c>
      <c r="L583" s="10">
        <f>tblInventory[[#This Row],[Stock_Quantity]] / tblInventory[[#This Row],[Reorder_Quantity]]</f>
        <v>0.43037974683544306</v>
      </c>
      <c r="M583" s="3">
        <v>6.2</v>
      </c>
      <c r="N583" s="10">
        <f t="shared" si="18"/>
        <v>0.57724957555178269</v>
      </c>
      <c r="O583" s="2">
        <v>45632</v>
      </c>
      <c r="P583" s="1" t="s">
        <v>213</v>
      </c>
      <c r="Q583" s="2">
        <v>45940</v>
      </c>
      <c r="R583" s="1" t="s">
        <v>1758</v>
      </c>
      <c r="S583" s="1">
        <v>58</v>
      </c>
      <c r="T583" s="1">
        <v>36</v>
      </c>
      <c r="U583" s="1" t="s">
        <v>24</v>
      </c>
      <c r="V583" s="3">
        <f>tblInventory[[#This Row],[Stock_Quantity]]*tblInventory[[#This Row],[Unit_Price]]</f>
        <v>210.8</v>
      </c>
      <c r="W583" s="1" t="str">
        <f>IF(tblInventory[[#This Row],[Status]]="Discontinued","INACTIVE",
IF(tblInventory[[#This Row],[Stock_Quantity]] &lt; tblInventory[[#This Row],[Reorder_Level]],"REORDER","OK"))</f>
        <v>INACTIVE</v>
      </c>
      <c r="X583" s="1" t="str">
        <f t="shared" ca="1" si="19"/>
        <v>Expired</v>
      </c>
    </row>
    <row r="584" spans="1:24">
      <c r="A584" s="1">
        <v>583</v>
      </c>
      <c r="B584" s="1" t="s">
        <v>2537</v>
      </c>
      <c r="C584" s="1" t="s">
        <v>194</v>
      </c>
      <c r="D584" s="1" t="s">
        <v>49</v>
      </c>
      <c r="E584" s="1" t="s">
        <v>2538</v>
      </c>
      <c r="F584" s="1" t="s">
        <v>2539</v>
      </c>
      <c r="G584" s="6">
        <v>24</v>
      </c>
      <c r="H584" s="8">
        <f>tblInventory[[#This Row],[Stock_Quantity]] * tblInventory[[#This Row],[Unit_Price]]</f>
        <v>144</v>
      </c>
      <c r="I584" s="1">
        <v>21</v>
      </c>
      <c r="J584" s="1">
        <v>4</v>
      </c>
      <c r="K584" s="8">
        <f>tblInventory[[#This Row],[Reorder_Quantity]]*M584</f>
        <v>24</v>
      </c>
      <c r="L584" s="10">
        <f>tblInventory[[#This Row],[Stock_Quantity]] / tblInventory[[#This Row],[Reorder_Quantity]]</f>
        <v>6</v>
      </c>
      <c r="M584" s="3">
        <v>6</v>
      </c>
      <c r="N584" s="10">
        <f t="shared" si="18"/>
        <v>0.40747028862478779</v>
      </c>
      <c r="O584" s="2">
        <v>45416</v>
      </c>
      <c r="P584" s="1" t="s">
        <v>1424</v>
      </c>
      <c r="Q584" s="2">
        <v>46179</v>
      </c>
      <c r="R584" s="1" t="s">
        <v>2540</v>
      </c>
      <c r="S584" s="1">
        <v>85</v>
      </c>
      <c r="T584" s="1">
        <v>17</v>
      </c>
      <c r="U584" s="1" t="s">
        <v>38</v>
      </c>
      <c r="V584" s="3">
        <f>tblInventory[[#This Row],[Stock_Quantity]]*tblInventory[[#This Row],[Unit_Price]]</f>
        <v>144</v>
      </c>
      <c r="W584" s="1" t="str">
        <f>IF(tblInventory[[#This Row],[Status]]="Discontinued","INACTIVE",
IF(tblInventory[[#This Row],[Stock_Quantity]] &lt; tblInventory[[#This Row],[Reorder_Level]],"REORDER","OK"))</f>
        <v>OK</v>
      </c>
      <c r="X584" s="1" t="str">
        <f t="shared" ca="1" si="19"/>
        <v>Valid</v>
      </c>
    </row>
    <row r="585" spans="1:24">
      <c r="A585" s="1">
        <v>584</v>
      </c>
      <c r="B585" s="1" t="s">
        <v>3179</v>
      </c>
      <c r="C585" s="1" t="s">
        <v>194</v>
      </c>
      <c r="D585" s="1" t="s">
        <v>49</v>
      </c>
      <c r="E585" s="1" t="s">
        <v>3180</v>
      </c>
      <c r="F585" s="1" t="s">
        <v>553</v>
      </c>
      <c r="G585" s="6">
        <v>65</v>
      </c>
      <c r="H585" s="8">
        <f>tblInventory[[#This Row],[Stock_Quantity]] * tblInventory[[#This Row],[Unit_Price]]</f>
        <v>409.5</v>
      </c>
      <c r="I585" s="1">
        <v>42</v>
      </c>
      <c r="J585" s="1">
        <v>62</v>
      </c>
      <c r="K585" s="8">
        <f>tblInventory[[#This Row],[Reorder_Quantity]]*M585</f>
        <v>390.59999999999997</v>
      </c>
      <c r="L585" s="10">
        <f>tblInventory[[#This Row],[Stock_Quantity]] / tblInventory[[#This Row],[Reorder_Quantity]]</f>
        <v>1.0483870967741935</v>
      </c>
      <c r="M585" s="3">
        <v>6.3</v>
      </c>
      <c r="N585" s="10">
        <f t="shared" si="18"/>
        <v>1.1035653650254669</v>
      </c>
      <c r="O585" s="1" t="s">
        <v>394</v>
      </c>
      <c r="P585" s="1" t="s">
        <v>751</v>
      </c>
      <c r="Q585" s="2">
        <v>46379</v>
      </c>
      <c r="R585" s="1" t="s">
        <v>3181</v>
      </c>
      <c r="S585" s="1">
        <v>54</v>
      </c>
      <c r="T585" s="1">
        <v>2</v>
      </c>
      <c r="U585" s="1" t="s">
        <v>46</v>
      </c>
      <c r="V585" s="3">
        <f>tblInventory[[#This Row],[Stock_Quantity]]*tblInventory[[#This Row],[Unit_Price]]</f>
        <v>409.5</v>
      </c>
      <c r="W585" s="1" t="str">
        <f>IF(tblInventory[[#This Row],[Status]]="Discontinued","INACTIVE",
IF(tblInventory[[#This Row],[Stock_Quantity]] &lt; tblInventory[[#This Row],[Reorder_Level]],"REORDER","OK"))</f>
        <v>OK</v>
      </c>
      <c r="X585" s="1" t="str">
        <f t="shared" ca="1" si="19"/>
        <v>Valid</v>
      </c>
    </row>
    <row r="586" spans="1:24">
      <c r="A586" s="1">
        <v>585</v>
      </c>
      <c r="B586" s="1" t="s">
        <v>3521</v>
      </c>
      <c r="C586" s="1" t="s">
        <v>194</v>
      </c>
      <c r="D586" s="1" t="s">
        <v>49</v>
      </c>
      <c r="E586" s="1" t="s">
        <v>3522</v>
      </c>
      <c r="F586" s="1" t="s">
        <v>1321</v>
      </c>
      <c r="G586" s="6">
        <v>81</v>
      </c>
      <c r="H586" s="8">
        <f>tblInventory[[#This Row],[Stock_Quantity]] * tblInventory[[#This Row],[Unit_Price]]</f>
        <v>506.25</v>
      </c>
      <c r="I586" s="1">
        <v>23</v>
      </c>
      <c r="J586" s="1">
        <v>17</v>
      </c>
      <c r="K586" s="8">
        <f>tblInventory[[#This Row],[Reorder_Quantity]]*M586</f>
        <v>106.25</v>
      </c>
      <c r="L586" s="10">
        <f>tblInventory[[#This Row],[Stock_Quantity]] / tblInventory[[#This Row],[Reorder_Quantity]]</f>
        <v>4.7647058823529411</v>
      </c>
      <c r="M586" s="3">
        <v>6.25</v>
      </c>
      <c r="N586" s="10">
        <f t="shared" si="18"/>
        <v>1.3752122241086588</v>
      </c>
      <c r="O586" s="1" t="s">
        <v>57</v>
      </c>
      <c r="P586" s="2">
        <v>45509</v>
      </c>
      <c r="Q586" s="2">
        <v>46490</v>
      </c>
      <c r="R586" s="1" t="s">
        <v>3523</v>
      </c>
      <c r="S586" s="1">
        <v>92</v>
      </c>
      <c r="T586" s="1">
        <v>78</v>
      </c>
      <c r="U586" s="1" t="s">
        <v>46</v>
      </c>
      <c r="V586" s="3">
        <f>tblInventory[[#This Row],[Stock_Quantity]]*tblInventory[[#This Row],[Unit_Price]]</f>
        <v>506.25</v>
      </c>
      <c r="W586" s="1" t="str">
        <f>IF(tblInventory[[#This Row],[Status]]="Discontinued","INACTIVE",
IF(tblInventory[[#This Row],[Stock_Quantity]] &lt; tblInventory[[#This Row],[Reorder_Level]],"REORDER","OK"))</f>
        <v>OK</v>
      </c>
      <c r="X586" s="1" t="str">
        <f t="shared" ca="1" si="19"/>
        <v>Valid</v>
      </c>
    </row>
    <row r="587" spans="1:24">
      <c r="A587" s="1">
        <v>586</v>
      </c>
      <c r="B587" s="1" t="s">
        <v>201</v>
      </c>
      <c r="C587" s="1" t="s">
        <v>202</v>
      </c>
      <c r="D587" s="1" t="s">
        <v>100</v>
      </c>
      <c r="E587" s="1" t="s">
        <v>203</v>
      </c>
      <c r="F587" s="1" t="s">
        <v>163</v>
      </c>
      <c r="G587" s="6">
        <v>16</v>
      </c>
      <c r="H587" s="8">
        <f>tblInventory[[#This Row],[Stock_Quantity]] * tblInventory[[#This Row],[Unit_Price]]</f>
        <v>80</v>
      </c>
      <c r="I587" s="1">
        <v>9</v>
      </c>
      <c r="J587" s="1">
        <v>32</v>
      </c>
      <c r="K587" s="8">
        <f>tblInventory[[#This Row],[Reorder_Quantity]]*M587</f>
        <v>160</v>
      </c>
      <c r="L587" s="10">
        <f>tblInventory[[#This Row],[Stock_Quantity]] / tblInventory[[#This Row],[Reorder_Quantity]]</f>
        <v>0.5</v>
      </c>
      <c r="M587" s="3">
        <v>5</v>
      </c>
      <c r="N587" s="10">
        <f t="shared" si="18"/>
        <v>0.27164685908319186</v>
      </c>
      <c r="O587" s="1" t="s">
        <v>204</v>
      </c>
      <c r="P587" s="1" t="s">
        <v>205</v>
      </c>
      <c r="Q587" s="2">
        <v>45582</v>
      </c>
      <c r="R587" s="1" t="s">
        <v>206</v>
      </c>
      <c r="S587" s="1">
        <v>50</v>
      </c>
      <c r="T587" s="1">
        <v>98</v>
      </c>
      <c r="U587" s="1" t="s">
        <v>38</v>
      </c>
      <c r="V587" s="3">
        <f>tblInventory[[#This Row],[Stock_Quantity]]*tblInventory[[#This Row],[Unit_Price]]</f>
        <v>80</v>
      </c>
      <c r="W587" s="1" t="str">
        <f>IF(tblInventory[[#This Row],[Status]]="Discontinued","INACTIVE",
IF(tblInventory[[#This Row],[Stock_Quantity]] &lt; tblInventory[[#This Row],[Reorder_Level]],"REORDER","OK"))</f>
        <v>OK</v>
      </c>
      <c r="X587" s="1" t="str">
        <f t="shared" ca="1" si="19"/>
        <v>Expired</v>
      </c>
    </row>
    <row r="588" spans="1:24">
      <c r="A588" s="1">
        <v>587</v>
      </c>
      <c r="B588" s="1" t="s">
        <v>958</v>
      </c>
      <c r="C588" s="1" t="s">
        <v>202</v>
      </c>
      <c r="D588" s="1" t="s">
        <v>100</v>
      </c>
      <c r="E588" s="1" t="s">
        <v>959</v>
      </c>
      <c r="F588" s="1" t="s">
        <v>960</v>
      </c>
      <c r="G588" s="6">
        <v>34</v>
      </c>
      <c r="H588" s="8">
        <f>tblInventory[[#This Row],[Stock_Quantity]] * tblInventory[[#This Row],[Unit_Price]]</f>
        <v>170</v>
      </c>
      <c r="I588" s="1">
        <v>55</v>
      </c>
      <c r="J588" s="1">
        <v>22</v>
      </c>
      <c r="K588" s="8">
        <f>tblInventory[[#This Row],[Reorder_Quantity]]*M588</f>
        <v>110</v>
      </c>
      <c r="L588" s="10">
        <f>tblInventory[[#This Row],[Stock_Quantity]] / tblInventory[[#This Row],[Reorder_Quantity]]</f>
        <v>1.5454545454545454</v>
      </c>
      <c r="M588" s="3">
        <v>5</v>
      </c>
      <c r="N588" s="10">
        <f t="shared" si="18"/>
        <v>0.57724957555178269</v>
      </c>
      <c r="O588" s="2">
        <v>45606</v>
      </c>
      <c r="P588" s="1" t="s">
        <v>21</v>
      </c>
      <c r="Q588" s="2">
        <v>45730</v>
      </c>
      <c r="R588" s="1" t="s">
        <v>961</v>
      </c>
      <c r="S588" s="1">
        <v>77</v>
      </c>
      <c r="T588" s="1">
        <v>85</v>
      </c>
      <c r="U588" s="1" t="s">
        <v>46</v>
      </c>
      <c r="V588" s="3">
        <f>tblInventory[[#This Row],[Stock_Quantity]]*tblInventory[[#This Row],[Unit_Price]]</f>
        <v>170</v>
      </c>
      <c r="W588" s="1" t="str">
        <f>IF(tblInventory[[#This Row],[Status]]="Discontinued","INACTIVE",
IF(tblInventory[[#This Row],[Stock_Quantity]] &lt; tblInventory[[#This Row],[Reorder_Level]],"REORDER","OK"))</f>
        <v>REORDER</v>
      </c>
      <c r="X588" s="1" t="str">
        <f t="shared" ca="1" si="19"/>
        <v>Expired</v>
      </c>
    </row>
    <row r="589" spans="1:24">
      <c r="A589" s="1">
        <v>588</v>
      </c>
      <c r="B589" s="1" t="s">
        <v>2027</v>
      </c>
      <c r="C589" s="1" t="s">
        <v>202</v>
      </c>
      <c r="D589" s="1" t="s">
        <v>100</v>
      </c>
      <c r="E589" s="1" t="s">
        <v>2028</v>
      </c>
      <c r="F589" s="1" t="s">
        <v>565</v>
      </c>
      <c r="G589" s="6">
        <v>93</v>
      </c>
      <c r="H589" s="8">
        <f>tblInventory[[#This Row],[Stock_Quantity]] * tblInventory[[#This Row],[Unit_Price]]</f>
        <v>465</v>
      </c>
      <c r="I589" s="1">
        <v>50</v>
      </c>
      <c r="J589" s="1">
        <v>43</v>
      </c>
      <c r="K589" s="8">
        <f>tblInventory[[#This Row],[Reorder_Quantity]]*M589</f>
        <v>215</v>
      </c>
      <c r="L589" s="10">
        <f>tblInventory[[#This Row],[Stock_Quantity]] / tblInventory[[#This Row],[Reorder_Quantity]]</f>
        <v>2.1627906976744184</v>
      </c>
      <c r="M589" s="3">
        <v>5</v>
      </c>
      <c r="N589" s="10">
        <f t="shared" si="18"/>
        <v>1.5789473684210527</v>
      </c>
      <c r="O589" s="1" t="s">
        <v>1424</v>
      </c>
      <c r="P589" s="1" t="s">
        <v>323</v>
      </c>
      <c r="Q589" s="2">
        <v>46022</v>
      </c>
      <c r="R589" s="1" t="s">
        <v>2029</v>
      </c>
      <c r="S589" s="1">
        <v>76</v>
      </c>
      <c r="T589" s="1">
        <v>35</v>
      </c>
      <c r="U589" s="1" t="s">
        <v>24</v>
      </c>
      <c r="V589" s="3">
        <f>tblInventory[[#This Row],[Stock_Quantity]]*tblInventory[[#This Row],[Unit_Price]]</f>
        <v>465</v>
      </c>
      <c r="W589" s="1" t="str">
        <f>IF(tblInventory[[#This Row],[Status]]="Discontinued","INACTIVE",
IF(tblInventory[[#This Row],[Stock_Quantity]] &lt; tblInventory[[#This Row],[Reorder_Level]],"REORDER","OK"))</f>
        <v>INACTIVE</v>
      </c>
      <c r="X589" s="1" t="str">
        <f t="shared" ca="1" si="19"/>
        <v>Valid</v>
      </c>
    </row>
    <row r="590" spans="1:24">
      <c r="A590" s="1">
        <v>589</v>
      </c>
      <c r="B590" s="1" t="s">
        <v>2135</v>
      </c>
      <c r="C590" s="1" t="s">
        <v>202</v>
      </c>
      <c r="D590" s="1" t="s">
        <v>100</v>
      </c>
      <c r="E590" s="1" t="s">
        <v>2136</v>
      </c>
      <c r="F590" s="1" t="s">
        <v>1221</v>
      </c>
      <c r="G590" s="6">
        <v>82</v>
      </c>
      <c r="H590" s="8">
        <f>tblInventory[[#This Row],[Stock_Quantity]] * tblInventory[[#This Row],[Unit_Price]]</f>
        <v>410</v>
      </c>
      <c r="I590" s="1">
        <v>6</v>
      </c>
      <c r="J590" s="1">
        <v>53</v>
      </c>
      <c r="K590" s="8">
        <f>tblInventory[[#This Row],[Reorder_Quantity]]*M590</f>
        <v>265</v>
      </c>
      <c r="L590" s="10">
        <f>tblInventory[[#This Row],[Stock_Quantity]] / tblInventory[[#This Row],[Reorder_Quantity]]</f>
        <v>1.5471698113207548</v>
      </c>
      <c r="M590" s="3">
        <v>5</v>
      </c>
      <c r="N590" s="10">
        <f t="shared" si="18"/>
        <v>1.3921901528013583</v>
      </c>
      <c r="O590" s="2">
        <v>45484</v>
      </c>
      <c r="P590" s="1" t="s">
        <v>610</v>
      </c>
      <c r="Q590" s="2">
        <v>46083</v>
      </c>
      <c r="R590" s="1" t="s">
        <v>2137</v>
      </c>
      <c r="S590" s="1">
        <v>21</v>
      </c>
      <c r="T590" s="1">
        <v>58</v>
      </c>
      <c r="U590" s="1" t="s">
        <v>46</v>
      </c>
      <c r="V590" s="3">
        <f>tblInventory[[#This Row],[Stock_Quantity]]*tblInventory[[#This Row],[Unit_Price]]</f>
        <v>410</v>
      </c>
      <c r="W590" s="1" t="str">
        <f>IF(tblInventory[[#This Row],[Status]]="Discontinued","INACTIVE",
IF(tblInventory[[#This Row],[Stock_Quantity]] &lt; tblInventory[[#This Row],[Reorder_Level]],"REORDER","OK"))</f>
        <v>OK</v>
      </c>
      <c r="X590" s="1" t="str">
        <f t="shared" ca="1" si="19"/>
        <v>Valid</v>
      </c>
    </row>
    <row r="591" spans="1:24">
      <c r="A591" s="1">
        <v>590</v>
      </c>
      <c r="B591" s="1" t="s">
        <v>2357</v>
      </c>
      <c r="C591" s="1" t="s">
        <v>202</v>
      </c>
      <c r="D591" s="1" t="s">
        <v>100</v>
      </c>
      <c r="E591" s="1" t="s">
        <v>2358</v>
      </c>
      <c r="F591" s="1" t="s">
        <v>1886</v>
      </c>
      <c r="G591" s="6">
        <v>41</v>
      </c>
      <c r="H591" s="8">
        <f>tblInventory[[#This Row],[Stock_Quantity]] * tblInventory[[#This Row],[Unit_Price]]</f>
        <v>205</v>
      </c>
      <c r="I591" s="1">
        <v>21</v>
      </c>
      <c r="J591" s="1">
        <v>47</v>
      </c>
      <c r="K591" s="8">
        <f>tblInventory[[#This Row],[Reorder_Quantity]]*M591</f>
        <v>235</v>
      </c>
      <c r="L591" s="10">
        <f>tblInventory[[#This Row],[Stock_Quantity]] / tblInventory[[#This Row],[Reorder_Quantity]]</f>
        <v>0.87234042553191493</v>
      </c>
      <c r="M591" s="3">
        <v>5</v>
      </c>
      <c r="N591" s="10">
        <f t="shared" si="18"/>
        <v>0.69609507640067914</v>
      </c>
      <c r="O591" s="2">
        <v>45476</v>
      </c>
      <c r="P591" s="2">
        <v>45658</v>
      </c>
      <c r="Q591" s="2">
        <v>46360</v>
      </c>
      <c r="R591" s="1" t="s">
        <v>2359</v>
      </c>
      <c r="S591" s="1">
        <v>50</v>
      </c>
      <c r="T591" s="1">
        <v>99</v>
      </c>
      <c r="U591" s="1" t="s">
        <v>46</v>
      </c>
      <c r="V591" s="3">
        <f>tblInventory[[#This Row],[Stock_Quantity]]*tblInventory[[#This Row],[Unit_Price]]</f>
        <v>205</v>
      </c>
      <c r="W591" s="1" t="str">
        <f>IF(tblInventory[[#This Row],[Status]]="Discontinued","INACTIVE",
IF(tblInventory[[#This Row],[Stock_Quantity]] &lt; tblInventory[[#This Row],[Reorder_Level]],"REORDER","OK"))</f>
        <v>OK</v>
      </c>
      <c r="X591" s="1" t="str">
        <f t="shared" ca="1" si="19"/>
        <v>Valid</v>
      </c>
    </row>
    <row r="592" spans="1:24">
      <c r="A592" s="1">
        <v>591</v>
      </c>
      <c r="B592" s="1" t="s">
        <v>2702</v>
      </c>
      <c r="C592" s="1" t="s">
        <v>202</v>
      </c>
      <c r="D592" s="1" t="s">
        <v>100</v>
      </c>
      <c r="E592" s="1" t="s">
        <v>2703</v>
      </c>
      <c r="F592" s="1" t="s">
        <v>750</v>
      </c>
      <c r="G592" s="6">
        <v>28</v>
      </c>
      <c r="H592" s="8">
        <f>tblInventory[[#This Row],[Stock_Quantity]] * tblInventory[[#This Row],[Unit_Price]]</f>
        <v>140</v>
      </c>
      <c r="I592" s="1">
        <v>62</v>
      </c>
      <c r="J592" s="1">
        <v>81</v>
      </c>
      <c r="K592" s="8">
        <f>tblInventory[[#This Row],[Reorder_Quantity]]*M592</f>
        <v>405</v>
      </c>
      <c r="L592" s="10">
        <f>tblInventory[[#This Row],[Stock_Quantity]] / tblInventory[[#This Row],[Reorder_Quantity]]</f>
        <v>0.34567901234567899</v>
      </c>
      <c r="M592" s="3">
        <v>5</v>
      </c>
      <c r="N592" s="10">
        <f t="shared" si="18"/>
        <v>0.47538200339558573</v>
      </c>
      <c r="O592" s="1" t="s">
        <v>866</v>
      </c>
      <c r="P592" s="1" t="s">
        <v>1060</v>
      </c>
      <c r="Q592" s="2">
        <v>46230</v>
      </c>
      <c r="R592" s="1" t="s">
        <v>2704</v>
      </c>
      <c r="S592" s="1">
        <v>28</v>
      </c>
      <c r="T592" s="1">
        <v>30</v>
      </c>
      <c r="U592" s="1" t="s">
        <v>24</v>
      </c>
      <c r="V592" s="3">
        <f>tblInventory[[#This Row],[Stock_Quantity]]*tblInventory[[#This Row],[Unit_Price]]</f>
        <v>140</v>
      </c>
      <c r="W592" s="1" t="str">
        <f>IF(tblInventory[[#This Row],[Status]]="Discontinued","INACTIVE",
IF(tblInventory[[#This Row],[Stock_Quantity]] &lt; tblInventory[[#This Row],[Reorder_Level]],"REORDER","OK"))</f>
        <v>INACTIVE</v>
      </c>
      <c r="X592" s="1" t="str">
        <f t="shared" ca="1" si="19"/>
        <v>Valid</v>
      </c>
    </row>
    <row r="593" spans="1:24">
      <c r="A593" s="1">
        <v>592</v>
      </c>
      <c r="B593" s="1" t="s">
        <v>228</v>
      </c>
      <c r="C593" s="1" t="s">
        <v>229</v>
      </c>
      <c r="D593" s="1" t="s">
        <v>61</v>
      </c>
      <c r="E593" s="1" t="s">
        <v>230</v>
      </c>
      <c r="F593" s="1" t="s">
        <v>231</v>
      </c>
      <c r="G593" s="6">
        <v>47</v>
      </c>
      <c r="H593" s="8">
        <f>tblInventory[[#This Row],[Stock_Quantity]] * tblInventory[[#This Row],[Unit_Price]]</f>
        <v>282</v>
      </c>
      <c r="I593" s="1">
        <v>48</v>
      </c>
      <c r="J593" s="1">
        <v>73</v>
      </c>
      <c r="K593" s="8">
        <f>tblInventory[[#This Row],[Reorder_Quantity]]*M593</f>
        <v>438</v>
      </c>
      <c r="L593" s="10">
        <f>tblInventory[[#This Row],[Stock_Quantity]] / tblInventory[[#This Row],[Reorder_Quantity]]</f>
        <v>0.64383561643835618</v>
      </c>
      <c r="M593" s="3">
        <v>6</v>
      </c>
      <c r="N593" s="10">
        <f t="shared" si="18"/>
        <v>0.79796264855687604</v>
      </c>
      <c r="O593" s="1" t="s">
        <v>232</v>
      </c>
      <c r="P593" s="1" t="s">
        <v>233</v>
      </c>
      <c r="Q593" s="2">
        <v>45586</v>
      </c>
      <c r="R593" s="1" t="s">
        <v>234</v>
      </c>
      <c r="S593" s="1">
        <v>42</v>
      </c>
      <c r="T593" s="1">
        <v>51</v>
      </c>
      <c r="U593" s="1" t="s">
        <v>24</v>
      </c>
      <c r="V593" s="3">
        <f>tblInventory[[#This Row],[Stock_Quantity]]*tblInventory[[#This Row],[Unit_Price]]</f>
        <v>282</v>
      </c>
      <c r="W593" s="1" t="str">
        <f>IF(tblInventory[[#This Row],[Status]]="Discontinued","INACTIVE",
IF(tblInventory[[#This Row],[Stock_Quantity]] &lt; tblInventory[[#This Row],[Reorder_Level]],"REORDER","OK"))</f>
        <v>INACTIVE</v>
      </c>
      <c r="X593" s="1" t="str">
        <f t="shared" ca="1" si="19"/>
        <v>Expired</v>
      </c>
    </row>
    <row r="594" spans="1:24">
      <c r="A594" s="1">
        <v>593</v>
      </c>
      <c r="B594" s="1" t="s">
        <v>391</v>
      </c>
      <c r="C594" s="1" t="s">
        <v>229</v>
      </c>
      <c r="D594" s="1" t="s">
        <v>61</v>
      </c>
      <c r="E594" s="1" t="s">
        <v>392</v>
      </c>
      <c r="F594" s="1" t="s">
        <v>393</v>
      </c>
      <c r="G594" s="6">
        <v>28</v>
      </c>
      <c r="H594" s="8">
        <f>tblInventory[[#This Row],[Stock_Quantity]] * tblInventory[[#This Row],[Unit_Price]]</f>
        <v>168</v>
      </c>
      <c r="I594" s="1">
        <v>17</v>
      </c>
      <c r="J594" s="1">
        <v>28</v>
      </c>
      <c r="K594" s="8">
        <f>tblInventory[[#This Row],[Reorder_Quantity]]*M594</f>
        <v>168</v>
      </c>
      <c r="L594" s="10">
        <f>tblInventory[[#This Row],[Stock_Quantity]] / tblInventory[[#This Row],[Reorder_Quantity]]</f>
        <v>1</v>
      </c>
      <c r="M594" s="3">
        <v>6</v>
      </c>
      <c r="N594" s="10">
        <f t="shared" si="18"/>
        <v>0.47538200339558573</v>
      </c>
      <c r="O594" s="1" t="s">
        <v>394</v>
      </c>
      <c r="P594" s="1" t="s">
        <v>395</v>
      </c>
      <c r="Q594" s="2">
        <v>45613</v>
      </c>
      <c r="R594" s="1" t="s">
        <v>397</v>
      </c>
      <c r="S594" s="1">
        <v>38</v>
      </c>
      <c r="T594" s="1">
        <v>25</v>
      </c>
      <c r="U594" s="1" t="s">
        <v>46</v>
      </c>
      <c r="V594" s="3">
        <f>tblInventory[[#This Row],[Stock_Quantity]]*tblInventory[[#This Row],[Unit_Price]]</f>
        <v>168</v>
      </c>
      <c r="W594" s="1" t="str">
        <f>IF(tblInventory[[#This Row],[Status]]="Discontinued","INACTIVE",
IF(tblInventory[[#This Row],[Stock_Quantity]] &lt; tblInventory[[#This Row],[Reorder_Level]],"REORDER","OK"))</f>
        <v>OK</v>
      </c>
      <c r="X594" s="1" t="str">
        <f t="shared" ca="1" si="19"/>
        <v>Expired</v>
      </c>
    </row>
    <row r="595" spans="1:24">
      <c r="A595" s="1">
        <v>594</v>
      </c>
      <c r="B595" s="1" t="s">
        <v>415</v>
      </c>
      <c r="C595" s="1" t="s">
        <v>229</v>
      </c>
      <c r="D595" s="1" t="s">
        <v>61</v>
      </c>
      <c r="E595" s="1" t="s">
        <v>416</v>
      </c>
      <c r="F595" s="1" t="s">
        <v>245</v>
      </c>
      <c r="G595" s="6">
        <v>100</v>
      </c>
      <c r="H595" s="8">
        <f>tblInventory[[#This Row],[Stock_Quantity]] * tblInventory[[#This Row],[Unit_Price]]</f>
        <v>600</v>
      </c>
      <c r="I595" s="1">
        <v>92</v>
      </c>
      <c r="J595" s="1">
        <v>26</v>
      </c>
      <c r="K595" s="8">
        <f>tblInventory[[#This Row],[Reorder_Quantity]]*M595</f>
        <v>156</v>
      </c>
      <c r="L595" s="10">
        <f>tblInventory[[#This Row],[Stock_Quantity]] / tblInventory[[#This Row],[Reorder_Quantity]]</f>
        <v>3.8461538461538463</v>
      </c>
      <c r="M595" s="3">
        <v>6</v>
      </c>
      <c r="N595" s="10">
        <f t="shared" si="18"/>
        <v>1.6977928692699491</v>
      </c>
      <c r="O595" s="2">
        <v>45417</v>
      </c>
      <c r="P595" s="1" t="s">
        <v>417</v>
      </c>
      <c r="Q595" s="2">
        <v>45617</v>
      </c>
      <c r="R595" s="1" t="s">
        <v>418</v>
      </c>
      <c r="S595" s="1">
        <v>84</v>
      </c>
      <c r="T595" s="1">
        <v>9</v>
      </c>
      <c r="U595" s="1" t="s">
        <v>46</v>
      </c>
      <c r="V595" s="3">
        <f>tblInventory[[#This Row],[Stock_Quantity]]*tblInventory[[#This Row],[Unit_Price]]</f>
        <v>600</v>
      </c>
      <c r="W595" s="1" t="str">
        <f>IF(tblInventory[[#This Row],[Status]]="Discontinued","INACTIVE",
IF(tblInventory[[#This Row],[Stock_Quantity]] &lt; tblInventory[[#This Row],[Reorder_Level]],"REORDER","OK"))</f>
        <v>OK</v>
      </c>
      <c r="X595" s="1" t="str">
        <f t="shared" ca="1" si="19"/>
        <v>Expired</v>
      </c>
    </row>
    <row r="596" spans="1:24">
      <c r="A596" s="1">
        <v>595</v>
      </c>
      <c r="B596" s="1" t="s">
        <v>1077</v>
      </c>
      <c r="C596" s="1" t="s">
        <v>229</v>
      </c>
      <c r="D596" s="1" t="s">
        <v>61</v>
      </c>
      <c r="E596" s="1" t="s">
        <v>1078</v>
      </c>
      <c r="F596" s="1" t="s">
        <v>291</v>
      </c>
      <c r="G596" s="6">
        <v>52</v>
      </c>
      <c r="H596" s="8">
        <f>tblInventory[[#This Row],[Stock_Quantity]] * tblInventory[[#This Row],[Unit_Price]]</f>
        <v>312</v>
      </c>
      <c r="I596" s="1">
        <v>88</v>
      </c>
      <c r="J596" s="1">
        <v>55</v>
      </c>
      <c r="K596" s="8">
        <f>tblInventory[[#This Row],[Reorder_Quantity]]*M596</f>
        <v>330</v>
      </c>
      <c r="L596" s="10">
        <f>tblInventory[[#This Row],[Stock_Quantity]] / tblInventory[[#This Row],[Reorder_Quantity]]</f>
        <v>0.94545454545454544</v>
      </c>
      <c r="M596" s="3">
        <v>6</v>
      </c>
      <c r="N596" s="10">
        <f t="shared" si="18"/>
        <v>0.88285229202037352</v>
      </c>
      <c r="O596" s="1" t="s">
        <v>1079</v>
      </c>
      <c r="P596" s="2">
        <v>45417</v>
      </c>
      <c r="Q596" s="2">
        <v>45995</v>
      </c>
      <c r="R596" s="1" t="s">
        <v>1080</v>
      </c>
      <c r="S596" s="1">
        <v>100</v>
      </c>
      <c r="T596" s="1">
        <v>46</v>
      </c>
      <c r="U596" s="1" t="s">
        <v>24</v>
      </c>
      <c r="V596" s="3">
        <f>tblInventory[[#This Row],[Stock_Quantity]]*tblInventory[[#This Row],[Unit_Price]]</f>
        <v>312</v>
      </c>
      <c r="W596" s="1" t="str">
        <f>IF(tblInventory[[#This Row],[Status]]="Discontinued","INACTIVE",
IF(tblInventory[[#This Row],[Stock_Quantity]] &lt; tblInventory[[#This Row],[Reorder_Level]],"REORDER","OK"))</f>
        <v>INACTIVE</v>
      </c>
      <c r="X596" s="1" t="str">
        <f t="shared" ca="1" si="19"/>
        <v>Valid</v>
      </c>
    </row>
    <row r="597" spans="1:24">
      <c r="A597" s="1">
        <v>596</v>
      </c>
      <c r="B597" s="1" t="s">
        <v>1333</v>
      </c>
      <c r="C597" s="1" t="s">
        <v>229</v>
      </c>
      <c r="D597" s="1" t="s">
        <v>61</v>
      </c>
      <c r="E597" s="1" t="s">
        <v>1334</v>
      </c>
      <c r="F597" s="1" t="s">
        <v>1335</v>
      </c>
      <c r="G597" s="6">
        <v>83</v>
      </c>
      <c r="H597" s="8">
        <f>tblInventory[[#This Row],[Stock_Quantity]] * tblInventory[[#This Row],[Unit_Price]]</f>
        <v>498</v>
      </c>
      <c r="I597" s="1">
        <v>52</v>
      </c>
      <c r="J597" s="1">
        <v>32</v>
      </c>
      <c r="K597" s="8">
        <f>tblInventory[[#This Row],[Reorder_Quantity]]*M597</f>
        <v>192</v>
      </c>
      <c r="L597" s="10">
        <f>tblInventory[[#This Row],[Stock_Quantity]] / tblInventory[[#This Row],[Reorder_Quantity]]</f>
        <v>2.59375</v>
      </c>
      <c r="M597" s="3">
        <v>6</v>
      </c>
      <c r="N597" s="10">
        <f t="shared" si="18"/>
        <v>1.4091680814940577</v>
      </c>
      <c r="O597" s="1" t="s">
        <v>358</v>
      </c>
      <c r="P597" s="1" t="s">
        <v>850</v>
      </c>
      <c r="Q597" s="2">
        <v>45823</v>
      </c>
      <c r="R597" s="1" t="s">
        <v>1336</v>
      </c>
      <c r="S597" s="1">
        <v>47</v>
      </c>
      <c r="T597" s="1">
        <v>7</v>
      </c>
      <c r="U597" s="1" t="s">
        <v>46</v>
      </c>
      <c r="V597" s="3">
        <f>tblInventory[[#This Row],[Stock_Quantity]]*tblInventory[[#This Row],[Unit_Price]]</f>
        <v>498</v>
      </c>
      <c r="W597" s="1" t="str">
        <f>IF(tblInventory[[#This Row],[Status]]="Discontinued","INACTIVE",
IF(tblInventory[[#This Row],[Stock_Quantity]] &lt; tblInventory[[#This Row],[Reorder_Level]],"REORDER","OK"))</f>
        <v>OK</v>
      </c>
      <c r="X597" s="1" t="str">
        <f t="shared" ca="1" si="19"/>
        <v>Expired</v>
      </c>
    </row>
    <row r="598" spans="1:24">
      <c r="A598" s="1">
        <v>597</v>
      </c>
      <c r="B598" s="1" t="s">
        <v>3107</v>
      </c>
      <c r="C598" s="1" t="s">
        <v>229</v>
      </c>
      <c r="D598" s="1" t="s">
        <v>61</v>
      </c>
      <c r="E598" s="1" t="s">
        <v>3108</v>
      </c>
      <c r="F598" s="1" t="s">
        <v>1677</v>
      </c>
      <c r="G598" s="6">
        <v>36</v>
      </c>
      <c r="H598" s="8">
        <f>tblInventory[[#This Row],[Stock_Quantity]] * tblInventory[[#This Row],[Unit_Price]]</f>
        <v>216</v>
      </c>
      <c r="I598" s="1">
        <v>3</v>
      </c>
      <c r="J598" s="1">
        <v>54</v>
      </c>
      <c r="K598" s="8">
        <f>tblInventory[[#This Row],[Reorder_Quantity]]*M598</f>
        <v>324</v>
      </c>
      <c r="L598" s="10">
        <f>tblInventory[[#This Row],[Stock_Quantity]] / tblInventory[[#This Row],[Reorder_Quantity]]</f>
        <v>0.66666666666666663</v>
      </c>
      <c r="M598" s="3">
        <v>6</v>
      </c>
      <c r="N598" s="10">
        <f t="shared" si="18"/>
        <v>0.61120543293718166</v>
      </c>
      <c r="O598" s="2">
        <v>45354</v>
      </c>
      <c r="P598" s="1" t="s">
        <v>1310</v>
      </c>
      <c r="Q598" s="2">
        <v>46356</v>
      </c>
      <c r="R598" s="1" t="s">
        <v>3109</v>
      </c>
      <c r="S598" s="1">
        <v>74</v>
      </c>
      <c r="T598" s="1">
        <v>8</v>
      </c>
      <c r="U598" s="1" t="s">
        <v>24</v>
      </c>
      <c r="V598" s="3">
        <f>tblInventory[[#This Row],[Stock_Quantity]]*tblInventory[[#This Row],[Unit_Price]]</f>
        <v>216</v>
      </c>
      <c r="W598" s="1" t="str">
        <f>IF(tblInventory[[#This Row],[Status]]="Discontinued","INACTIVE",
IF(tblInventory[[#This Row],[Stock_Quantity]] &lt; tblInventory[[#This Row],[Reorder_Level]],"REORDER","OK"))</f>
        <v>INACTIVE</v>
      </c>
      <c r="X598" s="1" t="str">
        <f t="shared" ca="1" si="19"/>
        <v>Valid</v>
      </c>
    </row>
    <row r="599" spans="1:24">
      <c r="A599" s="1">
        <v>598</v>
      </c>
      <c r="B599" s="1" t="s">
        <v>249</v>
      </c>
      <c r="C599" s="1" t="s">
        <v>250</v>
      </c>
      <c r="D599" s="1" t="s">
        <v>49</v>
      </c>
      <c r="E599" s="1" t="s">
        <v>251</v>
      </c>
      <c r="F599" s="1" t="s">
        <v>252</v>
      </c>
      <c r="G599" s="6">
        <v>39</v>
      </c>
      <c r="H599" s="8">
        <f>tblInventory[[#This Row],[Stock_Quantity]] * tblInventory[[#This Row],[Unit_Price]]</f>
        <v>78</v>
      </c>
      <c r="I599" s="1">
        <v>22</v>
      </c>
      <c r="J599" s="1">
        <v>73</v>
      </c>
      <c r="K599" s="8">
        <f>tblInventory[[#This Row],[Reorder_Quantity]]*M599</f>
        <v>146</v>
      </c>
      <c r="L599" s="10">
        <f>tblInventory[[#This Row],[Stock_Quantity]] / tblInventory[[#This Row],[Reorder_Quantity]]</f>
        <v>0.53424657534246578</v>
      </c>
      <c r="M599" s="3">
        <v>2</v>
      </c>
      <c r="N599" s="10">
        <f t="shared" si="18"/>
        <v>0.66213921901528017</v>
      </c>
      <c r="O599" s="2">
        <v>45602</v>
      </c>
      <c r="P599" s="1" t="s">
        <v>253</v>
      </c>
      <c r="Q599" s="2">
        <v>45589</v>
      </c>
      <c r="R599" s="1" t="s">
        <v>254</v>
      </c>
      <c r="S599" s="1">
        <v>60</v>
      </c>
      <c r="T599" s="1">
        <v>2</v>
      </c>
      <c r="U599" s="1" t="s">
        <v>46</v>
      </c>
      <c r="V599" s="3">
        <f>tblInventory[[#This Row],[Stock_Quantity]]*tblInventory[[#This Row],[Unit_Price]]</f>
        <v>78</v>
      </c>
      <c r="W599" s="1" t="str">
        <f>IF(tblInventory[[#This Row],[Status]]="Discontinued","INACTIVE",
IF(tblInventory[[#This Row],[Stock_Quantity]] &lt; tblInventory[[#This Row],[Reorder_Level]],"REORDER","OK"))</f>
        <v>OK</v>
      </c>
      <c r="X599" s="1" t="str">
        <f t="shared" ca="1" si="19"/>
        <v>Expired</v>
      </c>
    </row>
    <row r="600" spans="1:24">
      <c r="A600" s="1">
        <v>599</v>
      </c>
      <c r="B600" s="1" t="s">
        <v>473</v>
      </c>
      <c r="C600" s="1" t="s">
        <v>250</v>
      </c>
      <c r="D600" s="1" t="s">
        <v>49</v>
      </c>
      <c r="E600" s="1" t="s">
        <v>474</v>
      </c>
      <c r="F600" s="1" t="s">
        <v>475</v>
      </c>
      <c r="G600" s="6">
        <v>35</v>
      </c>
      <c r="H600" s="8">
        <f>tblInventory[[#This Row],[Stock_Quantity]] * tblInventory[[#This Row],[Unit_Price]]</f>
        <v>70</v>
      </c>
      <c r="I600" s="1">
        <v>92</v>
      </c>
      <c r="J600" s="1">
        <v>74</v>
      </c>
      <c r="K600" s="8">
        <f>tblInventory[[#This Row],[Reorder_Quantity]]*M600</f>
        <v>148</v>
      </c>
      <c r="L600" s="10">
        <f>tblInventory[[#This Row],[Stock_Quantity]] / tblInventory[[#This Row],[Reorder_Quantity]]</f>
        <v>0.47297297297297297</v>
      </c>
      <c r="M600" s="3">
        <v>2</v>
      </c>
      <c r="N600" s="10">
        <f t="shared" si="18"/>
        <v>0.59422750424448223</v>
      </c>
      <c r="O600" s="1" t="s">
        <v>286</v>
      </c>
      <c r="P600" s="2">
        <v>45718</v>
      </c>
      <c r="Q600" s="2">
        <v>45334</v>
      </c>
      <c r="R600" s="1" t="s">
        <v>476</v>
      </c>
      <c r="S600" s="1">
        <v>76</v>
      </c>
      <c r="T600" s="1">
        <v>32</v>
      </c>
      <c r="U600" s="1" t="s">
        <v>46</v>
      </c>
      <c r="V600" s="3">
        <f>tblInventory[[#This Row],[Stock_Quantity]]*tblInventory[[#This Row],[Unit_Price]]</f>
        <v>70</v>
      </c>
      <c r="W600" s="1" t="str">
        <f>IF(tblInventory[[#This Row],[Status]]="Discontinued","INACTIVE",
IF(tblInventory[[#This Row],[Stock_Quantity]] &lt; tblInventory[[#This Row],[Reorder_Level]],"REORDER","OK"))</f>
        <v>REORDER</v>
      </c>
      <c r="X600" s="1" t="str">
        <f t="shared" ca="1" si="19"/>
        <v>Expired</v>
      </c>
    </row>
    <row r="601" spans="1:24">
      <c r="A601" s="1">
        <v>600</v>
      </c>
      <c r="B601" s="1" t="s">
        <v>1426</v>
      </c>
      <c r="C601" s="1" t="s">
        <v>250</v>
      </c>
      <c r="D601" s="1" t="s">
        <v>49</v>
      </c>
      <c r="E601" s="1" t="s">
        <v>1427</v>
      </c>
      <c r="F601" s="1" t="s">
        <v>1428</v>
      </c>
      <c r="G601" s="6">
        <v>34</v>
      </c>
      <c r="H601" s="8">
        <f>tblInventory[[#This Row],[Stock_Quantity]] * tblInventory[[#This Row],[Unit_Price]]</f>
        <v>68</v>
      </c>
      <c r="I601" s="1">
        <v>29</v>
      </c>
      <c r="J601" s="1">
        <v>65</v>
      </c>
      <c r="K601" s="8">
        <f>tblInventory[[#This Row],[Reorder_Quantity]]*M601</f>
        <v>130</v>
      </c>
      <c r="L601" s="10">
        <f>tblInventory[[#This Row],[Stock_Quantity]] / tblInventory[[#This Row],[Reorder_Quantity]]</f>
        <v>0.52307692307692311</v>
      </c>
      <c r="M601" s="3">
        <v>2</v>
      </c>
      <c r="N601" s="10">
        <f t="shared" si="18"/>
        <v>0.57724957555178269</v>
      </c>
      <c r="O601" s="2">
        <v>45356</v>
      </c>
      <c r="P601" s="2">
        <v>45392</v>
      </c>
      <c r="Q601" s="2">
        <v>45907</v>
      </c>
      <c r="R601" s="1" t="s">
        <v>1429</v>
      </c>
      <c r="S601" s="1">
        <v>90</v>
      </c>
      <c r="T601" s="1">
        <v>23</v>
      </c>
      <c r="U601" s="1" t="s">
        <v>24</v>
      </c>
      <c r="V601" s="3">
        <f>tblInventory[[#This Row],[Stock_Quantity]]*tblInventory[[#This Row],[Unit_Price]]</f>
        <v>68</v>
      </c>
      <c r="W601" s="1" t="str">
        <f>IF(tblInventory[[#This Row],[Status]]="Discontinued","INACTIVE",
IF(tblInventory[[#This Row],[Stock_Quantity]] &lt; tblInventory[[#This Row],[Reorder_Level]],"REORDER","OK"))</f>
        <v>INACTIVE</v>
      </c>
      <c r="X601" s="1" t="str">
        <f t="shared" ca="1" si="19"/>
        <v>Expired</v>
      </c>
    </row>
    <row r="602" spans="1:24">
      <c r="A602" s="1">
        <v>601</v>
      </c>
      <c r="B602" s="1" t="s">
        <v>1686</v>
      </c>
      <c r="C602" s="1" t="s">
        <v>250</v>
      </c>
      <c r="D602" s="1" t="s">
        <v>49</v>
      </c>
      <c r="E602" s="1" t="s">
        <v>1687</v>
      </c>
      <c r="F602" s="1" t="s">
        <v>1688</v>
      </c>
      <c r="G602" s="6">
        <v>50</v>
      </c>
      <c r="H602" s="8">
        <f>tblInventory[[#This Row],[Stock_Quantity]] * tblInventory[[#This Row],[Unit_Price]]</f>
        <v>100</v>
      </c>
      <c r="I602" s="1">
        <v>20</v>
      </c>
      <c r="J602" s="1">
        <v>74</v>
      </c>
      <c r="K602" s="8">
        <f>tblInventory[[#This Row],[Reorder_Quantity]]*M602</f>
        <v>148</v>
      </c>
      <c r="L602" s="10">
        <f>tblInventory[[#This Row],[Stock_Quantity]] / tblInventory[[#This Row],[Reorder_Quantity]]</f>
        <v>0.67567567567567566</v>
      </c>
      <c r="M602" s="3">
        <v>2</v>
      </c>
      <c r="N602" s="10">
        <f t="shared" si="18"/>
        <v>0.84889643463497455</v>
      </c>
      <c r="O602" s="1" t="s">
        <v>785</v>
      </c>
      <c r="P602" s="2">
        <v>45359</v>
      </c>
      <c r="Q602" s="2">
        <v>45919</v>
      </c>
      <c r="R602" s="1" t="s">
        <v>1689</v>
      </c>
      <c r="S602" s="1">
        <v>30</v>
      </c>
      <c r="T602" s="1">
        <v>57</v>
      </c>
      <c r="U602" s="1" t="s">
        <v>38</v>
      </c>
      <c r="V602" s="3">
        <f>tblInventory[[#This Row],[Stock_Quantity]]*tblInventory[[#This Row],[Unit_Price]]</f>
        <v>100</v>
      </c>
      <c r="W602" s="1" t="str">
        <f>IF(tblInventory[[#This Row],[Status]]="Discontinued","INACTIVE",
IF(tblInventory[[#This Row],[Stock_Quantity]] &lt; tblInventory[[#This Row],[Reorder_Level]],"REORDER","OK"))</f>
        <v>OK</v>
      </c>
      <c r="X602" s="1" t="str">
        <f t="shared" ca="1" si="19"/>
        <v>Expired</v>
      </c>
    </row>
    <row r="603" spans="1:24">
      <c r="A603" s="1">
        <v>602</v>
      </c>
      <c r="B603" s="1" t="s">
        <v>2068</v>
      </c>
      <c r="C603" s="1" t="s">
        <v>250</v>
      </c>
      <c r="D603" s="1" t="s">
        <v>49</v>
      </c>
      <c r="E603" s="1" t="s">
        <v>2069</v>
      </c>
      <c r="F603" s="1" t="s">
        <v>1124</v>
      </c>
      <c r="G603" s="6">
        <v>68</v>
      </c>
      <c r="H603" s="8">
        <f>tblInventory[[#This Row],[Stock_Quantity]] * tblInventory[[#This Row],[Unit_Price]]</f>
        <v>136</v>
      </c>
      <c r="I603" s="1">
        <v>10</v>
      </c>
      <c r="J603" s="1">
        <v>29</v>
      </c>
      <c r="K603" s="8">
        <f>tblInventory[[#This Row],[Reorder_Quantity]]*M603</f>
        <v>58</v>
      </c>
      <c r="L603" s="10">
        <f>tblInventory[[#This Row],[Stock_Quantity]] / tblInventory[[#This Row],[Reorder_Quantity]]</f>
        <v>2.3448275862068964</v>
      </c>
      <c r="M603" s="3">
        <v>2</v>
      </c>
      <c r="N603" s="10">
        <f t="shared" si="18"/>
        <v>1.1544991511035654</v>
      </c>
      <c r="O603" s="1" t="s">
        <v>923</v>
      </c>
      <c r="P603" s="2">
        <v>45479</v>
      </c>
      <c r="Q603" s="2">
        <v>46035</v>
      </c>
      <c r="R603" s="1" t="s">
        <v>2070</v>
      </c>
      <c r="S603" s="1">
        <v>37</v>
      </c>
      <c r="T603" s="1">
        <v>11</v>
      </c>
      <c r="U603" s="1" t="s">
        <v>24</v>
      </c>
      <c r="V603" s="3">
        <f>tblInventory[[#This Row],[Stock_Quantity]]*tblInventory[[#This Row],[Unit_Price]]</f>
        <v>136</v>
      </c>
      <c r="W603" s="1" t="str">
        <f>IF(tblInventory[[#This Row],[Status]]="Discontinued","INACTIVE",
IF(tblInventory[[#This Row],[Stock_Quantity]] &lt; tblInventory[[#This Row],[Reorder_Level]],"REORDER","OK"))</f>
        <v>INACTIVE</v>
      </c>
      <c r="X603" s="1" t="str">
        <f t="shared" ca="1" si="19"/>
        <v>Valid</v>
      </c>
    </row>
    <row r="604" spans="1:24">
      <c r="A604" s="1">
        <v>603</v>
      </c>
      <c r="B604" s="1" t="s">
        <v>2541</v>
      </c>
      <c r="C604" s="1" t="s">
        <v>250</v>
      </c>
      <c r="D604" s="1" t="s">
        <v>49</v>
      </c>
      <c r="E604" s="1" t="s">
        <v>2542</v>
      </c>
      <c r="F604" s="1" t="s">
        <v>1012</v>
      </c>
      <c r="G604" s="6">
        <v>16</v>
      </c>
      <c r="H604" s="8">
        <f>tblInventory[[#This Row],[Stock_Quantity]] * tblInventory[[#This Row],[Unit_Price]]</f>
        <v>32</v>
      </c>
      <c r="I604" s="1">
        <v>75</v>
      </c>
      <c r="J604" s="1">
        <v>42</v>
      </c>
      <c r="K604" s="8">
        <f>tblInventory[[#This Row],[Reorder_Quantity]]*M604</f>
        <v>84</v>
      </c>
      <c r="L604" s="10">
        <f>tblInventory[[#This Row],[Stock_Quantity]] / tblInventory[[#This Row],[Reorder_Quantity]]</f>
        <v>0.38095238095238093</v>
      </c>
      <c r="M604" s="3">
        <v>2</v>
      </c>
      <c r="N604" s="10">
        <f t="shared" si="18"/>
        <v>0.27164685908319186</v>
      </c>
      <c r="O604" s="1" t="s">
        <v>253</v>
      </c>
      <c r="P604" s="1" t="s">
        <v>519</v>
      </c>
      <c r="Q604" s="2">
        <v>46209</v>
      </c>
      <c r="R604" s="1" t="s">
        <v>2543</v>
      </c>
      <c r="S604" s="1">
        <v>22</v>
      </c>
      <c r="T604" s="1">
        <v>46</v>
      </c>
      <c r="U604" s="1" t="s">
        <v>46</v>
      </c>
      <c r="V604" s="3">
        <f>tblInventory[[#This Row],[Stock_Quantity]]*tblInventory[[#This Row],[Unit_Price]]</f>
        <v>32</v>
      </c>
      <c r="W604" s="1" t="str">
        <f>IF(tblInventory[[#This Row],[Status]]="Discontinued","INACTIVE",
IF(tblInventory[[#This Row],[Stock_Quantity]] &lt; tblInventory[[#This Row],[Reorder_Level]],"REORDER","OK"))</f>
        <v>REORDER</v>
      </c>
      <c r="X604" s="1" t="str">
        <f t="shared" ca="1" si="19"/>
        <v>Valid</v>
      </c>
    </row>
    <row r="605" spans="1:24">
      <c r="A605" s="1">
        <v>604</v>
      </c>
      <c r="B605" s="1" t="s">
        <v>2820</v>
      </c>
      <c r="C605" s="1" t="s">
        <v>250</v>
      </c>
      <c r="D605" s="1" t="s">
        <v>49</v>
      </c>
      <c r="E605" s="1" t="s">
        <v>2821</v>
      </c>
      <c r="F605" s="1" t="s">
        <v>1094</v>
      </c>
      <c r="G605" s="6">
        <v>20</v>
      </c>
      <c r="H605" s="8">
        <f>tblInventory[[#This Row],[Stock_Quantity]] * tblInventory[[#This Row],[Unit_Price]]</f>
        <v>40</v>
      </c>
      <c r="I605" s="1">
        <v>65</v>
      </c>
      <c r="J605" s="1">
        <v>61</v>
      </c>
      <c r="K605" s="8">
        <f>tblInventory[[#This Row],[Reorder_Quantity]]*M605</f>
        <v>122</v>
      </c>
      <c r="L605" s="10">
        <f>tblInventory[[#This Row],[Stock_Quantity]] / tblInventory[[#This Row],[Reorder_Quantity]]</f>
        <v>0.32786885245901637</v>
      </c>
      <c r="M605" s="3">
        <v>2</v>
      </c>
      <c r="N605" s="10">
        <f t="shared" si="18"/>
        <v>0.3395585738539898</v>
      </c>
      <c r="O605" s="2">
        <v>45389</v>
      </c>
      <c r="P605" s="2">
        <v>45572</v>
      </c>
      <c r="Q605" s="2">
        <v>46265</v>
      </c>
      <c r="R605" s="1" t="s">
        <v>2822</v>
      </c>
      <c r="S605" s="1">
        <v>51</v>
      </c>
      <c r="T605" s="1">
        <v>78</v>
      </c>
      <c r="U605" s="1" t="s">
        <v>46</v>
      </c>
      <c r="V605" s="3">
        <f>tblInventory[[#This Row],[Stock_Quantity]]*tblInventory[[#This Row],[Unit_Price]]</f>
        <v>40</v>
      </c>
      <c r="W605" s="1" t="str">
        <f>IF(tblInventory[[#This Row],[Status]]="Discontinued","INACTIVE",
IF(tblInventory[[#This Row],[Stock_Quantity]] &lt; tblInventory[[#This Row],[Reorder_Level]],"REORDER","OK"))</f>
        <v>REORDER</v>
      </c>
      <c r="X605" s="1" t="str">
        <f t="shared" ca="1" si="19"/>
        <v>Valid</v>
      </c>
    </row>
    <row r="606" spans="1:24">
      <c r="A606" s="1">
        <v>605</v>
      </c>
      <c r="B606" s="1" t="s">
        <v>3035</v>
      </c>
      <c r="C606" s="1" t="s">
        <v>250</v>
      </c>
      <c r="D606" s="1" t="s">
        <v>49</v>
      </c>
      <c r="E606" s="1" t="s">
        <v>3036</v>
      </c>
      <c r="F606" s="1" t="s">
        <v>1882</v>
      </c>
      <c r="G606" s="6">
        <v>50</v>
      </c>
      <c r="H606" s="8">
        <f>tblInventory[[#This Row],[Stock_Quantity]] * tblInventory[[#This Row],[Unit_Price]]</f>
        <v>100</v>
      </c>
      <c r="I606" s="1">
        <v>68</v>
      </c>
      <c r="J606" s="1">
        <v>90</v>
      </c>
      <c r="K606" s="8">
        <f>tblInventory[[#This Row],[Reorder_Quantity]]*M606</f>
        <v>180</v>
      </c>
      <c r="L606" s="10">
        <f>tblInventory[[#This Row],[Stock_Quantity]] / tblInventory[[#This Row],[Reorder_Quantity]]</f>
        <v>0.55555555555555558</v>
      </c>
      <c r="M606" s="3">
        <v>2</v>
      </c>
      <c r="N606" s="10">
        <f t="shared" si="18"/>
        <v>0.84889643463497455</v>
      </c>
      <c r="O606" s="2">
        <v>45638</v>
      </c>
      <c r="P606" s="2">
        <v>45540</v>
      </c>
      <c r="Q606" s="2">
        <v>46214</v>
      </c>
      <c r="R606" s="1" t="s">
        <v>3037</v>
      </c>
      <c r="S606" s="1">
        <v>40</v>
      </c>
      <c r="T606" s="1">
        <v>13</v>
      </c>
      <c r="U606" s="1" t="s">
        <v>24</v>
      </c>
      <c r="V606" s="3">
        <f>tblInventory[[#This Row],[Stock_Quantity]]*tblInventory[[#This Row],[Unit_Price]]</f>
        <v>100</v>
      </c>
      <c r="W606" s="1" t="str">
        <f>IF(tblInventory[[#This Row],[Status]]="Discontinued","INACTIVE",
IF(tblInventory[[#This Row],[Stock_Quantity]] &lt; tblInventory[[#This Row],[Reorder_Level]],"REORDER","OK"))</f>
        <v>INACTIVE</v>
      </c>
      <c r="X606" s="1" t="str">
        <f t="shared" ca="1" si="19"/>
        <v>Valid</v>
      </c>
    </row>
    <row r="607" spans="1:24">
      <c r="A607" s="1">
        <v>606</v>
      </c>
      <c r="B607" s="1" t="s">
        <v>3185</v>
      </c>
      <c r="C607" s="1" t="s">
        <v>250</v>
      </c>
      <c r="D607" s="1" t="s">
        <v>49</v>
      </c>
      <c r="E607" s="1" t="s">
        <v>3186</v>
      </c>
      <c r="F607" s="1" t="s">
        <v>865</v>
      </c>
      <c r="G607" s="6">
        <v>39</v>
      </c>
      <c r="H607" s="8">
        <f>tblInventory[[#This Row],[Stock_Quantity]] * tblInventory[[#This Row],[Unit_Price]]</f>
        <v>78</v>
      </c>
      <c r="I607" s="1">
        <v>37</v>
      </c>
      <c r="J607" s="1">
        <v>48</v>
      </c>
      <c r="K607" s="8">
        <f>tblInventory[[#This Row],[Reorder_Quantity]]*M607</f>
        <v>96</v>
      </c>
      <c r="L607" s="10">
        <f>tblInventory[[#This Row],[Stock_Quantity]] / tblInventory[[#This Row],[Reorder_Quantity]]</f>
        <v>0.8125</v>
      </c>
      <c r="M607" s="3">
        <v>2</v>
      </c>
      <c r="N607" s="10">
        <f t="shared" si="18"/>
        <v>0.66213921901528017</v>
      </c>
      <c r="O607" s="1" t="s">
        <v>597</v>
      </c>
      <c r="P607" s="1" t="s">
        <v>850</v>
      </c>
      <c r="Q607" s="2">
        <v>46381</v>
      </c>
      <c r="R607" s="1" t="s">
        <v>3187</v>
      </c>
      <c r="S607" s="1">
        <v>25</v>
      </c>
      <c r="T607" s="1">
        <v>19</v>
      </c>
      <c r="U607" s="1" t="s">
        <v>46</v>
      </c>
      <c r="V607" s="3">
        <f>tblInventory[[#This Row],[Stock_Quantity]]*tblInventory[[#This Row],[Unit_Price]]</f>
        <v>78</v>
      </c>
      <c r="W607" s="1" t="str">
        <f>IF(tblInventory[[#This Row],[Status]]="Discontinued","INACTIVE",
IF(tblInventory[[#This Row],[Stock_Quantity]] &lt; tblInventory[[#This Row],[Reorder_Level]],"REORDER","OK"))</f>
        <v>OK</v>
      </c>
      <c r="X607" s="1" t="str">
        <f t="shared" ca="1" si="19"/>
        <v>Valid</v>
      </c>
    </row>
    <row r="608" spans="1:24">
      <c r="A608" s="1">
        <v>607</v>
      </c>
      <c r="B608" s="1" t="s">
        <v>3271</v>
      </c>
      <c r="C608" s="1" t="s">
        <v>250</v>
      </c>
      <c r="D608" s="1" t="s">
        <v>49</v>
      </c>
      <c r="E608" s="1" t="s">
        <v>3272</v>
      </c>
      <c r="F608" s="1" t="s">
        <v>479</v>
      </c>
      <c r="G608" s="6">
        <v>98</v>
      </c>
      <c r="H608" s="8">
        <f>tblInventory[[#This Row],[Stock_Quantity]] * tblInventory[[#This Row],[Unit_Price]]</f>
        <v>196</v>
      </c>
      <c r="I608" s="1">
        <v>40</v>
      </c>
      <c r="J608" s="1">
        <v>100</v>
      </c>
      <c r="K608" s="8">
        <f>tblInventory[[#This Row],[Reorder_Quantity]]*M608</f>
        <v>200</v>
      </c>
      <c r="L608" s="10">
        <f>tblInventory[[#This Row],[Stock_Quantity]] / tblInventory[[#This Row],[Reorder_Quantity]]</f>
        <v>0.98</v>
      </c>
      <c r="M608" s="3">
        <v>2</v>
      </c>
      <c r="N608" s="10">
        <f t="shared" si="18"/>
        <v>1.66383701188455</v>
      </c>
      <c r="O608" s="2">
        <v>45718</v>
      </c>
      <c r="P608" s="1" t="s">
        <v>265</v>
      </c>
      <c r="Q608" s="2">
        <v>46409</v>
      </c>
      <c r="R608" s="1" t="s">
        <v>3273</v>
      </c>
      <c r="S608" s="1">
        <v>46</v>
      </c>
      <c r="T608" s="1">
        <v>9</v>
      </c>
      <c r="U608" s="1" t="s">
        <v>46</v>
      </c>
      <c r="V608" s="3">
        <f>tblInventory[[#This Row],[Stock_Quantity]]*tblInventory[[#This Row],[Unit_Price]]</f>
        <v>196</v>
      </c>
      <c r="W608" s="1" t="str">
        <f>IF(tblInventory[[#This Row],[Status]]="Discontinued","INACTIVE",
IF(tblInventory[[#This Row],[Stock_Quantity]] &lt; tblInventory[[#This Row],[Reorder_Level]],"REORDER","OK"))</f>
        <v>OK</v>
      </c>
      <c r="X608" s="1" t="str">
        <f t="shared" ca="1" si="19"/>
        <v>Valid</v>
      </c>
    </row>
    <row r="609" spans="1:24">
      <c r="A609" s="1">
        <v>608</v>
      </c>
      <c r="B609" s="1" t="s">
        <v>3354</v>
      </c>
      <c r="C609" s="1" t="s">
        <v>250</v>
      </c>
      <c r="D609" s="1" t="s">
        <v>49</v>
      </c>
      <c r="E609" s="1" t="s">
        <v>3355</v>
      </c>
      <c r="F609" s="1" t="s">
        <v>1818</v>
      </c>
      <c r="G609" s="6">
        <v>20</v>
      </c>
      <c r="H609" s="8">
        <f>tblInventory[[#This Row],[Stock_Quantity]] * tblInventory[[#This Row],[Unit_Price]]</f>
        <v>40</v>
      </c>
      <c r="I609" s="1">
        <v>93</v>
      </c>
      <c r="J609" s="1">
        <v>37</v>
      </c>
      <c r="K609" s="8">
        <f>tblInventory[[#This Row],[Reorder_Quantity]]*M609</f>
        <v>74</v>
      </c>
      <c r="L609" s="10">
        <f>tblInventory[[#This Row],[Stock_Quantity]] / tblInventory[[#This Row],[Reorder_Quantity]]</f>
        <v>0.54054054054054057</v>
      </c>
      <c r="M609" s="3">
        <v>2</v>
      </c>
      <c r="N609" s="10">
        <f t="shared" si="18"/>
        <v>0.3395585738539898</v>
      </c>
      <c r="O609" s="1" t="s">
        <v>986</v>
      </c>
      <c r="P609" s="2">
        <v>45476</v>
      </c>
      <c r="Q609" s="2">
        <v>46436</v>
      </c>
      <c r="R609" s="1" t="s">
        <v>3356</v>
      </c>
      <c r="S609" s="1">
        <v>23</v>
      </c>
      <c r="T609" s="1">
        <v>2</v>
      </c>
      <c r="U609" s="1" t="s">
        <v>24</v>
      </c>
      <c r="V609" s="3">
        <f>tblInventory[[#This Row],[Stock_Quantity]]*tblInventory[[#This Row],[Unit_Price]]</f>
        <v>40</v>
      </c>
      <c r="W609" s="1" t="str">
        <f>IF(tblInventory[[#This Row],[Status]]="Discontinued","INACTIVE",
IF(tblInventory[[#This Row],[Stock_Quantity]] &lt; tblInventory[[#This Row],[Reorder_Level]],"REORDER","OK"))</f>
        <v>INACTIVE</v>
      </c>
      <c r="X609" s="1" t="str">
        <f t="shared" ca="1" si="19"/>
        <v>Valid</v>
      </c>
    </row>
    <row r="610" spans="1:24">
      <c r="A610" s="1">
        <v>609</v>
      </c>
      <c r="B610" s="1" t="s">
        <v>3611</v>
      </c>
      <c r="C610" s="1" t="s">
        <v>250</v>
      </c>
      <c r="D610" s="1" t="s">
        <v>49</v>
      </c>
      <c r="E610" s="1" t="s">
        <v>3612</v>
      </c>
      <c r="F610" s="1" t="s">
        <v>3279</v>
      </c>
      <c r="G610" s="6">
        <v>74</v>
      </c>
      <c r="H610" s="8">
        <f>tblInventory[[#This Row],[Stock_Quantity]] * tblInventory[[#This Row],[Unit_Price]]</f>
        <v>148</v>
      </c>
      <c r="I610" s="1">
        <v>4</v>
      </c>
      <c r="J610" s="1">
        <v>39</v>
      </c>
      <c r="K610" s="8">
        <f>tblInventory[[#This Row],[Reorder_Quantity]]*M610</f>
        <v>78</v>
      </c>
      <c r="L610" s="10">
        <f>tblInventory[[#This Row],[Stock_Quantity]] / tblInventory[[#This Row],[Reorder_Quantity]]</f>
        <v>1.8974358974358974</v>
      </c>
      <c r="M610" s="3">
        <v>2</v>
      </c>
      <c r="N610" s="10">
        <f t="shared" si="18"/>
        <v>1.2563667232597624</v>
      </c>
      <c r="O610" s="1" t="s">
        <v>247</v>
      </c>
      <c r="P610" s="2">
        <v>45416</v>
      </c>
      <c r="Q610" s="2">
        <v>46726</v>
      </c>
      <c r="R610" s="1" t="s">
        <v>3613</v>
      </c>
      <c r="S610" s="1">
        <v>97</v>
      </c>
      <c r="T610" s="1">
        <v>24</v>
      </c>
      <c r="U610" s="1" t="s">
        <v>38</v>
      </c>
      <c r="V610" s="3">
        <f>tblInventory[[#This Row],[Stock_Quantity]]*tblInventory[[#This Row],[Unit_Price]]</f>
        <v>148</v>
      </c>
      <c r="W610" s="1" t="str">
        <f>IF(tblInventory[[#This Row],[Status]]="Discontinued","INACTIVE",
IF(tblInventory[[#This Row],[Stock_Quantity]] &lt; tblInventory[[#This Row],[Reorder_Level]],"REORDER","OK"))</f>
        <v>OK</v>
      </c>
      <c r="X610" s="1" t="str">
        <f t="shared" ca="1" si="19"/>
        <v>Valid</v>
      </c>
    </row>
    <row r="611" spans="1:24">
      <c r="A611" s="1">
        <v>610</v>
      </c>
      <c r="B611" s="1" t="s">
        <v>350</v>
      </c>
      <c r="C611" s="1" t="s">
        <v>351</v>
      </c>
      <c r="D611" s="1" t="s">
        <v>49</v>
      </c>
      <c r="E611" s="1" t="s">
        <v>352</v>
      </c>
      <c r="F611" s="1" t="s">
        <v>149</v>
      </c>
      <c r="G611" s="6">
        <v>85</v>
      </c>
      <c r="H611" s="8">
        <f>tblInventory[[#This Row],[Stock_Quantity]] * tblInventory[[#This Row],[Unit_Price]]</f>
        <v>255</v>
      </c>
      <c r="I611" s="1">
        <v>45</v>
      </c>
      <c r="J611" s="1">
        <v>71</v>
      </c>
      <c r="K611" s="8">
        <f>tblInventory[[#This Row],[Reorder_Quantity]]*M611</f>
        <v>213</v>
      </c>
      <c r="L611" s="10">
        <f>tblInventory[[#This Row],[Stock_Quantity]] / tblInventory[[#This Row],[Reorder_Quantity]]</f>
        <v>1.1971830985915493</v>
      </c>
      <c r="M611" s="3">
        <v>3</v>
      </c>
      <c r="N611" s="10">
        <f t="shared" si="18"/>
        <v>1.4431239388794568</v>
      </c>
      <c r="O611" s="1" t="s">
        <v>278</v>
      </c>
      <c r="P611" s="1" t="s">
        <v>144</v>
      </c>
      <c r="Q611" s="2">
        <v>45546</v>
      </c>
      <c r="R611" s="1" t="s">
        <v>353</v>
      </c>
      <c r="S611" s="1">
        <v>95</v>
      </c>
      <c r="T611" s="1">
        <v>72</v>
      </c>
      <c r="U611" s="1" t="s">
        <v>24</v>
      </c>
      <c r="V611" s="3">
        <f>tblInventory[[#This Row],[Stock_Quantity]]*tblInventory[[#This Row],[Unit_Price]]</f>
        <v>255</v>
      </c>
      <c r="W611" s="1" t="str">
        <f>IF(tblInventory[[#This Row],[Status]]="Discontinued","INACTIVE",
IF(tblInventory[[#This Row],[Stock_Quantity]] &lt; tblInventory[[#This Row],[Reorder_Level]],"REORDER","OK"))</f>
        <v>INACTIVE</v>
      </c>
      <c r="X611" s="1" t="str">
        <f t="shared" ca="1" si="19"/>
        <v>Expired</v>
      </c>
    </row>
    <row r="612" spans="1:24">
      <c r="A612" s="1">
        <v>611</v>
      </c>
      <c r="B612" s="1" t="s">
        <v>379</v>
      </c>
      <c r="C612" s="1" t="s">
        <v>351</v>
      </c>
      <c r="D612" s="1" t="s">
        <v>49</v>
      </c>
      <c r="E612" s="1" t="s">
        <v>380</v>
      </c>
      <c r="F612" s="1" t="s">
        <v>381</v>
      </c>
      <c r="G612" s="6">
        <v>88</v>
      </c>
      <c r="H612" s="8">
        <f>tblInventory[[#This Row],[Stock_Quantity]] * tblInventory[[#This Row],[Unit_Price]]</f>
        <v>255.2</v>
      </c>
      <c r="I612" s="1">
        <v>37</v>
      </c>
      <c r="J612" s="1">
        <v>61</v>
      </c>
      <c r="K612" s="8">
        <f>tblInventory[[#This Row],[Reorder_Quantity]]*M612</f>
        <v>176.9</v>
      </c>
      <c r="L612" s="10">
        <f>tblInventory[[#This Row],[Stock_Quantity]] / tblInventory[[#This Row],[Reorder_Quantity]]</f>
        <v>1.4426229508196722</v>
      </c>
      <c r="M612" s="3">
        <v>2.9</v>
      </c>
      <c r="N612" s="10">
        <f t="shared" si="18"/>
        <v>1.4940577249575553</v>
      </c>
      <c r="O612" s="2">
        <v>45718</v>
      </c>
      <c r="P612" s="1" t="s">
        <v>382</v>
      </c>
      <c r="Q612" s="2">
        <v>45611</v>
      </c>
      <c r="R612" s="1" t="s">
        <v>384</v>
      </c>
      <c r="S612" s="1">
        <v>63</v>
      </c>
      <c r="T612" s="1">
        <v>35</v>
      </c>
      <c r="U612" s="1" t="s">
        <v>24</v>
      </c>
      <c r="V612" s="3">
        <f>tblInventory[[#This Row],[Stock_Quantity]]*tblInventory[[#This Row],[Unit_Price]]</f>
        <v>255.2</v>
      </c>
      <c r="W612" s="1" t="str">
        <f>IF(tblInventory[[#This Row],[Status]]="Discontinued","INACTIVE",
IF(tblInventory[[#This Row],[Stock_Quantity]] &lt; tblInventory[[#This Row],[Reorder_Level]],"REORDER","OK"))</f>
        <v>INACTIVE</v>
      </c>
      <c r="X612" s="1" t="str">
        <f t="shared" ca="1" si="19"/>
        <v>Expired</v>
      </c>
    </row>
    <row r="613" spans="1:24">
      <c r="A613" s="1">
        <v>612</v>
      </c>
      <c r="B613" s="1" t="s">
        <v>781</v>
      </c>
      <c r="C613" s="1" t="s">
        <v>351</v>
      </c>
      <c r="D613" s="1" t="s">
        <v>49</v>
      </c>
      <c r="E613" s="1" t="s">
        <v>782</v>
      </c>
      <c r="F613" s="1" t="s">
        <v>783</v>
      </c>
      <c r="G613" s="6">
        <v>15</v>
      </c>
      <c r="H613" s="8">
        <f>tblInventory[[#This Row],[Stock_Quantity]] * tblInventory[[#This Row],[Unit_Price]]</f>
        <v>45</v>
      </c>
      <c r="I613" s="1">
        <v>44</v>
      </c>
      <c r="J613" s="1">
        <v>88</v>
      </c>
      <c r="K613" s="8">
        <f>tblInventory[[#This Row],[Reorder_Quantity]]*M613</f>
        <v>264</v>
      </c>
      <c r="L613" s="10">
        <f>tblInventory[[#This Row],[Stock_Quantity]] / tblInventory[[#This Row],[Reorder_Quantity]]</f>
        <v>0.17045454545454544</v>
      </c>
      <c r="M613" s="3">
        <v>3</v>
      </c>
      <c r="N613" s="10">
        <f t="shared" si="18"/>
        <v>0.25466893039049238</v>
      </c>
      <c r="O613" s="1" t="s">
        <v>784</v>
      </c>
      <c r="P613" s="1" t="s">
        <v>785</v>
      </c>
      <c r="Q613" s="2">
        <v>45690</v>
      </c>
      <c r="R613" s="1" t="s">
        <v>787</v>
      </c>
      <c r="S613" s="1">
        <v>56</v>
      </c>
      <c r="T613" s="1">
        <v>12</v>
      </c>
      <c r="U613" s="1" t="s">
        <v>24</v>
      </c>
      <c r="V613" s="3">
        <f>tblInventory[[#This Row],[Stock_Quantity]]*tblInventory[[#This Row],[Unit_Price]]</f>
        <v>45</v>
      </c>
      <c r="W613" s="1" t="str">
        <f>IF(tblInventory[[#This Row],[Status]]="Discontinued","INACTIVE",
IF(tblInventory[[#This Row],[Stock_Quantity]] &lt; tblInventory[[#This Row],[Reorder_Level]],"REORDER","OK"))</f>
        <v>INACTIVE</v>
      </c>
      <c r="X613" s="1" t="str">
        <f t="shared" ca="1" si="19"/>
        <v>Expired</v>
      </c>
    </row>
    <row r="614" spans="1:24">
      <c r="A614" s="1">
        <v>613</v>
      </c>
      <c r="B614" s="1" t="s">
        <v>907</v>
      </c>
      <c r="C614" s="1" t="s">
        <v>351</v>
      </c>
      <c r="D614" s="1" t="s">
        <v>49</v>
      </c>
      <c r="E614" s="1" t="s">
        <v>908</v>
      </c>
      <c r="F614" s="1" t="s">
        <v>333</v>
      </c>
      <c r="G614" s="6">
        <v>41</v>
      </c>
      <c r="H614" s="8">
        <f>tblInventory[[#This Row],[Stock_Quantity]] * tblInventory[[#This Row],[Unit_Price]]</f>
        <v>123</v>
      </c>
      <c r="I614" s="1">
        <v>94</v>
      </c>
      <c r="J614" s="1">
        <v>4</v>
      </c>
      <c r="K614" s="8">
        <f>tblInventory[[#This Row],[Reorder_Quantity]]*M614</f>
        <v>12</v>
      </c>
      <c r="L614" s="10">
        <f>tblInventory[[#This Row],[Stock_Quantity]] / tblInventory[[#This Row],[Reorder_Quantity]]</f>
        <v>10.25</v>
      </c>
      <c r="M614" s="3">
        <v>3</v>
      </c>
      <c r="N614" s="10">
        <f t="shared" si="18"/>
        <v>0.69609507640067914</v>
      </c>
      <c r="O614" s="2">
        <v>45749</v>
      </c>
      <c r="P614" s="1" t="s">
        <v>909</v>
      </c>
      <c r="Q614" s="2">
        <v>45691</v>
      </c>
      <c r="R614" s="1" t="s">
        <v>911</v>
      </c>
      <c r="S614" s="1">
        <v>88</v>
      </c>
      <c r="T614" s="1">
        <v>92</v>
      </c>
      <c r="U614" s="1" t="s">
        <v>24</v>
      </c>
      <c r="V614" s="3">
        <f>tblInventory[[#This Row],[Stock_Quantity]]*tblInventory[[#This Row],[Unit_Price]]</f>
        <v>123</v>
      </c>
      <c r="W614" s="1" t="str">
        <f>IF(tblInventory[[#This Row],[Status]]="Discontinued","INACTIVE",
IF(tblInventory[[#This Row],[Stock_Quantity]] &lt; tblInventory[[#This Row],[Reorder_Level]],"REORDER","OK"))</f>
        <v>INACTIVE</v>
      </c>
      <c r="X614" s="1" t="str">
        <f t="shared" ca="1" si="19"/>
        <v>Expired</v>
      </c>
    </row>
    <row r="615" spans="1:24">
      <c r="A615" s="1">
        <v>614</v>
      </c>
      <c r="B615" s="1" t="s">
        <v>1256</v>
      </c>
      <c r="C615" s="1" t="s">
        <v>351</v>
      </c>
      <c r="D615" s="1" t="s">
        <v>49</v>
      </c>
      <c r="E615" s="1" t="s">
        <v>1257</v>
      </c>
      <c r="F615" s="1" t="s">
        <v>1258</v>
      </c>
      <c r="G615" s="6">
        <v>92</v>
      </c>
      <c r="H615" s="8">
        <f>tblInventory[[#This Row],[Stock_Quantity]] * tblInventory[[#This Row],[Unit_Price]]</f>
        <v>285.2</v>
      </c>
      <c r="I615" s="1">
        <v>54</v>
      </c>
      <c r="J615" s="1">
        <v>73</v>
      </c>
      <c r="K615" s="8">
        <f>tblInventory[[#This Row],[Reorder_Quantity]]*M615</f>
        <v>226.3</v>
      </c>
      <c r="L615" s="10">
        <f>tblInventory[[#This Row],[Stock_Quantity]] / tblInventory[[#This Row],[Reorder_Quantity]]</f>
        <v>1.2602739726027397</v>
      </c>
      <c r="M615" s="3">
        <v>3.1</v>
      </c>
      <c r="N615" s="10">
        <f t="shared" si="18"/>
        <v>1.5619694397283532</v>
      </c>
      <c r="O615" s="2">
        <v>45840</v>
      </c>
      <c r="P615" s="1" t="s">
        <v>682</v>
      </c>
      <c r="Q615" s="2">
        <v>45804</v>
      </c>
      <c r="R615" s="1" t="s">
        <v>1259</v>
      </c>
      <c r="S615" s="1">
        <v>79</v>
      </c>
      <c r="T615" s="1">
        <v>1</v>
      </c>
      <c r="U615" s="1" t="s">
        <v>38</v>
      </c>
      <c r="V615" s="3">
        <f>tblInventory[[#This Row],[Stock_Quantity]]*tblInventory[[#This Row],[Unit_Price]]</f>
        <v>285.2</v>
      </c>
      <c r="W615" s="1" t="str">
        <f>IF(tblInventory[[#This Row],[Status]]="Discontinued","INACTIVE",
IF(tblInventory[[#This Row],[Stock_Quantity]] &lt; tblInventory[[#This Row],[Reorder_Level]],"REORDER","OK"))</f>
        <v>OK</v>
      </c>
      <c r="X615" s="1" t="str">
        <f t="shared" ca="1" si="19"/>
        <v>Expired</v>
      </c>
    </row>
    <row r="616" spans="1:24">
      <c r="A616" s="1">
        <v>615</v>
      </c>
      <c r="B616" s="1" t="s">
        <v>1648</v>
      </c>
      <c r="C616" s="1" t="s">
        <v>351</v>
      </c>
      <c r="D616" s="1" t="s">
        <v>49</v>
      </c>
      <c r="E616" s="1" t="s">
        <v>1649</v>
      </c>
      <c r="F616" s="1" t="s">
        <v>1650</v>
      </c>
      <c r="G616" s="6">
        <v>84</v>
      </c>
      <c r="H616" s="8">
        <f>tblInventory[[#This Row],[Stock_Quantity]] * tblInventory[[#This Row],[Unit_Price]]</f>
        <v>239.4</v>
      </c>
      <c r="I616" s="1">
        <v>95</v>
      </c>
      <c r="J616" s="1">
        <v>22</v>
      </c>
      <c r="K616" s="8">
        <f>tblInventory[[#This Row],[Reorder_Quantity]]*M616</f>
        <v>62.7</v>
      </c>
      <c r="L616" s="10">
        <f>tblInventory[[#This Row],[Stock_Quantity]] / tblInventory[[#This Row],[Reorder_Quantity]]</f>
        <v>3.8181818181818183</v>
      </c>
      <c r="M616" s="3">
        <v>2.85</v>
      </c>
      <c r="N616" s="10">
        <f t="shared" si="18"/>
        <v>1.4261460101867574</v>
      </c>
      <c r="O616" s="1" t="s">
        <v>65</v>
      </c>
      <c r="P616" s="1" t="s">
        <v>1651</v>
      </c>
      <c r="Q616" s="2">
        <v>45909</v>
      </c>
      <c r="R616" s="1" t="s">
        <v>1652</v>
      </c>
      <c r="S616" s="1">
        <v>48</v>
      </c>
      <c r="T616" s="1">
        <v>82</v>
      </c>
      <c r="U616" s="1" t="s">
        <v>24</v>
      </c>
      <c r="V616" s="3">
        <f>tblInventory[[#This Row],[Stock_Quantity]]*tblInventory[[#This Row],[Unit_Price]]</f>
        <v>239.4</v>
      </c>
      <c r="W616" s="1" t="str">
        <f>IF(tblInventory[[#This Row],[Status]]="Discontinued","INACTIVE",
IF(tblInventory[[#This Row],[Stock_Quantity]] &lt; tblInventory[[#This Row],[Reorder_Level]],"REORDER","OK"))</f>
        <v>INACTIVE</v>
      </c>
      <c r="X616" s="1" t="str">
        <f t="shared" ca="1" si="19"/>
        <v>Expired</v>
      </c>
    </row>
    <row r="617" spans="1:24">
      <c r="A617" s="1">
        <v>616</v>
      </c>
      <c r="B617" s="1" t="s">
        <v>2367</v>
      </c>
      <c r="C617" s="1" t="s">
        <v>351</v>
      </c>
      <c r="D617" s="1" t="s">
        <v>49</v>
      </c>
      <c r="E617" s="1" t="s">
        <v>2368</v>
      </c>
      <c r="F617" s="1" t="s">
        <v>517</v>
      </c>
      <c r="G617" s="6">
        <v>44</v>
      </c>
      <c r="H617" s="8">
        <f>tblInventory[[#This Row],[Stock_Quantity]] * tblInventory[[#This Row],[Unit_Price]]</f>
        <v>129.80000000000001</v>
      </c>
      <c r="I617" s="1">
        <v>8</v>
      </c>
      <c r="J617" s="1">
        <v>52</v>
      </c>
      <c r="K617" s="8">
        <f>tblInventory[[#This Row],[Reorder_Quantity]]*M617</f>
        <v>153.4</v>
      </c>
      <c r="L617" s="10">
        <f>tblInventory[[#This Row],[Stock_Quantity]] / tblInventory[[#This Row],[Reorder_Quantity]]</f>
        <v>0.84615384615384615</v>
      </c>
      <c r="M617" s="3">
        <v>2.95</v>
      </c>
      <c r="N617" s="10">
        <f t="shared" si="18"/>
        <v>0.74702886247877764</v>
      </c>
      <c r="O617" s="2">
        <v>45601</v>
      </c>
      <c r="P617" s="2">
        <v>45577</v>
      </c>
      <c r="Q617" s="2">
        <v>46127</v>
      </c>
      <c r="R617" s="1" t="s">
        <v>2369</v>
      </c>
      <c r="S617" s="1">
        <v>42</v>
      </c>
      <c r="T617" s="1">
        <v>66</v>
      </c>
      <c r="U617" s="1" t="s">
        <v>46</v>
      </c>
      <c r="V617" s="3">
        <f>tblInventory[[#This Row],[Stock_Quantity]]*tblInventory[[#This Row],[Unit_Price]]</f>
        <v>129.80000000000001</v>
      </c>
      <c r="W617" s="1" t="str">
        <f>IF(tblInventory[[#This Row],[Status]]="Discontinued","INACTIVE",
IF(tblInventory[[#This Row],[Stock_Quantity]] &lt; tblInventory[[#This Row],[Reorder_Level]],"REORDER","OK"))</f>
        <v>OK</v>
      </c>
      <c r="X617" s="1" t="str">
        <f t="shared" ca="1" si="19"/>
        <v>Valid</v>
      </c>
    </row>
    <row r="618" spans="1:24">
      <c r="A618" s="1">
        <v>617</v>
      </c>
      <c r="B618" s="1" t="s">
        <v>2444</v>
      </c>
      <c r="C618" s="1" t="s">
        <v>351</v>
      </c>
      <c r="D618" s="1" t="s">
        <v>49</v>
      </c>
      <c r="E618" s="1" t="s">
        <v>2445</v>
      </c>
      <c r="F618" s="1" t="s">
        <v>2446</v>
      </c>
      <c r="G618" s="6">
        <v>94</v>
      </c>
      <c r="H618" s="8">
        <f>tblInventory[[#This Row],[Stock_Quantity]] * tblInventory[[#This Row],[Unit_Price]]</f>
        <v>272.59999999999997</v>
      </c>
      <c r="I618" s="1">
        <v>58</v>
      </c>
      <c r="J618" s="1">
        <v>17</v>
      </c>
      <c r="K618" s="8">
        <f>tblInventory[[#This Row],[Reorder_Quantity]]*M618</f>
        <v>49.3</v>
      </c>
      <c r="L618" s="10">
        <f>tblInventory[[#This Row],[Stock_Quantity]] / tblInventory[[#This Row],[Reorder_Quantity]]</f>
        <v>5.5294117647058822</v>
      </c>
      <c r="M618" s="3">
        <v>2.9</v>
      </c>
      <c r="N618" s="10">
        <f t="shared" si="18"/>
        <v>1.5959252971137521</v>
      </c>
      <c r="O618" s="2">
        <v>45299</v>
      </c>
      <c r="P618" s="2">
        <v>45419</v>
      </c>
      <c r="Q618" s="2">
        <v>46270</v>
      </c>
      <c r="R618" s="1" t="s">
        <v>2447</v>
      </c>
      <c r="S618" s="1">
        <v>57</v>
      </c>
      <c r="T618" s="1">
        <v>74</v>
      </c>
      <c r="U618" s="1" t="s">
        <v>38</v>
      </c>
      <c r="V618" s="3">
        <f>tblInventory[[#This Row],[Stock_Quantity]]*tblInventory[[#This Row],[Unit_Price]]</f>
        <v>272.59999999999997</v>
      </c>
      <c r="W618" s="1" t="str">
        <f>IF(tblInventory[[#This Row],[Status]]="Discontinued","INACTIVE",
IF(tblInventory[[#This Row],[Stock_Quantity]] &lt; tblInventory[[#This Row],[Reorder_Level]],"REORDER","OK"))</f>
        <v>OK</v>
      </c>
      <c r="X618" s="1" t="str">
        <f t="shared" ca="1" si="19"/>
        <v>Valid</v>
      </c>
    </row>
    <row r="619" spans="1:24">
      <c r="A619" s="1">
        <v>618</v>
      </c>
      <c r="B619" s="1" t="s">
        <v>2856</v>
      </c>
      <c r="C619" s="1" t="s">
        <v>351</v>
      </c>
      <c r="D619" s="1" t="s">
        <v>49</v>
      </c>
      <c r="E619" s="1" t="s">
        <v>2857</v>
      </c>
      <c r="F619" s="1" t="s">
        <v>1428</v>
      </c>
      <c r="G619" s="6">
        <v>75</v>
      </c>
      <c r="H619" s="8">
        <f>tblInventory[[#This Row],[Stock_Quantity]] * tblInventory[[#This Row],[Unit_Price]]</f>
        <v>225</v>
      </c>
      <c r="I619" s="1">
        <v>48</v>
      </c>
      <c r="J619" s="1">
        <v>25</v>
      </c>
      <c r="K619" s="8">
        <f>tblInventory[[#This Row],[Reorder_Quantity]]*M619</f>
        <v>75</v>
      </c>
      <c r="L619" s="10">
        <f>tblInventory[[#This Row],[Stock_Quantity]] / tblInventory[[#This Row],[Reorder_Quantity]]</f>
        <v>3</v>
      </c>
      <c r="M619" s="3">
        <v>3</v>
      </c>
      <c r="N619" s="10">
        <f t="shared" si="18"/>
        <v>1.2733446519524618</v>
      </c>
      <c r="O619" s="2">
        <v>45608</v>
      </c>
      <c r="P619" s="1" t="s">
        <v>158</v>
      </c>
      <c r="Q619" s="2">
        <v>46335</v>
      </c>
      <c r="R619" s="1" t="s">
        <v>2858</v>
      </c>
      <c r="S619" s="1">
        <v>96</v>
      </c>
      <c r="T619" s="1">
        <v>65</v>
      </c>
      <c r="U619" s="1" t="s">
        <v>38</v>
      </c>
      <c r="V619" s="3">
        <f>tblInventory[[#This Row],[Stock_Quantity]]*tblInventory[[#This Row],[Unit_Price]]</f>
        <v>225</v>
      </c>
      <c r="W619" s="1" t="str">
        <f>IF(tblInventory[[#This Row],[Status]]="Discontinued","INACTIVE",
IF(tblInventory[[#This Row],[Stock_Quantity]] &lt; tblInventory[[#This Row],[Reorder_Level]],"REORDER","OK"))</f>
        <v>OK</v>
      </c>
      <c r="X619" s="1" t="str">
        <f t="shared" ca="1" si="19"/>
        <v>Valid</v>
      </c>
    </row>
    <row r="620" spans="1:24">
      <c r="A620" s="1">
        <v>619</v>
      </c>
      <c r="B620" s="1" t="s">
        <v>3026</v>
      </c>
      <c r="C620" s="1" t="s">
        <v>351</v>
      </c>
      <c r="D620" s="1" t="s">
        <v>49</v>
      </c>
      <c r="E620" s="1" t="s">
        <v>3027</v>
      </c>
      <c r="F620" s="1" t="s">
        <v>1258</v>
      </c>
      <c r="G620" s="6">
        <v>81</v>
      </c>
      <c r="H620" s="8">
        <f>tblInventory[[#This Row],[Stock_Quantity]] * tblInventory[[#This Row],[Unit_Price]]</f>
        <v>243</v>
      </c>
      <c r="I620" s="1">
        <v>35</v>
      </c>
      <c r="J620" s="1">
        <v>82</v>
      </c>
      <c r="K620" s="8">
        <f>tblInventory[[#This Row],[Reorder_Quantity]]*M620</f>
        <v>246</v>
      </c>
      <c r="L620" s="10">
        <f>tblInventory[[#This Row],[Stock_Quantity]] / tblInventory[[#This Row],[Reorder_Quantity]]</f>
        <v>0.98780487804878048</v>
      </c>
      <c r="M620" s="3">
        <v>3</v>
      </c>
      <c r="N620" s="10">
        <f t="shared" si="18"/>
        <v>1.3752122241086588</v>
      </c>
      <c r="O620" s="1" t="s">
        <v>2202</v>
      </c>
      <c r="P620" s="1" t="s">
        <v>681</v>
      </c>
      <c r="Q620" s="2">
        <v>46123</v>
      </c>
      <c r="R620" s="1" t="s">
        <v>3028</v>
      </c>
      <c r="S620" s="1">
        <v>86</v>
      </c>
      <c r="T620" s="1">
        <v>71</v>
      </c>
      <c r="U620" s="1" t="s">
        <v>38</v>
      </c>
      <c r="V620" s="3">
        <f>tblInventory[[#This Row],[Stock_Quantity]]*tblInventory[[#This Row],[Unit_Price]]</f>
        <v>243</v>
      </c>
      <c r="W620" s="1" t="str">
        <f>IF(tblInventory[[#This Row],[Status]]="Discontinued","INACTIVE",
IF(tblInventory[[#This Row],[Stock_Quantity]] &lt; tblInventory[[#This Row],[Reorder_Level]],"REORDER","OK"))</f>
        <v>OK</v>
      </c>
      <c r="X620" s="1" t="str">
        <f t="shared" ca="1" si="19"/>
        <v>Valid</v>
      </c>
    </row>
    <row r="621" spans="1:24">
      <c r="A621" s="1">
        <v>620</v>
      </c>
      <c r="B621" s="1" t="s">
        <v>3214</v>
      </c>
      <c r="C621" s="1" t="s">
        <v>351</v>
      </c>
      <c r="D621" s="1" t="s">
        <v>49</v>
      </c>
      <c r="E621" s="1" t="s">
        <v>3215</v>
      </c>
      <c r="F621" s="1" t="s">
        <v>1780</v>
      </c>
      <c r="G621" s="6">
        <v>36</v>
      </c>
      <c r="H621" s="8">
        <f>tblInventory[[#This Row],[Stock_Quantity]] * tblInventory[[#This Row],[Unit_Price]]</f>
        <v>108</v>
      </c>
      <c r="I621" s="1">
        <v>59</v>
      </c>
      <c r="J621" s="1">
        <v>90</v>
      </c>
      <c r="K621" s="8">
        <f>tblInventory[[#This Row],[Reorder_Quantity]]*M621</f>
        <v>270</v>
      </c>
      <c r="L621" s="10">
        <f>tblInventory[[#This Row],[Stock_Quantity]] / tblInventory[[#This Row],[Reorder_Quantity]]</f>
        <v>0.4</v>
      </c>
      <c r="M621" s="3">
        <v>3</v>
      </c>
      <c r="N621" s="10">
        <f t="shared" si="18"/>
        <v>0.61120543293718166</v>
      </c>
      <c r="O621" s="2">
        <v>45511</v>
      </c>
      <c r="P621" s="2">
        <v>45547</v>
      </c>
      <c r="Q621" s="2">
        <v>46447</v>
      </c>
      <c r="R621" s="1" t="s">
        <v>3216</v>
      </c>
      <c r="S621" s="1">
        <v>25</v>
      </c>
      <c r="T621" s="1">
        <v>60</v>
      </c>
      <c r="U621" s="1" t="s">
        <v>24</v>
      </c>
      <c r="V621" s="3">
        <f>tblInventory[[#This Row],[Stock_Quantity]]*tblInventory[[#This Row],[Unit_Price]]</f>
        <v>108</v>
      </c>
      <c r="W621" s="1" t="str">
        <f>IF(tblInventory[[#This Row],[Status]]="Discontinued","INACTIVE",
IF(tblInventory[[#This Row],[Stock_Quantity]] &lt; tblInventory[[#This Row],[Reorder_Level]],"REORDER","OK"))</f>
        <v>INACTIVE</v>
      </c>
      <c r="X621" s="1" t="str">
        <f t="shared" ca="1" si="19"/>
        <v>Valid</v>
      </c>
    </row>
    <row r="622" spans="1:24">
      <c r="A622" s="1">
        <v>621</v>
      </c>
      <c r="B622" s="1" t="s">
        <v>574</v>
      </c>
      <c r="C622" s="1" t="s">
        <v>575</v>
      </c>
      <c r="D622" s="1" t="s">
        <v>61</v>
      </c>
      <c r="E622" s="1" t="s">
        <v>576</v>
      </c>
      <c r="F622" s="1" t="s">
        <v>94</v>
      </c>
      <c r="G622" s="6">
        <v>43</v>
      </c>
      <c r="H622" s="8">
        <f>tblInventory[[#This Row],[Stock_Quantity]] * tblInventory[[#This Row],[Unit_Price]]</f>
        <v>77.400000000000006</v>
      </c>
      <c r="I622" s="1">
        <v>63</v>
      </c>
      <c r="J622" s="1">
        <v>80</v>
      </c>
      <c r="K622" s="8">
        <f>tblInventory[[#This Row],[Reorder_Quantity]]*M622</f>
        <v>144</v>
      </c>
      <c r="L622" s="10">
        <f>tblInventory[[#This Row],[Stock_Quantity]] / tblInventory[[#This Row],[Reorder_Quantity]]</f>
        <v>0.53749999999999998</v>
      </c>
      <c r="M622" s="3">
        <v>1.8</v>
      </c>
      <c r="N622" s="10">
        <f t="shared" si="18"/>
        <v>0.7300509337860781</v>
      </c>
      <c r="O622" s="1" t="s">
        <v>240</v>
      </c>
      <c r="P622" s="1" t="s">
        <v>577</v>
      </c>
      <c r="Q622" s="2">
        <v>45647</v>
      </c>
      <c r="R622" s="1" t="s">
        <v>578</v>
      </c>
      <c r="S622" s="1">
        <v>33</v>
      </c>
      <c r="T622" s="1">
        <v>96</v>
      </c>
      <c r="U622" s="1" t="s">
        <v>24</v>
      </c>
      <c r="V622" s="3">
        <f>tblInventory[[#This Row],[Stock_Quantity]]*tblInventory[[#This Row],[Unit_Price]]</f>
        <v>77.400000000000006</v>
      </c>
      <c r="W622" s="1" t="str">
        <f>IF(tblInventory[[#This Row],[Status]]="Discontinued","INACTIVE",
IF(tblInventory[[#This Row],[Stock_Quantity]] &lt; tblInventory[[#This Row],[Reorder_Level]],"REORDER","OK"))</f>
        <v>INACTIVE</v>
      </c>
      <c r="X622" s="1" t="str">
        <f t="shared" ca="1" si="19"/>
        <v>Expired</v>
      </c>
    </row>
    <row r="623" spans="1:24">
      <c r="A623" s="1">
        <v>622</v>
      </c>
      <c r="B623" s="1" t="s">
        <v>920</v>
      </c>
      <c r="C623" s="1" t="s">
        <v>575</v>
      </c>
      <c r="D623" s="1" t="s">
        <v>61</v>
      </c>
      <c r="E623" s="1" t="s">
        <v>921</v>
      </c>
      <c r="F623" s="1" t="s">
        <v>922</v>
      </c>
      <c r="G623" s="6">
        <v>40</v>
      </c>
      <c r="H623" s="8">
        <f>tblInventory[[#This Row],[Stock_Quantity]] * tblInventory[[#This Row],[Unit_Price]]</f>
        <v>72</v>
      </c>
      <c r="I623" s="1">
        <v>2</v>
      </c>
      <c r="J623" s="1">
        <v>58</v>
      </c>
      <c r="K623" s="8">
        <f>tblInventory[[#This Row],[Reorder_Quantity]]*M623</f>
        <v>104.4</v>
      </c>
      <c r="L623" s="10">
        <f>tblInventory[[#This Row],[Stock_Quantity]] / tblInventory[[#This Row],[Reorder_Quantity]]</f>
        <v>0.68965517241379315</v>
      </c>
      <c r="M623" s="3">
        <v>1.8</v>
      </c>
      <c r="N623" s="10">
        <f t="shared" si="18"/>
        <v>0.6791171477079796</v>
      </c>
      <c r="O623" s="1" t="s">
        <v>923</v>
      </c>
      <c r="P623" s="1" t="s">
        <v>232</v>
      </c>
      <c r="Q623" s="2">
        <v>45780</v>
      </c>
      <c r="R623" s="1" t="s">
        <v>924</v>
      </c>
      <c r="S623" s="1">
        <v>71</v>
      </c>
      <c r="T623" s="1">
        <v>10</v>
      </c>
      <c r="U623" s="1" t="s">
        <v>46</v>
      </c>
      <c r="V623" s="3">
        <f>tblInventory[[#This Row],[Stock_Quantity]]*tblInventory[[#This Row],[Unit_Price]]</f>
        <v>72</v>
      </c>
      <c r="W623" s="1" t="str">
        <f>IF(tblInventory[[#This Row],[Status]]="Discontinued","INACTIVE",
IF(tblInventory[[#This Row],[Stock_Quantity]] &lt; tblInventory[[#This Row],[Reorder_Level]],"REORDER","OK"))</f>
        <v>OK</v>
      </c>
      <c r="X623" s="1" t="str">
        <f t="shared" ca="1" si="19"/>
        <v>Expired</v>
      </c>
    </row>
    <row r="624" spans="1:24">
      <c r="A624" s="1">
        <v>623</v>
      </c>
      <c r="B624" s="1" t="s">
        <v>1301</v>
      </c>
      <c r="C624" s="1" t="s">
        <v>575</v>
      </c>
      <c r="D624" s="1" t="s">
        <v>61</v>
      </c>
      <c r="E624" s="1" t="s">
        <v>1302</v>
      </c>
      <c r="F624" s="1" t="s">
        <v>87</v>
      </c>
      <c r="G624" s="6">
        <v>74</v>
      </c>
      <c r="H624" s="8">
        <f>tblInventory[[#This Row],[Stock_Quantity]] * tblInventory[[#This Row],[Unit_Price]]</f>
        <v>133.20000000000002</v>
      </c>
      <c r="I624" s="1">
        <v>4</v>
      </c>
      <c r="J624" s="1">
        <v>67</v>
      </c>
      <c r="K624" s="8">
        <f>tblInventory[[#This Row],[Reorder_Quantity]]*M624</f>
        <v>120.60000000000001</v>
      </c>
      <c r="L624" s="10">
        <f>tblInventory[[#This Row],[Stock_Quantity]] / tblInventory[[#This Row],[Reorder_Quantity]]</f>
        <v>1.1044776119402986</v>
      </c>
      <c r="M624" s="3">
        <v>1.8</v>
      </c>
      <c r="N624" s="10">
        <f t="shared" si="18"/>
        <v>1.2563667232597624</v>
      </c>
      <c r="O624" s="1" t="s">
        <v>336</v>
      </c>
      <c r="P624" s="1" t="s">
        <v>1004</v>
      </c>
      <c r="Q624" s="2">
        <v>45844</v>
      </c>
      <c r="R624" s="1" t="s">
        <v>1303</v>
      </c>
      <c r="S624" s="1">
        <v>31</v>
      </c>
      <c r="T624" s="1">
        <v>34</v>
      </c>
      <c r="U624" s="1" t="s">
        <v>38</v>
      </c>
      <c r="V624" s="3">
        <f>tblInventory[[#This Row],[Stock_Quantity]]*tblInventory[[#This Row],[Unit_Price]]</f>
        <v>133.20000000000002</v>
      </c>
      <c r="W624" s="1" t="str">
        <f>IF(tblInventory[[#This Row],[Status]]="Discontinued","INACTIVE",
IF(tblInventory[[#This Row],[Stock_Quantity]] &lt; tblInventory[[#This Row],[Reorder_Level]],"REORDER","OK"))</f>
        <v>OK</v>
      </c>
      <c r="X624" s="1" t="str">
        <f t="shared" ca="1" si="19"/>
        <v>Expired</v>
      </c>
    </row>
    <row r="625" spans="1:24">
      <c r="A625" s="1">
        <v>624</v>
      </c>
      <c r="B625" s="1" t="s">
        <v>1355</v>
      </c>
      <c r="C625" s="1" t="s">
        <v>575</v>
      </c>
      <c r="D625" s="1" t="s">
        <v>61</v>
      </c>
      <c r="E625" s="1" t="s">
        <v>1356</v>
      </c>
      <c r="F625" s="1" t="s">
        <v>823</v>
      </c>
      <c r="G625" s="6">
        <v>35</v>
      </c>
      <c r="H625" s="8">
        <f>tblInventory[[#This Row],[Stock_Quantity]] * tblInventory[[#This Row],[Unit_Price]]</f>
        <v>63</v>
      </c>
      <c r="I625" s="1">
        <v>41</v>
      </c>
      <c r="J625" s="1">
        <v>84</v>
      </c>
      <c r="K625" s="8">
        <f>tblInventory[[#This Row],[Reorder_Quantity]]*M625</f>
        <v>151.20000000000002</v>
      </c>
      <c r="L625" s="10">
        <f>tblInventory[[#This Row],[Stock_Quantity]] / tblInventory[[#This Row],[Reorder_Quantity]]</f>
        <v>0.41666666666666669</v>
      </c>
      <c r="M625" s="3">
        <v>1.8</v>
      </c>
      <c r="N625" s="10">
        <f t="shared" si="18"/>
        <v>0.59422750424448223</v>
      </c>
      <c r="O625" s="1" t="s">
        <v>158</v>
      </c>
      <c r="P625" s="1" t="s">
        <v>334</v>
      </c>
      <c r="Q625" s="2">
        <v>45829</v>
      </c>
      <c r="R625" s="1" t="s">
        <v>1358</v>
      </c>
      <c r="S625" s="1">
        <v>62</v>
      </c>
      <c r="T625" s="1">
        <v>14</v>
      </c>
      <c r="U625" s="1" t="s">
        <v>38</v>
      </c>
      <c r="V625" s="3">
        <f>tblInventory[[#This Row],[Stock_Quantity]]*tblInventory[[#This Row],[Unit_Price]]</f>
        <v>63</v>
      </c>
      <c r="W625" s="1" t="str">
        <f>IF(tblInventory[[#This Row],[Status]]="Discontinued","INACTIVE",
IF(tblInventory[[#This Row],[Stock_Quantity]] &lt; tblInventory[[#This Row],[Reorder_Level]],"REORDER","OK"))</f>
        <v>REORDER</v>
      </c>
      <c r="X625" s="1" t="str">
        <f t="shared" ca="1" si="19"/>
        <v>Expired</v>
      </c>
    </row>
    <row r="626" spans="1:24">
      <c r="A626" s="1">
        <v>625</v>
      </c>
      <c r="B626" s="1" t="s">
        <v>2457</v>
      </c>
      <c r="C626" s="1" t="s">
        <v>575</v>
      </c>
      <c r="D626" s="1" t="s">
        <v>61</v>
      </c>
      <c r="E626" s="1" t="s">
        <v>2458</v>
      </c>
      <c r="F626" s="1" t="s">
        <v>529</v>
      </c>
      <c r="G626" s="6">
        <v>58</v>
      </c>
      <c r="H626" s="8">
        <f>tblInventory[[#This Row],[Stock_Quantity]] * tblInventory[[#This Row],[Unit_Price]]</f>
        <v>104.4</v>
      </c>
      <c r="I626" s="1">
        <v>23</v>
      </c>
      <c r="J626" s="1">
        <v>66</v>
      </c>
      <c r="K626" s="8">
        <f>tblInventory[[#This Row],[Reorder_Quantity]]*M626</f>
        <v>118.8</v>
      </c>
      <c r="L626" s="10">
        <f>tblInventory[[#This Row],[Stock_Quantity]] / tblInventory[[#This Row],[Reorder_Quantity]]</f>
        <v>0.87878787878787878</v>
      </c>
      <c r="M626" s="3">
        <v>1.8</v>
      </c>
      <c r="N626" s="10">
        <f t="shared" si="18"/>
        <v>0.98471986417657054</v>
      </c>
      <c r="O626" s="1" t="s">
        <v>610</v>
      </c>
      <c r="P626" s="2">
        <v>45631</v>
      </c>
      <c r="Q626" s="2">
        <v>46155</v>
      </c>
      <c r="R626" s="1" t="s">
        <v>2459</v>
      </c>
      <c r="S626" s="1">
        <v>82</v>
      </c>
      <c r="T626" s="1">
        <v>61</v>
      </c>
      <c r="U626" s="1" t="s">
        <v>38</v>
      </c>
      <c r="V626" s="3">
        <f>tblInventory[[#This Row],[Stock_Quantity]]*tblInventory[[#This Row],[Unit_Price]]</f>
        <v>104.4</v>
      </c>
      <c r="W626" s="1" t="str">
        <f>IF(tblInventory[[#This Row],[Status]]="Discontinued","INACTIVE",
IF(tblInventory[[#This Row],[Stock_Quantity]] &lt; tblInventory[[#This Row],[Reorder_Level]],"REORDER","OK"))</f>
        <v>OK</v>
      </c>
      <c r="X626" s="1" t="str">
        <f t="shared" ca="1" si="19"/>
        <v>Valid</v>
      </c>
    </row>
    <row r="627" spans="1:24">
      <c r="A627" s="1">
        <v>626</v>
      </c>
      <c r="B627" s="1" t="s">
        <v>2756</v>
      </c>
      <c r="C627" s="1" t="s">
        <v>575</v>
      </c>
      <c r="D627" s="1" t="s">
        <v>61</v>
      </c>
      <c r="E627" s="1" t="s">
        <v>2757</v>
      </c>
      <c r="F627" s="1" t="s">
        <v>433</v>
      </c>
      <c r="G627" s="6">
        <v>67</v>
      </c>
      <c r="H627" s="8">
        <f>tblInventory[[#This Row],[Stock_Quantity]] * tblInventory[[#This Row],[Unit_Price]]</f>
        <v>120.60000000000001</v>
      </c>
      <c r="I627" s="1">
        <v>57</v>
      </c>
      <c r="J627" s="1">
        <v>36</v>
      </c>
      <c r="K627" s="8">
        <f>tblInventory[[#This Row],[Reorder_Quantity]]*M627</f>
        <v>64.8</v>
      </c>
      <c r="L627" s="10">
        <f>tblInventory[[#This Row],[Stock_Quantity]] / tblInventory[[#This Row],[Reorder_Quantity]]</f>
        <v>1.8611111111111112</v>
      </c>
      <c r="M627" s="3">
        <v>1.8</v>
      </c>
      <c r="N627" s="10">
        <f t="shared" si="18"/>
        <v>1.137521222410866</v>
      </c>
      <c r="O627" s="2">
        <v>45330</v>
      </c>
      <c r="P627" s="2">
        <v>45569</v>
      </c>
      <c r="Q627" s="2">
        <v>46247</v>
      </c>
      <c r="R627" s="1" t="s">
        <v>2758</v>
      </c>
      <c r="S627" s="1">
        <v>78</v>
      </c>
      <c r="T627" s="1">
        <v>60</v>
      </c>
      <c r="U627" s="1" t="s">
        <v>46</v>
      </c>
      <c r="V627" s="3">
        <f>tblInventory[[#This Row],[Stock_Quantity]]*tblInventory[[#This Row],[Unit_Price]]</f>
        <v>120.60000000000001</v>
      </c>
      <c r="W627" s="1" t="str">
        <f>IF(tblInventory[[#This Row],[Status]]="Discontinued","INACTIVE",
IF(tblInventory[[#This Row],[Stock_Quantity]] &lt; tblInventory[[#This Row],[Reorder_Level]],"REORDER","OK"))</f>
        <v>OK</v>
      </c>
      <c r="X627" s="1" t="str">
        <f t="shared" ca="1" si="19"/>
        <v>Valid</v>
      </c>
    </row>
    <row r="628" spans="1:24">
      <c r="A628" s="1">
        <v>627</v>
      </c>
      <c r="B628" s="1" t="s">
        <v>2896</v>
      </c>
      <c r="C628" s="1" t="s">
        <v>575</v>
      </c>
      <c r="D628" s="1" t="s">
        <v>61</v>
      </c>
      <c r="E628" s="1" t="s">
        <v>2897</v>
      </c>
      <c r="F628" s="1" t="s">
        <v>687</v>
      </c>
      <c r="G628" s="6">
        <v>69</v>
      </c>
      <c r="H628" s="8">
        <f>tblInventory[[#This Row],[Stock_Quantity]] * tblInventory[[#This Row],[Unit_Price]]</f>
        <v>124.2</v>
      </c>
      <c r="I628" s="1">
        <v>59</v>
      </c>
      <c r="J628" s="1">
        <v>29</v>
      </c>
      <c r="K628" s="8">
        <f>tblInventory[[#This Row],[Reorder_Quantity]]*M628</f>
        <v>52.2</v>
      </c>
      <c r="L628" s="10">
        <f>tblInventory[[#This Row],[Stock_Quantity]] / tblInventory[[#This Row],[Reorder_Quantity]]</f>
        <v>2.3793103448275863</v>
      </c>
      <c r="M628" s="3">
        <v>1.8</v>
      </c>
      <c r="N628" s="10">
        <f t="shared" si="18"/>
        <v>1.1714770797962648</v>
      </c>
      <c r="O628" s="1" t="s">
        <v>265</v>
      </c>
      <c r="P628" s="1" t="s">
        <v>770</v>
      </c>
      <c r="Q628" s="2">
        <v>46288</v>
      </c>
      <c r="R628" s="1" t="s">
        <v>2898</v>
      </c>
      <c r="S628" s="1">
        <v>63</v>
      </c>
      <c r="T628" s="1">
        <v>91</v>
      </c>
      <c r="U628" s="1" t="s">
        <v>46</v>
      </c>
      <c r="V628" s="3">
        <f>tblInventory[[#This Row],[Stock_Quantity]]*tblInventory[[#This Row],[Unit_Price]]</f>
        <v>124.2</v>
      </c>
      <c r="W628" s="1" t="str">
        <f>IF(tblInventory[[#This Row],[Status]]="Discontinued","INACTIVE",
IF(tblInventory[[#This Row],[Stock_Quantity]] &lt; tblInventory[[#This Row],[Reorder_Level]],"REORDER","OK"))</f>
        <v>OK</v>
      </c>
      <c r="X628" s="1" t="str">
        <f t="shared" ca="1" si="19"/>
        <v>Valid</v>
      </c>
    </row>
    <row r="629" spans="1:24">
      <c r="A629" s="1">
        <v>628</v>
      </c>
      <c r="B629" s="1" t="s">
        <v>3079</v>
      </c>
      <c r="C629" s="1" t="s">
        <v>575</v>
      </c>
      <c r="D629" s="1" t="s">
        <v>61</v>
      </c>
      <c r="E629" s="1" t="s">
        <v>3080</v>
      </c>
      <c r="F629" s="1" t="s">
        <v>3081</v>
      </c>
      <c r="G629" s="6">
        <v>44</v>
      </c>
      <c r="H629" s="8">
        <f>tblInventory[[#This Row],[Stock_Quantity]] * tblInventory[[#This Row],[Unit_Price]]</f>
        <v>79.2</v>
      </c>
      <c r="I629" s="1">
        <v>83</v>
      </c>
      <c r="J629" s="1">
        <v>78</v>
      </c>
      <c r="K629" s="8">
        <f>tblInventory[[#This Row],[Reorder_Quantity]]*M629</f>
        <v>140.4</v>
      </c>
      <c r="L629" s="10">
        <f>tblInventory[[#This Row],[Stock_Quantity]] / tblInventory[[#This Row],[Reorder_Quantity]]</f>
        <v>0.5641025641025641</v>
      </c>
      <c r="M629" s="3">
        <v>1.8</v>
      </c>
      <c r="N629" s="10">
        <f t="shared" si="18"/>
        <v>0.74702886247877764</v>
      </c>
      <c r="O629" s="2">
        <v>45511</v>
      </c>
      <c r="P629" s="2">
        <v>45839</v>
      </c>
      <c r="Q629" s="2">
        <v>46347</v>
      </c>
      <c r="R629" s="1" t="s">
        <v>3082</v>
      </c>
      <c r="S629" s="1">
        <v>46</v>
      </c>
      <c r="T629" s="1">
        <v>4</v>
      </c>
      <c r="U629" s="1" t="s">
        <v>24</v>
      </c>
      <c r="V629" s="3">
        <f>tblInventory[[#This Row],[Stock_Quantity]]*tblInventory[[#This Row],[Unit_Price]]</f>
        <v>79.2</v>
      </c>
      <c r="W629" s="1" t="str">
        <f>IF(tblInventory[[#This Row],[Status]]="Discontinued","INACTIVE",
IF(tblInventory[[#This Row],[Stock_Quantity]] &lt; tblInventory[[#This Row],[Reorder_Level]],"REORDER","OK"))</f>
        <v>INACTIVE</v>
      </c>
      <c r="X629" s="1" t="str">
        <f t="shared" ca="1" si="19"/>
        <v>Valid</v>
      </c>
    </row>
    <row r="630" spans="1:24">
      <c r="A630" s="1">
        <v>629</v>
      </c>
      <c r="B630" s="1" t="s">
        <v>1406</v>
      </c>
      <c r="C630" s="1" t="s">
        <v>1407</v>
      </c>
      <c r="D630" s="1" t="s">
        <v>49</v>
      </c>
      <c r="E630" s="1" t="s">
        <v>1408</v>
      </c>
      <c r="F630" s="1" t="s">
        <v>1339</v>
      </c>
      <c r="G630" s="6">
        <v>59</v>
      </c>
      <c r="H630" s="8">
        <f>tblInventory[[#This Row],[Stock_Quantity]] * tblInventory[[#This Row],[Unit_Price]]</f>
        <v>265.5</v>
      </c>
      <c r="I630" s="1">
        <v>74</v>
      </c>
      <c r="J630" s="1">
        <v>100</v>
      </c>
      <c r="K630" s="8">
        <f>tblInventory[[#This Row],[Reorder_Quantity]]*M630</f>
        <v>450</v>
      </c>
      <c r="L630" s="10">
        <f>tblInventory[[#This Row],[Stock_Quantity]] / tblInventory[[#This Row],[Reorder_Quantity]]</f>
        <v>0.59</v>
      </c>
      <c r="M630" s="3">
        <v>4.5</v>
      </c>
      <c r="N630" s="10">
        <f t="shared" si="18"/>
        <v>1.0016977928692701</v>
      </c>
      <c r="O630" s="1" t="s">
        <v>336</v>
      </c>
      <c r="P630" s="1" t="s">
        <v>408</v>
      </c>
      <c r="Q630" s="2">
        <v>45754</v>
      </c>
      <c r="R630" s="1" t="s">
        <v>1409</v>
      </c>
      <c r="S630" s="1">
        <v>63</v>
      </c>
      <c r="T630" s="1">
        <v>69</v>
      </c>
      <c r="U630" s="1" t="s">
        <v>46</v>
      </c>
      <c r="V630" s="3">
        <f>tblInventory[[#This Row],[Stock_Quantity]]*tblInventory[[#This Row],[Unit_Price]]</f>
        <v>265.5</v>
      </c>
      <c r="W630" s="1" t="str">
        <f>IF(tblInventory[[#This Row],[Status]]="Discontinued","INACTIVE",
IF(tblInventory[[#This Row],[Stock_Quantity]] &lt; tblInventory[[#This Row],[Reorder_Level]],"REORDER","OK"))</f>
        <v>REORDER</v>
      </c>
      <c r="X630" s="1" t="str">
        <f t="shared" ca="1" si="19"/>
        <v>Expired</v>
      </c>
    </row>
    <row r="631" spans="1:24">
      <c r="A631" s="1">
        <v>630</v>
      </c>
      <c r="B631" s="1" t="s">
        <v>1772</v>
      </c>
      <c r="C631" s="1" t="s">
        <v>1407</v>
      </c>
      <c r="D631" s="1" t="s">
        <v>49</v>
      </c>
      <c r="E631" s="1" t="s">
        <v>1773</v>
      </c>
      <c r="F631" s="1" t="s">
        <v>401</v>
      </c>
      <c r="G631" s="6">
        <v>45</v>
      </c>
      <c r="H631" s="8">
        <f>tblInventory[[#This Row],[Stock_Quantity]] * tblInventory[[#This Row],[Unit_Price]]</f>
        <v>202.5</v>
      </c>
      <c r="I631" s="1">
        <v>28</v>
      </c>
      <c r="J631" s="1">
        <v>6</v>
      </c>
      <c r="K631" s="8">
        <f>tblInventory[[#This Row],[Reorder_Quantity]]*M631</f>
        <v>27</v>
      </c>
      <c r="L631" s="10">
        <f>tblInventory[[#This Row],[Stock_Quantity]] / tblInventory[[#This Row],[Reorder_Quantity]]</f>
        <v>7.5</v>
      </c>
      <c r="M631" s="3">
        <v>4.5</v>
      </c>
      <c r="N631" s="10">
        <f t="shared" si="18"/>
        <v>0.76400679117147707</v>
      </c>
      <c r="O631" s="1" t="s">
        <v>64</v>
      </c>
      <c r="P631" s="1" t="s">
        <v>417</v>
      </c>
      <c r="Q631" s="2">
        <v>45945</v>
      </c>
      <c r="R631" s="1" t="s">
        <v>1774</v>
      </c>
      <c r="S631" s="1">
        <v>35</v>
      </c>
      <c r="T631" s="1">
        <v>16</v>
      </c>
      <c r="U631" s="1" t="s">
        <v>24</v>
      </c>
      <c r="V631" s="3">
        <f>tblInventory[[#This Row],[Stock_Quantity]]*tblInventory[[#This Row],[Unit_Price]]</f>
        <v>202.5</v>
      </c>
      <c r="W631" s="1" t="str">
        <f>IF(tblInventory[[#This Row],[Status]]="Discontinued","INACTIVE",
IF(tblInventory[[#This Row],[Stock_Quantity]] &lt; tblInventory[[#This Row],[Reorder_Level]],"REORDER","OK"))</f>
        <v>INACTIVE</v>
      </c>
      <c r="X631" s="1" t="str">
        <f t="shared" ca="1" si="19"/>
        <v>Expired</v>
      </c>
    </row>
    <row r="632" spans="1:24">
      <c r="A632" s="1">
        <v>631</v>
      </c>
      <c r="B632" s="1" t="s">
        <v>1795</v>
      </c>
      <c r="C632" s="1" t="s">
        <v>1407</v>
      </c>
      <c r="D632" s="1" t="s">
        <v>49</v>
      </c>
      <c r="E632" s="1" t="s">
        <v>1796</v>
      </c>
      <c r="F632" s="1" t="s">
        <v>42</v>
      </c>
      <c r="G632" s="6">
        <v>20</v>
      </c>
      <c r="H632" s="8">
        <f>tblInventory[[#This Row],[Stock_Quantity]] * tblInventory[[#This Row],[Unit_Price]]</f>
        <v>90</v>
      </c>
      <c r="I632" s="1">
        <v>91</v>
      </c>
      <c r="J632" s="1">
        <v>12</v>
      </c>
      <c r="K632" s="8">
        <f>tblInventory[[#This Row],[Reorder_Quantity]]*M632</f>
        <v>54</v>
      </c>
      <c r="L632" s="10">
        <f>tblInventory[[#This Row],[Stock_Quantity]] / tblInventory[[#This Row],[Reorder_Quantity]]</f>
        <v>1.6666666666666667</v>
      </c>
      <c r="M632" s="3">
        <v>4.5</v>
      </c>
      <c r="N632" s="10">
        <f t="shared" si="18"/>
        <v>0.3395585738539898</v>
      </c>
      <c r="O632" s="1" t="s">
        <v>377</v>
      </c>
      <c r="P632" s="1" t="s">
        <v>103</v>
      </c>
      <c r="Q632" s="2">
        <v>45952</v>
      </c>
      <c r="R632" s="1" t="s">
        <v>1797</v>
      </c>
      <c r="S632" s="1">
        <v>35</v>
      </c>
      <c r="T632" s="1">
        <v>50</v>
      </c>
      <c r="U632" s="1" t="s">
        <v>46</v>
      </c>
      <c r="V632" s="3">
        <f>tblInventory[[#This Row],[Stock_Quantity]]*tblInventory[[#This Row],[Unit_Price]]</f>
        <v>90</v>
      </c>
      <c r="W632" s="1" t="str">
        <f>IF(tblInventory[[#This Row],[Status]]="Discontinued","INACTIVE",
IF(tblInventory[[#This Row],[Stock_Quantity]] &lt; tblInventory[[#This Row],[Reorder_Level]],"REORDER","OK"))</f>
        <v>REORDER</v>
      </c>
      <c r="X632" s="1" t="str">
        <f t="shared" ca="1" si="19"/>
        <v>Expired</v>
      </c>
    </row>
    <row r="633" spans="1:24">
      <c r="A633" s="1">
        <v>632</v>
      </c>
      <c r="B633" s="1" t="s">
        <v>2277</v>
      </c>
      <c r="C633" s="1" t="s">
        <v>1407</v>
      </c>
      <c r="D633" s="1" t="s">
        <v>49</v>
      </c>
      <c r="E633" s="1" t="s">
        <v>2278</v>
      </c>
      <c r="F633" s="1" t="s">
        <v>388</v>
      </c>
      <c r="G633" s="6">
        <v>84</v>
      </c>
      <c r="H633" s="8">
        <f>tblInventory[[#This Row],[Stock_Quantity]] * tblInventory[[#This Row],[Unit_Price]]</f>
        <v>369.6</v>
      </c>
      <c r="I633" s="1">
        <v>28</v>
      </c>
      <c r="J633" s="1">
        <v>29</v>
      </c>
      <c r="K633" s="8">
        <f>tblInventory[[#This Row],[Reorder_Quantity]]*M633</f>
        <v>127.60000000000001</v>
      </c>
      <c r="L633" s="10">
        <f>tblInventory[[#This Row],[Stock_Quantity]] / tblInventory[[#This Row],[Reorder_Quantity]]</f>
        <v>2.896551724137931</v>
      </c>
      <c r="M633" s="3">
        <v>4.4000000000000004</v>
      </c>
      <c r="N633" s="10">
        <f t="shared" si="18"/>
        <v>1.4261460101867574</v>
      </c>
      <c r="O633" s="2">
        <v>45902</v>
      </c>
      <c r="P633" s="1" t="s">
        <v>329</v>
      </c>
      <c r="Q633" s="2">
        <v>46099</v>
      </c>
      <c r="R633" s="1" t="s">
        <v>2279</v>
      </c>
      <c r="S633" s="1">
        <v>54</v>
      </c>
      <c r="T633" s="1">
        <v>32</v>
      </c>
      <c r="U633" s="1" t="s">
        <v>24</v>
      </c>
      <c r="V633" s="3">
        <f>tblInventory[[#This Row],[Stock_Quantity]]*tblInventory[[#This Row],[Unit_Price]]</f>
        <v>369.6</v>
      </c>
      <c r="W633" s="1" t="str">
        <f>IF(tblInventory[[#This Row],[Status]]="Discontinued","INACTIVE",
IF(tblInventory[[#This Row],[Stock_Quantity]] &lt; tblInventory[[#This Row],[Reorder_Level]],"REORDER","OK"))</f>
        <v>INACTIVE</v>
      </c>
      <c r="X633" s="1" t="str">
        <f t="shared" ca="1" si="19"/>
        <v>Valid</v>
      </c>
    </row>
    <row r="634" spans="1:24">
      <c r="A634" s="1">
        <v>633</v>
      </c>
      <c r="B634" s="1" t="s">
        <v>2305</v>
      </c>
      <c r="C634" s="1" t="s">
        <v>1407</v>
      </c>
      <c r="D634" s="1" t="s">
        <v>49</v>
      </c>
      <c r="E634" s="1" t="s">
        <v>2306</v>
      </c>
      <c r="F634" s="1" t="s">
        <v>368</v>
      </c>
      <c r="G634" s="6">
        <v>24</v>
      </c>
      <c r="H634" s="8">
        <f>tblInventory[[#This Row],[Stock_Quantity]] * tblInventory[[#This Row],[Unit_Price]]</f>
        <v>108</v>
      </c>
      <c r="I634" s="1">
        <v>25</v>
      </c>
      <c r="J634" s="1">
        <v>52</v>
      </c>
      <c r="K634" s="8">
        <f>tblInventory[[#This Row],[Reorder_Quantity]]*M634</f>
        <v>234</v>
      </c>
      <c r="L634" s="10">
        <f>tblInventory[[#This Row],[Stock_Quantity]] / tblInventory[[#This Row],[Reorder_Quantity]]</f>
        <v>0.46153846153846156</v>
      </c>
      <c r="M634" s="3">
        <v>4.5</v>
      </c>
      <c r="N634" s="10">
        <f t="shared" si="18"/>
        <v>0.40747028862478779</v>
      </c>
      <c r="O634" s="1" t="s">
        <v>873</v>
      </c>
      <c r="P634" s="1" t="s">
        <v>770</v>
      </c>
      <c r="Q634" s="2">
        <v>46108</v>
      </c>
      <c r="R634" s="1" t="s">
        <v>2307</v>
      </c>
      <c r="S634" s="1">
        <v>24</v>
      </c>
      <c r="T634" s="1">
        <v>77</v>
      </c>
      <c r="U634" s="1" t="s">
        <v>38</v>
      </c>
      <c r="V634" s="3">
        <f>tblInventory[[#This Row],[Stock_Quantity]]*tblInventory[[#This Row],[Unit_Price]]</f>
        <v>108</v>
      </c>
      <c r="W634" s="1" t="str">
        <f>IF(tblInventory[[#This Row],[Status]]="Discontinued","INACTIVE",
IF(tblInventory[[#This Row],[Stock_Quantity]] &lt; tblInventory[[#This Row],[Reorder_Level]],"REORDER","OK"))</f>
        <v>REORDER</v>
      </c>
      <c r="X634" s="1" t="str">
        <f t="shared" ca="1" si="19"/>
        <v>Valid</v>
      </c>
    </row>
    <row r="635" spans="1:24">
      <c r="A635" s="1">
        <v>634</v>
      </c>
      <c r="B635" s="1" t="s">
        <v>2605</v>
      </c>
      <c r="C635" s="1" t="s">
        <v>1407</v>
      </c>
      <c r="D635" s="1" t="s">
        <v>49</v>
      </c>
      <c r="E635" s="1" t="s">
        <v>2606</v>
      </c>
      <c r="F635" s="1" t="s">
        <v>42</v>
      </c>
      <c r="G635" s="6">
        <v>81</v>
      </c>
      <c r="H635" s="8">
        <f>tblInventory[[#This Row],[Stock_Quantity]] * tblInventory[[#This Row],[Unit_Price]]</f>
        <v>348.3</v>
      </c>
      <c r="I635" s="1">
        <v>16</v>
      </c>
      <c r="J635" s="1">
        <v>69</v>
      </c>
      <c r="K635" s="8">
        <f>tblInventory[[#This Row],[Reorder_Quantity]]*M635</f>
        <v>296.7</v>
      </c>
      <c r="L635" s="10">
        <f>tblInventory[[#This Row],[Stock_Quantity]] / tblInventory[[#This Row],[Reorder_Quantity]]</f>
        <v>1.173913043478261</v>
      </c>
      <c r="M635" s="3">
        <v>4.3</v>
      </c>
      <c r="N635" s="10">
        <f t="shared" si="18"/>
        <v>1.3752122241086588</v>
      </c>
      <c r="O635" s="2">
        <v>45809</v>
      </c>
      <c r="P635" s="2">
        <v>45390</v>
      </c>
      <c r="Q635" s="2">
        <v>46199</v>
      </c>
      <c r="R635" s="1" t="s">
        <v>2607</v>
      </c>
      <c r="S635" s="1">
        <v>23</v>
      </c>
      <c r="T635" s="1">
        <v>96</v>
      </c>
      <c r="U635" s="1" t="s">
        <v>38</v>
      </c>
      <c r="V635" s="3">
        <f>tblInventory[[#This Row],[Stock_Quantity]]*tblInventory[[#This Row],[Unit_Price]]</f>
        <v>348.3</v>
      </c>
      <c r="W635" s="1" t="str">
        <f>IF(tblInventory[[#This Row],[Status]]="Discontinued","INACTIVE",
IF(tblInventory[[#This Row],[Stock_Quantity]] &lt; tblInventory[[#This Row],[Reorder_Level]],"REORDER","OK"))</f>
        <v>OK</v>
      </c>
      <c r="X635" s="1" t="str">
        <f t="shared" ca="1" si="19"/>
        <v>Valid</v>
      </c>
    </row>
    <row r="636" spans="1:24">
      <c r="A636" s="1">
        <v>635</v>
      </c>
      <c r="B636" s="1" t="s">
        <v>2949</v>
      </c>
      <c r="C636" s="1" t="s">
        <v>1407</v>
      </c>
      <c r="D636" s="1" t="s">
        <v>49</v>
      </c>
      <c r="E636" s="1" t="s">
        <v>2950</v>
      </c>
      <c r="F636" s="1" t="s">
        <v>381</v>
      </c>
      <c r="G636" s="6">
        <v>97</v>
      </c>
      <c r="H636" s="8">
        <f>tblInventory[[#This Row],[Stock_Quantity]] * tblInventory[[#This Row],[Unit_Price]]</f>
        <v>436.5</v>
      </c>
      <c r="I636" s="1">
        <v>97</v>
      </c>
      <c r="J636" s="1">
        <v>71</v>
      </c>
      <c r="K636" s="8">
        <f>tblInventory[[#This Row],[Reorder_Quantity]]*M636</f>
        <v>319.5</v>
      </c>
      <c r="L636" s="10">
        <f>tblInventory[[#This Row],[Stock_Quantity]] / tblInventory[[#This Row],[Reorder_Quantity]]</f>
        <v>1.3661971830985915</v>
      </c>
      <c r="M636" s="3">
        <v>4.5</v>
      </c>
      <c r="N636" s="10">
        <f t="shared" si="18"/>
        <v>1.6468590831918506</v>
      </c>
      <c r="O636" s="2">
        <v>45633</v>
      </c>
      <c r="P636" s="1" t="s">
        <v>800</v>
      </c>
      <c r="Q636" s="2">
        <v>46305</v>
      </c>
      <c r="R636" s="1" t="s">
        <v>2951</v>
      </c>
      <c r="S636" s="1">
        <v>53</v>
      </c>
      <c r="T636" s="1">
        <v>31</v>
      </c>
      <c r="U636" s="1" t="s">
        <v>46</v>
      </c>
      <c r="V636" s="3">
        <f>tblInventory[[#This Row],[Stock_Quantity]]*tblInventory[[#This Row],[Unit_Price]]</f>
        <v>436.5</v>
      </c>
      <c r="W636" s="1" t="str">
        <f>IF(tblInventory[[#This Row],[Status]]="Discontinued","INACTIVE",
IF(tblInventory[[#This Row],[Stock_Quantity]] &lt; tblInventory[[#This Row],[Reorder_Level]],"REORDER","OK"))</f>
        <v>OK</v>
      </c>
      <c r="X636" s="1" t="str">
        <f t="shared" ca="1" si="19"/>
        <v>Valid</v>
      </c>
    </row>
    <row r="637" spans="1:24">
      <c r="A637" s="1">
        <v>636</v>
      </c>
      <c r="B637" s="1" t="s">
        <v>3684</v>
      </c>
      <c r="C637" s="1" t="s">
        <v>1407</v>
      </c>
      <c r="D637" s="1" t="s">
        <v>49</v>
      </c>
      <c r="E637" s="1" t="s">
        <v>3685</v>
      </c>
      <c r="F637" s="1" t="s">
        <v>2539</v>
      </c>
      <c r="G637" s="6">
        <v>19</v>
      </c>
      <c r="H637" s="8">
        <f>tblInventory[[#This Row],[Stock_Quantity]] * tblInventory[[#This Row],[Unit_Price]]</f>
        <v>85.5</v>
      </c>
      <c r="I637" s="1">
        <v>28</v>
      </c>
      <c r="J637" s="1">
        <v>83</v>
      </c>
      <c r="K637" s="8">
        <f>tblInventory[[#This Row],[Reorder_Quantity]]*M637</f>
        <v>373.5</v>
      </c>
      <c r="L637" s="10">
        <f>tblInventory[[#This Row],[Stock_Quantity]] / tblInventory[[#This Row],[Reorder_Quantity]]</f>
        <v>0.2289156626506024</v>
      </c>
      <c r="M637" s="3">
        <v>4.5</v>
      </c>
      <c r="N637" s="10">
        <f t="shared" si="18"/>
        <v>0.32258064516129031</v>
      </c>
      <c r="O637" s="1" t="s">
        <v>377</v>
      </c>
      <c r="P637" s="2">
        <v>45294</v>
      </c>
      <c r="Q637" s="2">
        <v>46513</v>
      </c>
      <c r="R637" s="1" t="s">
        <v>3686</v>
      </c>
      <c r="S637" s="1">
        <v>91</v>
      </c>
      <c r="T637" s="1">
        <v>73</v>
      </c>
      <c r="U637" s="1" t="s">
        <v>24</v>
      </c>
      <c r="V637" s="3">
        <f>tblInventory[[#This Row],[Stock_Quantity]]*tblInventory[[#This Row],[Unit_Price]]</f>
        <v>85.5</v>
      </c>
      <c r="W637" s="1" t="str">
        <f>IF(tblInventory[[#This Row],[Status]]="Discontinued","INACTIVE",
IF(tblInventory[[#This Row],[Stock_Quantity]] &lt; tblInventory[[#This Row],[Reorder_Level]],"REORDER","OK"))</f>
        <v>INACTIVE</v>
      </c>
      <c r="X637" s="1" t="str">
        <f t="shared" ca="1" si="19"/>
        <v>Valid</v>
      </c>
    </row>
    <row r="638" spans="1:24">
      <c r="A638" s="1">
        <v>637</v>
      </c>
      <c r="B638" s="1" t="s">
        <v>173</v>
      </c>
      <c r="C638" s="1" t="s">
        <v>174</v>
      </c>
      <c r="D638" s="1" t="s">
        <v>69</v>
      </c>
      <c r="E638" s="1" t="s">
        <v>175</v>
      </c>
      <c r="F638" s="1" t="s">
        <v>176</v>
      </c>
      <c r="G638" s="6">
        <v>63</v>
      </c>
      <c r="H638" s="8">
        <f>tblInventory[[#This Row],[Stock_Quantity]] * tblInventory[[#This Row],[Unit_Price]]</f>
        <v>756</v>
      </c>
      <c r="I638" s="1">
        <v>4</v>
      </c>
      <c r="J638" s="1">
        <v>85</v>
      </c>
      <c r="K638" s="8">
        <f>tblInventory[[#This Row],[Reorder_Quantity]]*M638</f>
        <v>1020</v>
      </c>
      <c r="L638" s="10">
        <f>tblInventory[[#This Row],[Stock_Quantity]] / tblInventory[[#This Row],[Reorder_Quantity]]</f>
        <v>0.74117647058823533</v>
      </c>
      <c r="M638" s="3">
        <v>12</v>
      </c>
      <c r="N638" s="10">
        <f t="shared" si="18"/>
        <v>1.069609507640068</v>
      </c>
      <c r="O638" s="1" t="s">
        <v>177</v>
      </c>
      <c r="P638" s="1" t="s">
        <v>178</v>
      </c>
      <c r="Q638" s="2">
        <v>45578</v>
      </c>
      <c r="R638" s="1" t="s">
        <v>179</v>
      </c>
      <c r="S638" s="1">
        <v>59</v>
      </c>
      <c r="T638" s="1">
        <v>71</v>
      </c>
      <c r="U638" s="1" t="s">
        <v>46</v>
      </c>
      <c r="V638" s="3">
        <f>tblInventory[[#This Row],[Stock_Quantity]]*tblInventory[[#This Row],[Unit_Price]]</f>
        <v>756</v>
      </c>
      <c r="W638" s="1" t="str">
        <f>IF(tblInventory[[#This Row],[Status]]="Discontinued","INACTIVE",
IF(tblInventory[[#This Row],[Stock_Quantity]] &lt; tblInventory[[#This Row],[Reorder_Level]],"REORDER","OK"))</f>
        <v>OK</v>
      </c>
      <c r="X638" s="1" t="str">
        <f t="shared" ca="1" si="19"/>
        <v>Expired</v>
      </c>
    </row>
    <row r="639" spans="1:24">
      <c r="A639" s="1">
        <v>638</v>
      </c>
      <c r="B639" s="1" t="s">
        <v>1904</v>
      </c>
      <c r="C639" s="1" t="s">
        <v>174</v>
      </c>
      <c r="D639" s="1" t="s">
        <v>69</v>
      </c>
      <c r="E639" s="1" t="s">
        <v>1905</v>
      </c>
      <c r="F639" s="1" t="s">
        <v>1521</v>
      </c>
      <c r="G639" s="6">
        <v>96</v>
      </c>
      <c r="H639" s="8">
        <f>tblInventory[[#This Row],[Stock_Quantity]] * tblInventory[[#This Row],[Unit_Price]]</f>
        <v>1132.8000000000002</v>
      </c>
      <c r="I639" s="1">
        <v>9</v>
      </c>
      <c r="J639" s="1">
        <v>57</v>
      </c>
      <c r="K639" s="8">
        <f>tblInventory[[#This Row],[Reorder_Quantity]]*M639</f>
        <v>672.6</v>
      </c>
      <c r="L639" s="10">
        <f>tblInventory[[#This Row],[Stock_Quantity]] / tblInventory[[#This Row],[Reorder_Quantity]]</f>
        <v>1.6842105263157894</v>
      </c>
      <c r="M639" s="3">
        <v>11.8</v>
      </c>
      <c r="N639" s="10">
        <f t="shared" si="18"/>
        <v>1.6298811544991512</v>
      </c>
      <c r="O639" s="1" t="s">
        <v>297</v>
      </c>
      <c r="P639" s="1" t="s">
        <v>653</v>
      </c>
      <c r="Q639" s="2">
        <v>45984</v>
      </c>
      <c r="R639" s="1" t="s">
        <v>1906</v>
      </c>
      <c r="S639" s="1">
        <v>78</v>
      </c>
      <c r="T639" s="1">
        <v>67</v>
      </c>
      <c r="U639" s="1" t="s">
        <v>46</v>
      </c>
      <c r="V639" s="3">
        <f>tblInventory[[#This Row],[Stock_Quantity]]*tblInventory[[#This Row],[Unit_Price]]</f>
        <v>1132.8000000000002</v>
      </c>
      <c r="W639" s="1" t="str">
        <f>IF(tblInventory[[#This Row],[Status]]="Discontinued","INACTIVE",
IF(tblInventory[[#This Row],[Stock_Quantity]] &lt; tblInventory[[#This Row],[Reorder_Level]],"REORDER","OK"))</f>
        <v>OK</v>
      </c>
      <c r="X639" s="1" t="str">
        <f t="shared" ca="1" si="19"/>
        <v>Expired</v>
      </c>
    </row>
    <row r="640" spans="1:24">
      <c r="A640" s="1">
        <v>639</v>
      </c>
      <c r="B640" s="1" t="s">
        <v>2620</v>
      </c>
      <c r="C640" s="1" t="s">
        <v>174</v>
      </c>
      <c r="D640" s="1" t="s">
        <v>69</v>
      </c>
      <c r="E640" s="1" t="s">
        <v>2621</v>
      </c>
      <c r="F640" s="1" t="s">
        <v>2079</v>
      </c>
      <c r="G640" s="6">
        <v>99</v>
      </c>
      <c r="H640" s="8">
        <f>tblInventory[[#This Row],[Stock_Quantity]] * tblInventory[[#This Row],[Unit_Price]]</f>
        <v>1188</v>
      </c>
      <c r="I640" s="1">
        <v>10</v>
      </c>
      <c r="J640" s="1">
        <v>88</v>
      </c>
      <c r="K640" s="8">
        <f>tblInventory[[#This Row],[Reorder_Quantity]]*M640</f>
        <v>1056</v>
      </c>
      <c r="L640" s="10">
        <f>tblInventory[[#This Row],[Stock_Quantity]] / tblInventory[[#This Row],[Reorder_Quantity]]</f>
        <v>1.125</v>
      </c>
      <c r="M640" s="3">
        <v>12</v>
      </c>
      <c r="N640" s="10">
        <f t="shared" si="18"/>
        <v>1.6808149405772497</v>
      </c>
      <c r="O640" s="1" t="s">
        <v>693</v>
      </c>
      <c r="P640" s="2">
        <v>45424</v>
      </c>
      <c r="Q640" s="2">
        <v>46029</v>
      </c>
      <c r="R640" s="1" t="s">
        <v>2622</v>
      </c>
      <c r="S640" s="1">
        <v>69</v>
      </c>
      <c r="T640" s="1">
        <v>98</v>
      </c>
      <c r="U640" s="1" t="s">
        <v>46</v>
      </c>
      <c r="V640" s="3">
        <f>tblInventory[[#This Row],[Stock_Quantity]]*tblInventory[[#This Row],[Unit_Price]]</f>
        <v>1188</v>
      </c>
      <c r="W640" s="1" t="str">
        <f>IF(tblInventory[[#This Row],[Status]]="Discontinued","INACTIVE",
IF(tblInventory[[#This Row],[Stock_Quantity]] &lt; tblInventory[[#This Row],[Reorder_Level]],"REORDER","OK"))</f>
        <v>OK</v>
      </c>
      <c r="X640" s="1" t="str">
        <f t="shared" ca="1" si="19"/>
        <v>Valid</v>
      </c>
    </row>
    <row r="641" spans="1:24">
      <c r="A641" s="1">
        <v>640</v>
      </c>
      <c r="B641" s="1" t="s">
        <v>2647</v>
      </c>
      <c r="C641" s="1" t="s">
        <v>174</v>
      </c>
      <c r="D641" s="1" t="s">
        <v>69</v>
      </c>
      <c r="E641" s="1" t="s">
        <v>2648</v>
      </c>
      <c r="F641" s="1" t="s">
        <v>849</v>
      </c>
      <c r="G641" s="6">
        <v>37</v>
      </c>
      <c r="H641" s="8">
        <f>tblInventory[[#This Row],[Stock_Quantity]] * tblInventory[[#This Row],[Unit_Price]]</f>
        <v>444</v>
      </c>
      <c r="I641" s="1">
        <v>3</v>
      </c>
      <c r="J641" s="1">
        <v>45</v>
      </c>
      <c r="K641" s="8">
        <f>tblInventory[[#This Row],[Reorder_Quantity]]*M641</f>
        <v>540</v>
      </c>
      <c r="L641" s="10">
        <f>tblInventory[[#This Row],[Stock_Quantity]] / tblInventory[[#This Row],[Reorder_Quantity]]</f>
        <v>0.82222222222222219</v>
      </c>
      <c r="M641" s="3">
        <v>12</v>
      </c>
      <c r="N641" s="10">
        <f t="shared" si="18"/>
        <v>0.6281833616298812</v>
      </c>
      <c r="O641" s="1" t="s">
        <v>428</v>
      </c>
      <c r="P641" s="1" t="s">
        <v>1811</v>
      </c>
      <c r="Q641" s="2">
        <v>46302</v>
      </c>
      <c r="R641" s="1" t="s">
        <v>2649</v>
      </c>
      <c r="S641" s="1">
        <v>39</v>
      </c>
      <c r="T641" s="1">
        <v>28</v>
      </c>
      <c r="U641" s="1" t="s">
        <v>24</v>
      </c>
      <c r="V641" s="3">
        <f>tblInventory[[#This Row],[Stock_Quantity]]*tblInventory[[#This Row],[Unit_Price]]</f>
        <v>444</v>
      </c>
      <c r="W641" s="1" t="str">
        <f>IF(tblInventory[[#This Row],[Status]]="Discontinued","INACTIVE",
IF(tblInventory[[#This Row],[Stock_Quantity]] &lt; tblInventory[[#This Row],[Reorder_Level]],"REORDER","OK"))</f>
        <v>INACTIVE</v>
      </c>
      <c r="X641" s="1" t="str">
        <f t="shared" ca="1" si="19"/>
        <v>Valid</v>
      </c>
    </row>
    <row r="642" spans="1:24">
      <c r="A642" s="1">
        <v>641</v>
      </c>
      <c r="B642" s="1" t="s">
        <v>3194</v>
      </c>
      <c r="C642" s="1" t="s">
        <v>174</v>
      </c>
      <c r="D642" s="1" t="s">
        <v>69</v>
      </c>
      <c r="E642" s="1" t="s">
        <v>3195</v>
      </c>
      <c r="F642" s="1" t="s">
        <v>2433</v>
      </c>
      <c r="G642" s="6">
        <v>63</v>
      </c>
      <c r="H642" s="8">
        <f>tblInventory[[#This Row],[Stock_Quantity]] * tblInventory[[#This Row],[Unit_Price]]</f>
        <v>749.7</v>
      </c>
      <c r="I642" s="1">
        <v>41</v>
      </c>
      <c r="J642" s="1">
        <v>98</v>
      </c>
      <c r="K642" s="8">
        <f>tblInventory[[#This Row],[Reorder_Quantity]]*M642</f>
        <v>1166.2</v>
      </c>
      <c r="L642" s="10">
        <f>tblInventory[[#This Row],[Stock_Quantity]] / tblInventory[[#This Row],[Reorder_Quantity]]</f>
        <v>0.6428571428571429</v>
      </c>
      <c r="M642" s="3">
        <v>11.9</v>
      </c>
      <c r="N642" s="10">
        <f t="shared" ref="N642:N705" si="20">G642 / 58.9</f>
        <v>1.069609507640068</v>
      </c>
      <c r="O642" s="1" t="s">
        <v>518</v>
      </c>
      <c r="P642" s="1" t="s">
        <v>3196</v>
      </c>
      <c r="Q642" s="2">
        <v>46384</v>
      </c>
      <c r="R642" s="1" t="s">
        <v>3197</v>
      </c>
      <c r="S642" s="1">
        <v>37</v>
      </c>
      <c r="T642" s="1">
        <v>7</v>
      </c>
      <c r="U642" s="1" t="s">
        <v>46</v>
      </c>
      <c r="V642" s="3">
        <f>tblInventory[[#This Row],[Stock_Quantity]]*tblInventory[[#This Row],[Unit_Price]]</f>
        <v>749.7</v>
      </c>
      <c r="W642" s="1" t="str">
        <f>IF(tblInventory[[#This Row],[Status]]="Discontinued","INACTIVE",
IF(tblInventory[[#This Row],[Stock_Quantity]] &lt; tblInventory[[#This Row],[Reorder_Level]],"REORDER","OK"))</f>
        <v>OK</v>
      </c>
      <c r="X642" s="1" t="str">
        <f t="shared" ref="X642:X705" ca="1" si="21">IF(Q642&lt;TODAY(),"Expired","Valid")</f>
        <v>Valid</v>
      </c>
    </row>
    <row r="643" spans="1:24">
      <c r="A643" s="1">
        <v>642</v>
      </c>
      <c r="B643" s="1" t="s">
        <v>3404</v>
      </c>
      <c r="C643" s="1" t="s">
        <v>174</v>
      </c>
      <c r="D643" s="1" t="s">
        <v>69</v>
      </c>
      <c r="E643" s="1" t="s">
        <v>3405</v>
      </c>
      <c r="F643" s="1" t="s">
        <v>3406</v>
      </c>
      <c r="G643" s="6">
        <v>52</v>
      </c>
      <c r="H643" s="8">
        <f>tblInventory[[#This Row],[Stock_Quantity]] * tblInventory[[#This Row],[Unit_Price]]</f>
        <v>624</v>
      </c>
      <c r="I643" s="1">
        <v>56</v>
      </c>
      <c r="J643" s="1">
        <v>34</v>
      </c>
      <c r="K643" s="8">
        <f>tblInventory[[#This Row],[Reorder_Quantity]]*M643</f>
        <v>408</v>
      </c>
      <c r="L643" s="10">
        <f>tblInventory[[#This Row],[Stock_Quantity]] / tblInventory[[#This Row],[Reorder_Quantity]]</f>
        <v>1.5294117647058822</v>
      </c>
      <c r="M643" s="3">
        <v>12</v>
      </c>
      <c r="N643" s="10">
        <f t="shared" si="20"/>
        <v>0.88285229202037352</v>
      </c>
      <c r="O643" s="1" t="s">
        <v>1293</v>
      </c>
      <c r="P643" s="2">
        <v>45392</v>
      </c>
      <c r="Q643" s="2">
        <v>46541</v>
      </c>
      <c r="R643" s="1" t="s">
        <v>3407</v>
      </c>
      <c r="S643" s="1">
        <v>31</v>
      </c>
      <c r="T643" s="1">
        <v>69</v>
      </c>
      <c r="U643" s="1" t="s">
        <v>38</v>
      </c>
      <c r="V643" s="3">
        <f>tblInventory[[#This Row],[Stock_Quantity]]*tblInventory[[#This Row],[Unit_Price]]</f>
        <v>624</v>
      </c>
      <c r="W643" s="1" t="str">
        <f>IF(tblInventory[[#This Row],[Status]]="Discontinued","INACTIVE",
IF(tblInventory[[#This Row],[Stock_Quantity]] &lt; tblInventory[[#This Row],[Reorder_Level]],"REORDER","OK"))</f>
        <v>REORDER</v>
      </c>
      <c r="X643" s="1" t="str">
        <f t="shared" ca="1" si="21"/>
        <v>Valid</v>
      </c>
    </row>
    <row r="644" spans="1:24">
      <c r="A644" s="1">
        <v>643</v>
      </c>
      <c r="B644" s="1" t="s">
        <v>3463</v>
      </c>
      <c r="C644" s="1" t="s">
        <v>174</v>
      </c>
      <c r="D644" s="1" t="s">
        <v>69</v>
      </c>
      <c r="E644" s="1" t="s">
        <v>3464</v>
      </c>
      <c r="F644" s="1" t="s">
        <v>196</v>
      </c>
      <c r="G644" s="6">
        <v>80</v>
      </c>
      <c r="H644" s="8">
        <f>tblInventory[[#This Row],[Stock_Quantity]] * tblInventory[[#This Row],[Unit_Price]]</f>
        <v>960</v>
      </c>
      <c r="I644" s="1">
        <v>100</v>
      </c>
      <c r="J644" s="1">
        <v>48</v>
      </c>
      <c r="K644" s="8">
        <f>tblInventory[[#This Row],[Reorder_Quantity]]*M644</f>
        <v>576</v>
      </c>
      <c r="L644" s="10">
        <f>tblInventory[[#This Row],[Stock_Quantity]] / tblInventory[[#This Row],[Reorder_Quantity]]</f>
        <v>1.6666666666666667</v>
      </c>
      <c r="M644" s="3">
        <v>12</v>
      </c>
      <c r="N644" s="10">
        <f t="shared" si="20"/>
        <v>1.3582342954159592</v>
      </c>
      <c r="O644" s="1" t="s">
        <v>211</v>
      </c>
      <c r="P644" s="2">
        <v>45636</v>
      </c>
      <c r="Q644" s="2">
        <v>46471</v>
      </c>
      <c r="R644" s="1" t="s">
        <v>3465</v>
      </c>
      <c r="S644" s="1">
        <v>100</v>
      </c>
      <c r="T644" s="1">
        <v>28</v>
      </c>
      <c r="U644" s="1" t="s">
        <v>38</v>
      </c>
      <c r="V644" s="3">
        <f>tblInventory[[#This Row],[Stock_Quantity]]*tblInventory[[#This Row],[Unit_Price]]</f>
        <v>960</v>
      </c>
      <c r="W644" s="1" t="str">
        <f>IF(tblInventory[[#This Row],[Status]]="Discontinued","INACTIVE",
IF(tblInventory[[#This Row],[Stock_Quantity]] &lt; tblInventory[[#This Row],[Reorder_Level]],"REORDER","OK"))</f>
        <v>REORDER</v>
      </c>
      <c r="X644" s="1" t="str">
        <f t="shared" ca="1" si="21"/>
        <v>Valid</v>
      </c>
    </row>
    <row r="645" spans="1:24">
      <c r="A645" s="1">
        <v>644</v>
      </c>
      <c r="B645" s="1" t="s">
        <v>3549</v>
      </c>
      <c r="C645" s="1" t="s">
        <v>174</v>
      </c>
      <c r="D645" s="1" t="s">
        <v>69</v>
      </c>
      <c r="E645" s="1" t="s">
        <v>3550</v>
      </c>
      <c r="F645" s="1" t="s">
        <v>1086</v>
      </c>
      <c r="G645" s="6">
        <v>65</v>
      </c>
      <c r="H645" s="8">
        <f>tblInventory[[#This Row],[Stock_Quantity]] * tblInventory[[#This Row],[Unit_Price]]</f>
        <v>780</v>
      </c>
      <c r="I645" s="1">
        <v>54</v>
      </c>
      <c r="J645" s="1">
        <v>29</v>
      </c>
      <c r="K645" s="8">
        <f>tblInventory[[#This Row],[Reorder_Quantity]]*M645</f>
        <v>348</v>
      </c>
      <c r="L645" s="10">
        <f>tblInventory[[#This Row],[Stock_Quantity]] / tblInventory[[#This Row],[Reorder_Quantity]]</f>
        <v>2.2413793103448274</v>
      </c>
      <c r="M645" s="3">
        <v>12</v>
      </c>
      <c r="N645" s="10">
        <f t="shared" si="20"/>
        <v>1.1035653650254669</v>
      </c>
      <c r="O645" s="1" t="s">
        <v>1111</v>
      </c>
      <c r="P645" s="1" t="s">
        <v>1134</v>
      </c>
      <c r="Q645" s="2">
        <v>46499</v>
      </c>
      <c r="R645" s="1" t="s">
        <v>3551</v>
      </c>
      <c r="S645" s="1">
        <v>69</v>
      </c>
      <c r="T645" s="1">
        <v>79</v>
      </c>
      <c r="U645" s="1" t="s">
        <v>38</v>
      </c>
      <c r="V645" s="3">
        <f>tblInventory[[#This Row],[Stock_Quantity]]*tblInventory[[#This Row],[Unit_Price]]</f>
        <v>780</v>
      </c>
      <c r="W645" s="1" t="str">
        <f>IF(tblInventory[[#This Row],[Status]]="Discontinued","INACTIVE",
IF(tblInventory[[#This Row],[Stock_Quantity]] &lt; tblInventory[[#This Row],[Reorder_Level]],"REORDER","OK"))</f>
        <v>OK</v>
      </c>
      <c r="X645" s="1" t="str">
        <f t="shared" ca="1" si="21"/>
        <v>Valid</v>
      </c>
    </row>
    <row r="646" spans="1:24">
      <c r="A646" s="1">
        <v>645</v>
      </c>
      <c r="B646" s="1" t="s">
        <v>3662</v>
      </c>
      <c r="C646" s="1" t="s">
        <v>174</v>
      </c>
      <c r="D646" s="1" t="s">
        <v>69</v>
      </c>
      <c r="E646" s="1" t="s">
        <v>3663</v>
      </c>
      <c r="F646" s="1" t="s">
        <v>1175</v>
      </c>
      <c r="G646" s="6">
        <v>38</v>
      </c>
      <c r="H646" s="8">
        <f>tblInventory[[#This Row],[Stock_Quantity]] * tblInventory[[#This Row],[Unit_Price]]</f>
        <v>456</v>
      </c>
      <c r="I646" s="1">
        <v>67</v>
      </c>
      <c r="J646" s="1">
        <v>66</v>
      </c>
      <c r="K646" s="8">
        <f>tblInventory[[#This Row],[Reorder_Quantity]]*M646</f>
        <v>792</v>
      </c>
      <c r="L646" s="10">
        <f>tblInventory[[#This Row],[Stock_Quantity]] / tblInventory[[#This Row],[Reorder_Quantity]]</f>
        <v>0.5757575757575758</v>
      </c>
      <c r="M646" s="3">
        <v>12</v>
      </c>
      <c r="N646" s="10">
        <f t="shared" si="20"/>
        <v>0.64516129032258063</v>
      </c>
      <c r="O646" s="2">
        <v>45295</v>
      </c>
      <c r="P646" s="1" t="s">
        <v>177</v>
      </c>
      <c r="Q646" s="2">
        <v>46536</v>
      </c>
      <c r="R646" s="1" t="s">
        <v>3664</v>
      </c>
      <c r="S646" s="1">
        <v>35</v>
      </c>
      <c r="T646" s="1">
        <v>24</v>
      </c>
      <c r="U646" s="1" t="s">
        <v>24</v>
      </c>
      <c r="V646" s="3">
        <f>tblInventory[[#This Row],[Stock_Quantity]]*tblInventory[[#This Row],[Unit_Price]]</f>
        <v>456</v>
      </c>
      <c r="W646" s="1" t="str">
        <f>IF(tblInventory[[#This Row],[Status]]="Discontinued","INACTIVE",
IF(tblInventory[[#This Row],[Stock_Quantity]] &lt; tblInventory[[#This Row],[Reorder_Level]],"REORDER","OK"))</f>
        <v>INACTIVE</v>
      </c>
      <c r="X646" s="1" t="str">
        <f t="shared" ca="1" si="21"/>
        <v>Valid</v>
      </c>
    </row>
    <row r="647" spans="1:24">
      <c r="A647" s="1">
        <v>646</v>
      </c>
      <c r="B647" s="1" t="s">
        <v>695</v>
      </c>
      <c r="C647" s="1" t="s">
        <v>696</v>
      </c>
      <c r="D647" s="1" t="s">
        <v>49</v>
      </c>
      <c r="E647" s="1" t="s">
        <v>697</v>
      </c>
      <c r="F647" s="1" t="s">
        <v>698</v>
      </c>
      <c r="G647" s="6">
        <v>47</v>
      </c>
      <c r="H647" s="8">
        <f>tblInventory[[#This Row],[Stock_Quantity]] * tblInventory[[#This Row],[Unit_Price]]</f>
        <v>188</v>
      </c>
      <c r="I647" s="1">
        <v>72</v>
      </c>
      <c r="J647" s="1">
        <v>73</v>
      </c>
      <c r="K647" s="8">
        <f>tblInventory[[#This Row],[Reorder_Quantity]]*M647</f>
        <v>292</v>
      </c>
      <c r="L647" s="10">
        <f>tblInventory[[#This Row],[Stock_Quantity]] / tblInventory[[#This Row],[Reorder_Quantity]]</f>
        <v>0.64383561643835618</v>
      </c>
      <c r="M647" s="3">
        <v>4</v>
      </c>
      <c r="N647" s="10">
        <f t="shared" si="20"/>
        <v>0.79796264855687604</v>
      </c>
      <c r="O647" s="1" t="s">
        <v>699</v>
      </c>
      <c r="P647" s="1" t="s">
        <v>632</v>
      </c>
      <c r="Q647" s="2">
        <v>45671</v>
      </c>
      <c r="R647" s="1" t="s">
        <v>700</v>
      </c>
      <c r="S647" s="1">
        <v>93</v>
      </c>
      <c r="T647" s="1">
        <v>27</v>
      </c>
      <c r="U647" s="1" t="s">
        <v>38</v>
      </c>
      <c r="V647" s="3">
        <f>tblInventory[[#This Row],[Stock_Quantity]]*tblInventory[[#This Row],[Unit_Price]]</f>
        <v>188</v>
      </c>
      <c r="W647" s="1" t="str">
        <f>IF(tblInventory[[#This Row],[Status]]="Discontinued","INACTIVE",
IF(tblInventory[[#This Row],[Stock_Quantity]] &lt; tblInventory[[#This Row],[Reorder_Level]],"REORDER","OK"))</f>
        <v>REORDER</v>
      </c>
      <c r="X647" s="1" t="str">
        <f t="shared" ca="1" si="21"/>
        <v>Expired</v>
      </c>
    </row>
    <row r="648" spans="1:24">
      <c r="A648" s="1">
        <v>647</v>
      </c>
      <c r="B648" s="1" t="s">
        <v>1092</v>
      </c>
      <c r="C648" s="1" t="s">
        <v>696</v>
      </c>
      <c r="D648" s="1" t="s">
        <v>49</v>
      </c>
      <c r="E648" s="1" t="s">
        <v>1093</v>
      </c>
      <c r="F648" s="1" t="s">
        <v>1094</v>
      </c>
      <c r="G648" s="6">
        <v>40</v>
      </c>
      <c r="H648" s="8">
        <f>tblInventory[[#This Row],[Stock_Quantity]] * tblInventory[[#This Row],[Unit_Price]]</f>
        <v>160</v>
      </c>
      <c r="I648" s="1">
        <v>53</v>
      </c>
      <c r="J648" s="1">
        <v>7</v>
      </c>
      <c r="K648" s="8">
        <f>tblInventory[[#This Row],[Reorder_Quantity]]*M648</f>
        <v>28</v>
      </c>
      <c r="L648" s="10">
        <f>tblInventory[[#This Row],[Stock_Quantity]] / tblInventory[[#This Row],[Reorder_Quantity]]</f>
        <v>5.7142857142857144</v>
      </c>
      <c r="M648" s="3">
        <v>4</v>
      </c>
      <c r="N648" s="10">
        <f t="shared" si="20"/>
        <v>0.6791171477079796</v>
      </c>
      <c r="O648" s="1" t="s">
        <v>1066</v>
      </c>
      <c r="P648" s="2">
        <v>45446</v>
      </c>
      <c r="Q648" s="2">
        <v>45763</v>
      </c>
      <c r="R648" s="1" t="s">
        <v>1096</v>
      </c>
      <c r="S648" s="1">
        <v>70</v>
      </c>
      <c r="T648" s="1">
        <v>20</v>
      </c>
      <c r="U648" s="1" t="s">
        <v>38</v>
      </c>
      <c r="V648" s="3">
        <f>tblInventory[[#This Row],[Stock_Quantity]]*tblInventory[[#This Row],[Unit_Price]]</f>
        <v>160</v>
      </c>
      <c r="W648" s="1" t="str">
        <f>IF(tblInventory[[#This Row],[Status]]="Discontinued","INACTIVE",
IF(tblInventory[[#This Row],[Stock_Quantity]] &lt; tblInventory[[#This Row],[Reorder_Level]],"REORDER","OK"))</f>
        <v>REORDER</v>
      </c>
      <c r="X648" s="1" t="str">
        <f t="shared" ca="1" si="21"/>
        <v>Expired</v>
      </c>
    </row>
    <row r="649" spans="1:24">
      <c r="A649" s="1">
        <v>648</v>
      </c>
      <c r="B649" s="1" t="s">
        <v>1231</v>
      </c>
      <c r="C649" s="1" t="s">
        <v>696</v>
      </c>
      <c r="D649" s="1" t="s">
        <v>49</v>
      </c>
      <c r="E649" s="1" t="s">
        <v>1232</v>
      </c>
      <c r="F649" s="1" t="s">
        <v>484</v>
      </c>
      <c r="G649" s="6">
        <v>15</v>
      </c>
      <c r="H649" s="8">
        <f>tblInventory[[#This Row],[Stock_Quantity]] * tblInventory[[#This Row],[Unit_Price]]</f>
        <v>60</v>
      </c>
      <c r="I649" s="1">
        <v>27</v>
      </c>
      <c r="J649" s="1">
        <v>21</v>
      </c>
      <c r="K649" s="8">
        <f>tblInventory[[#This Row],[Reorder_Quantity]]*M649</f>
        <v>84</v>
      </c>
      <c r="L649" s="10">
        <f>tblInventory[[#This Row],[Stock_Quantity]] / tblInventory[[#This Row],[Reorder_Quantity]]</f>
        <v>0.7142857142857143</v>
      </c>
      <c r="M649" s="3">
        <v>4</v>
      </c>
      <c r="N649" s="10">
        <f t="shared" si="20"/>
        <v>0.25466893039049238</v>
      </c>
      <c r="O649" s="2">
        <v>45602</v>
      </c>
      <c r="P649" s="1" t="s">
        <v>1066</v>
      </c>
      <c r="Q649" s="2">
        <v>45797</v>
      </c>
      <c r="R649" s="1" t="s">
        <v>1233</v>
      </c>
      <c r="S649" s="1">
        <v>37</v>
      </c>
      <c r="T649" s="1">
        <v>67</v>
      </c>
      <c r="U649" s="1" t="s">
        <v>38</v>
      </c>
      <c r="V649" s="3">
        <f>tblInventory[[#This Row],[Stock_Quantity]]*tblInventory[[#This Row],[Unit_Price]]</f>
        <v>60</v>
      </c>
      <c r="W649" s="1" t="str">
        <f>IF(tblInventory[[#This Row],[Status]]="Discontinued","INACTIVE",
IF(tblInventory[[#This Row],[Stock_Quantity]] &lt; tblInventory[[#This Row],[Reorder_Level]],"REORDER","OK"))</f>
        <v>REORDER</v>
      </c>
      <c r="X649" s="1" t="str">
        <f t="shared" ca="1" si="21"/>
        <v>Expired</v>
      </c>
    </row>
    <row r="650" spans="1:24">
      <c r="A650" s="1">
        <v>649</v>
      </c>
      <c r="B650" s="1" t="s">
        <v>1733</v>
      </c>
      <c r="C650" s="1" t="s">
        <v>696</v>
      </c>
      <c r="D650" s="1" t="s">
        <v>49</v>
      </c>
      <c r="E650" s="1" t="s">
        <v>1734</v>
      </c>
      <c r="F650" s="1" t="s">
        <v>1500</v>
      </c>
      <c r="G650" s="6">
        <v>37</v>
      </c>
      <c r="H650" s="8">
        <f>tblInventory[[#This Row],[Stock_Quantity]] * tblInventory[[#This Row],[Unit_Price]]</f>
        <v>148</v>
      </c>
      <c r="I650" s="1">
        <v>38</v>
      </c>
      <c r="J650" s="1">
        <v>24</v>
      </c>
      <c r="K650" s="8">
        <f>tblInventory[[#This Row],[Reorder_Quantity]]*M650</f>
        <v>96</v>
      </c>
      <c r="L650" s="10">
        <f>tblInventory[[#This Row],[Stock_Quantity]] / tblInventory[[#This Row],[Reorder_Quantity]]</f>
        <v>1.5416666666666667</v>
      </c>
      <c r="M650" s="3">
        <v>4</v>
      </c>
      <c r="N650" s="10">
        <f t="shared" si="20"/>
        <v>0.6281833616298812</v>
      </c>
      <c r="O650" s="1" t="s">
        <v>956</v>
      </c>
      <c r="P650" s="2">
        <v>45331</v>
      </c>
      <c r="Q650" s="2">
        <v>45726</v>
      </c>
      <c r="R650" s="1" t="s">
        <v>1735</v>
      </c>
      <c r="S650" s="1">
        <v>93</v>
      </c>
      <c r="T650" s="1">
        <v>32</v>
      </c>
      <c r="U650" s="1" t="s">
        <v>46</v>
      </c>
      <c r="V650" s="3">
        <f>tblInventory[[#This Row],[Stock_Quantity]]*tblInventory[[#This Row],[Unit_Price]]</f>
        <v>148</v>
      </c>
      <c r="W650" s="1" t="str">
        <f>IF(tblInventory[[#This Row],[Status]]="Discontinued","INACTIVE",
IF(tblInventory[[#This Row],[Stock_Quantity]] &lt; tblInventory[[#This Row],[Reorder_Level]],"REORDER","OK"))</f>
        <v>REORDER</v>
      </c>
      <c r="X650" s="1" t="str">
        <f t="shared" ca="1" si="21"/>
        <v>Expired</v>
      </c>
    </row>
    <row r="651" spans="1:24">
      <c r="A651" s="1">
        <v>650</v>
      </c>
      <c r="B651" s="1" t="s">
        <v>2088</v>
      </c>
      <c r="C651" s="1" t="s">
        <v>696</v>
      </c>
      <c r="D651" s="1" t="s">
        <v>49</v>
      </c>
      <c r="E651" s="1" t="s">
        <v>2089</v>
      </c>
      <c r="F651" s="1" t="s">
        <v>1655</v>
      </c>
      <c r="G651" s="6">
        <v>73</v>
      </c>
      <c r="H651" s="8">
        <f>tblInventory[[#This Row],[Stock_Quantity]] * tblInventory[[#This Row],[Unit_Price]]</f>
        <v>292</v>
      </c>
      <c r="I651" s="1">
        <v>90</v>
      </c>
      <c r="J651" s="1">
        <v>77</v>
      </c>
      <c r="K651" s="8">
        <f>tblInventory[[#This Row],[Reorder_Quantity]]*M651</f>
        <v>308</v>
      </c>
      <c r="L651" s="10">
        <f>tblInventory[[#This Row],[Stock_Quantity]] / tblInventory[[#This Row],[Reorder_Quantity]]</f>
        <v>0.94805194805194803</v>
      </c>
      <c r="M651" s="3">
        <v>4</v>
      </c>
      <c r="N651" s="10">
        <f t="shared" si="20"/>
        <v>1.2393887945670627</v>
      </c>
      <c r="O651" s="1" t="s">
        <v>524</v>
      </c>
      <c r="P651" s="1" t="s">
        <v>665</v>
      </c>
      <c r="Q651" s="2">
        <v>46041</v>
      </c>
      <c r="R651" s="1" t="s">
        <v>2090</v>
      </c>
      <c r="S651" s="1">
        <v>75</v>
      </c>
      <c r="T651" s="1">
        <v>19</v>
      </c>
      <c r="U651" s="1" t="s">
        <v>38</v>
      </c>
      <c r="V651" s="3">
        <f>tblInventory[[#This Row],[Stock_Quantity]]*tblInventory[[#This Row],[Unit_Price]]</f>
        <v>292</v>
      </c>
      <c r="W651" s="1" t="str">
        <f>IF(tblInventory[[#This Row],[Status]]="Discontinued","INACTIVE",
IF(tblInventory[[#This Row],[Stock_Quantity]] &lt; tblInventory[[#This Row],[Reorder_Level]],"REORDER","OK"))</f>
        <v>REORDER</v>
      </c>
      <c r="X651" s="1" t="str">
        <f t="shared" ca="1" si="21"/>
        <v>Valid</v>
      </c>
    </row>
    <row r="652" spans="1:24">
      <c r="A652" s="1">
        <v>651</v>
      </c>
      <c r="B652" s="1" t="s">
        <v>3198</v>
      </c>
      <c r="C652" s="1" t="s">
        <v>696</v>
      </c>
      <c r="D652" s="1" t="s">
        <v>49</v>
      </c>
      <c r="E652" s="1" t="s">
        <v>3199</v>
      </c>
      <c r="F652" s="1" t="s">
        <v>121</v>
      </c>
      <c r="G652" s="6">
        <v>47</v>
      </c>
      <c r="H652" s="8">
        <f>tblInventory[[#This Row],[Stock_Quantity]] * tblInventory[[#This Row],[Unit_Price]]</f>
        <v>188</v>
      </c>
      <c r="I652" s="1">
        <v>67</v>
      </c>
      <c r="J652" s="1">
        <v>57</v>
      </c>
      <c r="K652" s="8">
        <f>tblInventory[[#This Row],[Reorder_Quantity]]*M652</f>
        <v>228</v>
      </c>
      <c r="L652" s="10">
        <f>tblInventory[[#This Row],[Stock_Quantity]] / tblInventory[[#This Row],[Reorder_Quantity]]</f>
        <v>0.82456140350877194</v>
      </c>
      <c r="M652" s="3">
        <v>4</v>
      </c>
      <c r="N652" s="10">
        <f t="shared" si="20"/>
        <v>0.79796264855687604</v>
      </c>
      <c r="O652" s="2">
        <v>45394</v>
      </c>
      <c r="P652" s="1" t="s">
        <v>298</v>
      </c>
      <c r="Q652" s="2">
        <v>46385</v>
      </c>
      <c r="R652" s="1" t="s">
        <v>3200</v>
      </c>
      <c r="S652" s="1">
        <v>36</v>
      </c>
      <c r="T652" s="1">
        <v>48</v>
      </c>
      <c r="U652" s="1" t="s">
        <v>38</v>
      </c>
      <c r="V652" s="3">
        <f>tblInventory[[#This Row],[Stock_Quantity]]*tblInventory[[#This Row],[Unit_Price]]</f>
        <v>188</v>
      </c>
      <c r="W652" s="1" t="str">
        <f>IF(tblInventory[[#This Row],[Status]]="Discontinued","INACTIVE",
IF(tblInventory[[#This Row],[Stock_Quantity]] &lt; tblInventory[[#This Row],[Reorder_Level]],"REORDER","OK"))</f>
        <v>REORDER</v>
      </c>
      <c r="X652" s="1" t="str">
        <f t="shared" ca="1" si="21"/>
        <v>Valid</v>
      </c>
    </row>
    <row r="653" spans="1:24">
      <c r="A653" s="1">
        <v>652</v>
      </c>
      <c r="B653" s="1" t="s">
        <v>3220</v>
      </c>
      <c r="C653" s="1" t="s">
        <v>696</v>
      </c>
      <c r="D653" s="1" t="s">
        <v>49</v>
      </c>
      <c r="E653" s="1" t="s">
        <v>3221</v>
      </c>
      <c r="F653" s="1" t="s">
        <v>1399</v>
      </c>
      <c r="G653" s="6">
        <v>40</v>
      </c>
      <c r="H653" s="8">
        <f>tblInventory[[#This Row],[Stock_Quantity]] * tblInventory[[#This Row],[Unit_Price]]</f>
        <v>160</v>
      </c>
      <c r="I653" s="1">
        <v>83</v>
      </c>
      <c r="J653" s="1">
        <v>50</v>
      </c>
      <c r="K653" s="8">
        <f>tblInventory[[#This Row],[Reorder_Quantity]]*M653</f>
        <v>200</v>
      </c>
      <c r="L653" s="10">
        <f>tblInventory[[#This Row],[Stock_Quantity]] / tblInventory[[#This Row],[Reorder_Quantity]]</f>
        <v>0.8</v>
      </c>
      <c r="M653" s="3">
        <v>4</v>
      </c>
      <c r="N653" s="10">
        <f t="shared" si="20"/>
        <v>0.6791171477079796</v>
      </c>
      <c r="O653" s="2">
        <v>45418</v>
      </c>
      <c r="P653" s="2">
        <v>45360</v>
      </c>
      <c r="Q653" s="2">
        <v>46508</v>
      </c>
      <c r="R653" s="1" t="s">
        <v>3222</v>
      </c>
      <c r="S653" s="1">
        <v>92</v>
      </c>
      <c r="T653" s="1">
        <v>50</v>
      </c>
      <c r="U653" s="1" t="s">
        <v>46</v>
      </c>
      <c r="V653" s="3">
        <f>tblInventory[[#This Row],[Stock_Quantity]]*tblInventory[[#This Row],[Unit_Price]]</f>
        <v>160</v>
      </c>
      <c r="W653" s="1" t="str">
        <f>IF(tblInventory[[#This Row],[Status]]="Discontinued","INACTIVE",
IF(tblInventory[[#This Row],[Stock_Quantity]] &lt; tblInventory[[#This Row],[Reorder_Level]],"REORDER","OK"))</f>
        <v>REORDER</v>
      </c>
      <c r="X653" s="1" t="str">
        <f t="shared" ca="1" si="21"/>
        <v>Valid</v>
      </c>
    </row>
    <row r="654" spans="1:24">
      <c r="A654" s="1">
        <v>653</v>
      </c>
      <c r="B654" s="1" t="s">
        <v>3235</v>
      </c>
      <c r="C654" s="1" t="s">
        <v>696</v>
      </c>
      <c r="D654" s="1" t="s">
        <v>49</v>
      </c>
      <c r="E654" s="1" t="s">
        <v>3236</v>
      </c>
      <c r="F654" s="1" t="s">
        <v>2351</v>
      </c>
      <c r="G654" s="6">
        <v>94</v>
      </c>
      <c r="H654" s="8">
        <f>tblInventory[[#This Row],[Stock_Quantity]] * tblInventory[[#This Row],[Unit_Price]]</f>
        <v>376</v>
      </c>
      <c r="I654" s="1">
        <v>69</v>
      </c>
      <c r="J654" s="1">
        <v>68</v>
      </c>
      <c r="K654" s="8">
        <f>tblInventory[[#This Row],[Reorder_Quantity]]*M654</f>
        <v>272</v>
      </c>
      <c r="L654" s="10">
        <f>tblInventory[[#This Row],[Stock_Quantity]] / tblInventory[[#This Row],[Reorder_Quantity]]</f>
        <v>1.3823529411764706</v>
      </c>
      <c r="M654" s="3">
        <v>4</v>
      </c>
      <c r="N654" s="10">
        <f t="shared" si="20"/>
        <v>1.5959252971137521</v>
      </c>
      <c r="O654" s="2">
        <v>45511</v>
      </c>
      <c r="P654" s="1" t="s">
        <v>438</v>
      </c>
      <c r="Q654" s="2">
        <v>46661</v>
      </c>
      <c r="R654" s="1" t="s">
        <v>3237</v>
      </c>
      <c r="S654" s="1">
        <v>24</v>
      </c>
      <c r="T654" s="1">
        <v>20</v>
      </c>
      <c r="U654" s="1" t="s">
        <v>24</v>
      </c>
      <c r="V654" s="3">
        <f>tblInventory[[#This Row],[Stock_Quantity]]*tblInventory[[#This Row],[Unit_Price]]</f>
        <v>376</v>
      </c>
      <c r="W654" s="1" t="str">
        <f>IF(tblInventory[[#This Row],[Status]]="Discontinued","INACTIVE",
IF(tblInventory[[#This Row],[Stock_Quantity]] &lt; tblInventory[[#This Row],[Reorder_Level]],"REORDER","OK"))</f>
        <v>INACTIVE</v>
      </c>
      <c r="X654" s="1" t="str">
        <f t="shared" ca="1" si="21"/>
        <v>Valid</v>
      </c>
    </row>
    <row r="655" spans="1:24">
      <c r="A655" s="1">
        <v>654</v>
      </c>
      <c r="B655" s="1" t="s">
        <v>3420</v>
      </c>
      <c r="C655" s="1" t="s">
        <v>696</v>
      </c>
      <c r="D655" s="1" t="s">
        <v>49</v>
      </c>
      <c r="E655" s="1" t="s">
        <v>3421</v>
      </c>
      <c r="F655" s="1" t="s">
        <v>529</v>
      </c>
      <c r="G655" s="6">
        <v>45</v>
      </c>
      <c r="H655" s="8">
        <f>tblInventory[[#This Row],[Stock_Quantity]] * tblInventory[[#This Row],[Unit_Price]]</f>
        <v>180</v>
      </c>
      <c r="I655" s="1">
        <v>79</v>
      </c>
      <c r="J655" s="1">
        <v>95</v>
      </c>
      <c r="K655" s="8">
        <f>tblInventory[[#This Row],[Reorder_Quantity]]*M655</f>
        <v>380</v>
      </c>
      <c r="L655" s="10">
        <f>tblInventory[[#This Row],[Stock_Quantity]] / tblInventory[[#This Row],[Reorder_Quantity]]</f>
        <v>0.47368421052631576</v>
      </c>
      <c r="M655" s="3">
        <v>4</v>
      </c>
      <c r="N655" s="10">
        <f t="shared" si="20"/>
        <v>0.76400679117147707</v>
      </c>
      <c r="O655" s="2">
        <v>45455</v>
      </c>
      <c r="P655" s="1" t="s">
        <v>191</v>
      </c>
      <c r="Q655" s="2">
        <v>46694</v>
      </c>
      <c r="R655" s="1" t="s">
        <v>3422</v>
      </c>
      <c r="S655" s="1">
        <v>84</v>
      </c>
      <c r="T655" s="1">
        <v>62</v>
      </c>
      <c r="U655" s="1" t="s">
        <v>38</v>
      </c>
      <c r="V655" s="3">
        <f>tblInventory[[#This Row],[Stock_Quantity]]*tblInventory[[#This Row],[Unit_Price]]</f>
        <v>180</v>
      </c>
      <c r="W655" s="1" t="str">
        <f>IF(tblInventory[[#This Row],[Status]]="Discontinued","INACTIVE",
IF(tblInventory[[#This Row],[Stock_Quantity]] &lt; tblInventory[[#This Row],[Reorder_Level]],"REORDER","OK"))</f>
        <v>REORDER</v>
      </c>
      <c r="X655" s="1" t="str">
        <f t="shared" ca="1" si="21"/>
        <v>Valid</v>
      </c>
    </row>
    <row r="656" spans="1:24">
      <c r="A656" s="1">
        <v>655</v>
      </c>
      <c r="B656" s="1" t="s">
        <v>550</v>
      </c>
      <c r="C656" s="1" t="s">
        <v>551</v>
      </c>
      <c r="D656" s="1" t="s">
        <v>61</v>
      </c>
      <c r="E656" s="1" t="s">
        <v>552</v>
      </c>
      <c r="F656" s="1" t="s">
        <v>553</v>
      </c>
      <c r="G656" s="6">
        <v>64</v>
      </c>
      <c r="H656" s="8">
        <f>tblInventory[[#This Row],[Stock_Quantity]] * tblInventory[[#This Row],[Unit_Price]]</f>
        <v>256</v>
      </c>
      <c r="I656" s="1">
        <v>21</v>
      </c>
      <c r="J656" s="1">
        <v>13</v>
      </c>
      <c r="K656" s="8">
        <f>tblInventory[[#This Row],[Reorder_Quantity]]*M656</f>
        <v>52</v>
      </c>
      <c r="L656" s="10">
        <f>tblInventory[[#This Row],[Stock_Quantity]] / tblInventory[[#This Row],[Reorder_Quantity]]</f>
        <v>4.9230769230769234</v>
      </c>
      <c r="M656" s="3">
        <v>4</v>
      </c>
      <c r="N656" s="10">
        <f t="shared" si="20"/>
        <v>1.0865874363327674</v>
      </c>
      <c r="O656" s="1" t="s">
        <v>554</v>
      </c>
      <c r="P656" s="2">
        <v>45606</v>
      </c>
      <c r="Q656" s="2">
        <v>45643</v>
      </c>
      <c r="R656" s="1" t="s">
        <v>555</v>
      </c>
      <c r="S656" s="1">
        <v>51</v>
      </c>
      <c r="T656" s="1">
        <v>26</v>
      </c>
      <c r="U656" s="1" t="s">
        <v>38</v>
      </c>
      <c r="V656" s="3">
        <f>tblInventory[[#This Row],[Stock_Quantity]]*tblInventory[[#This Row],[Unit_Price]]</f>
        <v>256</v>
      </c>
      <c r="W656" s="1" t="str">
        <f>IF(tblInventory[[#This Row],[Status]]="Discontinued","INACTIVE",
IF(tblInventory[[#This Row],[Stock_Quantity]] &lt; tblInventory[[#This Row],[Reorder_Level]],"REORDER","OK"))</f>
        <v>OK</v>
      </c>
      <c r="X656" s="1" t="str">
        <f t="shared" ca="1" si="21"/>
        <v>Expired</v>
      </c>
    </row>
    <row r="657" spans="1:24">
      <c r="A657" s="1">
        <v>656</v>
      </c>
      <c r="B657" s="1" t="s">
        <v>650</v>
      </c>
      <c r="C657" s="1" t="s">
        <v>551</v>
      </c>
      <c r="D657" s="1" t="s">
        <v>61</v>
      </c>
      <c r="E657" s="1" t="s">
        <v>651</v>
      </c>
      <c r="F657" s="1" t="s">
        <v>652</v>
      </c>
      <c r="G657" s="6">
        <v>57</v>
      </c>
      <c r="H657" s="8">
        <f>tblInventory[[#This Row],[Stock_Quantity]] * tblInventory[[#This Row],[Unit_Price]]</f>
        <v>228</v>
      </c>
      <c r="I657" s="1">
        <v>36</v>
      </c>
      <c r="J657" s="1">
        <v>53</v>
      </c>
      <c r="K657" s="8">
        <f>tblInventory[[#This Row],[Reorder_Quantity]]*M657</f>
        <v>212</v>
      </c>
      <c r="L657" s="10">
        <f>tblInventory[[#This Row],[Stock_Quantity]] / tblInventory[[#This Row],[Reorder_Quantity]]</f>
        <v>1.0754716981132075</v>
      </c>
      <c r="M657" s="3">
        <v>4</v>
      </c>
      <c r="N657" s="10">
        <f t="shared" si="20"/>
        <v>0.967741935483871</v>
      </c>
      <c r="O657" s="2">
        <v>45388</v>
      </c>
      <c r="P657" s="1" t="s">
        <v>653</v>
      </c>
      <c r="Q657" s="2">
        <v>45778</v>
      </c>
      <c r="R657" s="1" t="s">
        <v>654</v>
      </c>
      <c r="S657" s="1">
        <v>56</v>
      </c>
      <c r="T657" s="1">
        <v>32</v>
      </c>
      <c r="U657" s="1" t="s">
        <v>38</v>
      </c>
      <c r="V657" s="3">
        <f>tblInventory[[#This Row],[Stock_Quantity]]*tblInventory[[#This Row],[Unit_Price]]</f>
        <v>228</v>
      </c>
      <c r="W657" s="1" t="str">
        <f>IF(tblInventory[[#This Row],[Status]]="Discontinued","INACTIVE",
IF(tblInventory[[#This Row],[Stock_Quantity]] &lt; tblInventory[[#This Row],[Reorder_Level]],"REORDER","OK"))</f>
        <v>OK</v>
      </c>
      <c r="X657" s="1" t="str">
        <f t="shared" ca="1" si="21"/>
        <v>Expired</v>
      </c>
    </row>
    <row r="658" spans="1:24">
      <c r="A658" s="1">
        <v>657</v>
      </c>
      <c r="B658" s="1" t="s">
        <v>1022</v>
      </c>
      <c r="C658" s="1" t="s">
        <v>551</v>
      </c>
      <c r="D658" s="1" t="s">
        <v>61</v>
      </c>
      <c r="E658" s="1" t="s">
        <v>1023</v>
      </c>
      <c r="F658" s="1" t="s">
        <v>755</v>
      </c>
      <c r="G658" s="6">
        <v>60</v>
      </c>
      <c r="H658" s="8">
        <f>tblInventory[[#This Row],[Stock_Quantity]] * tblInventory[[#This Row],[Unit_Price]]</f>
        <v>240</v>
      </c>
      <c r="I658" s="1">
        <v>88</v>
      </c>
      <c r="J658" s="1">
        <v>65</v>
      </c>
      <c r="K658" s="8">
        <f>tblInventory[[#This Row],[Reorder_Quantity]]*M658</f>
        <v>260</v>
      </c>
      <c r="L658" s="10">
        <f>tblInventory[[#This Row],[Stock_Quantity]] / tblInventory[[#This Row],[Reorder_Quantity]]</f>
        <v>0.92307692307692313</v>
      </c>
      <c r="M658" s="3">
        <v>4</v>
      </c>
      <c r="N658" s="10">
        <f t="shared" si="20"/>
        <v>1.0186757215619695</v>
      </c>
      <c r="O658" s="1" t="s">
        <v>761</v>
      </c>
      <c r="P658" s="1" t="s">
        <v>438</v>
      </c>
      <c r="Q658" s="2">
        <v>45745</v>
      </c>
      <c r="R658" s="1" t="s">
        <v>1024</v>
      </c>
      <c r="S658" s="1">
        <v>94</v>
      </c>
      <c r="T658" s="1">
        <v>15</v>
      </c>
      <c r="U658" s="1" t="s">
        <v>46</v>
      </c>
      <c r="V658" s="3">
        <f>tblInventory[[#This Row],[Stock_Quantity]]*tblInventory[[#This Row],[Unit_Price]]</f>
        <v>240</v>
      </c>
      <c r="W658" s="1" t="str">
        <f>IF(tblInventory[[#This Row],[Status]]="Discontinued","INACTIVE",
IF(tblInventory[[#This Row],[Stock_Quantity]] &lt; tblInventory[[#This Row],[Reorder_Level]],"REORDER","OK"))</f>
        <v>REORDER</v>
      </c>
      <c r="X658" s="1" t="str">
        <f t="shared" ca="1" si="21"/>
        <v>Expired</v>
      </c>
    </row>
    <row r="659" spans="1:24">
      <c r="A659" s="1">
        <v>658</v>
      </c>
      <c r="B659" s="1" t="s">
        <v>1575</v>
      </c>
      <c r="C659" s="1" t="s">
        <v>551</v>
      </c>
      <c r="D659" s="1" t="s">
        <v>61</v>
      </c>
      <c r="E659" s="1" t="s">
        <v>1576</v>
      </c>
      <c r="F659" s="1" t="s">
        <v>114</v>
      </c>
      <c r="G659" s="6">
        <v>49</v>
      </c>
      <c r="H659" s="8">
        <f>tblInventory[[#This Row],[Stock_Quantity]] * tblInventory[[#This Row],[Unit_Price]]</f>
        <v>196</v>
      </c>
      <c r="I659" s="1">
        <v>17</v>
      </c>
      <c r="J659" s="1">
        <v>54</v>
      </c>
      <c r="K659" s="8">
        <f>tblInventory[[#This Row],[Reorder_Quantity]]*M659</f>
        <v>216</v>
      </c>
      <c r="L659" s="10">
        <f>tblInventory[[#This Row],[Stock_Quantity]] / tblInventory[[#This Row],[Reorder_Quantity]]</f>
        <v>0.90740740740740744</v>
      </c>
      <c r="M659" s="3">
        <v>4</v>
      </c>
      <c r="N659" s="10">
        <f t="shared" si="20"/>
        <v>0.83191850594227501</v>
      </c>
      <c r="O659" s="1" t="s">
        <v>409</v>
      </c>
      <c r="P659" s="1" t="s">
        <v>1111</v>
      </c>
      <c r="Q659" s="2">
        <v>45888</v>
      </c>
      <c r="R659" s="1" t="s">
        <v>1577</v>
      </c>
      <c r="S659" s="1">
        <v>45</v>
      </c>
      <c r="T659" s="1">
        <v>96</v>
      </c>
      <c r="U659" s="1" t="s">
        <v>24</v>
      </c>
      <c r="V659" s="3">
        <f>tblInventory[[#This Row],[Stock_Quantity]]*tblInventory[[#This Row],[Unit_Price]]</f>
        <v>196</v>
      </c>
      <c r="W659" s="1" t="str">
        <f>IF(tblInventory[[#This Row],[Status]]="Discontinued","INACTIVE",
IF(tblInventory[[#This Row],[Stock_Quantity]] &lt; tblInventory[[#This Row],[Reorder_Level]],"REORDER","OK"))</f>
        <v>INACTIVE</v>
      </c>
      <c r="X659" s="1" t="str">
        <f t="shared" ca="1" si="21"/>
        <v>Expired</v>
      </c>
    </row>
    <row r="660" spans="1:24">
      <c r="A660" s="1">
        <v>659</v>
      </c>
      <c r="B660" s="1" t="s">
        <v>2165</v>
      </c>
      <c r="C660" s="1" t="s">
        <v>551</v>
      </c>
      <c r="D660" s="1" t="s">
        <v>61</v>
      </c>
      <c r="E660" s="1" t="s">
        <v>2166</v>
      </c>
      <c r="F660" s="1" t="s">
        <v>2167</v>
      </c>
      <c r="G660" s="6">
        <v>79</v>
      </c>
      <c r="H660" s="8">
        <f>tblInventory[[#This Row],[Stock_Quantity]] * tblInventory[[#This Row],[Unit_Price]]</f>
        <v>316</v>
      </c>
      <c r="I660" s="1">
        <v>3</v>
      </c>
      <c r="J660" s="1">
        <v>36</v>
      </c>
      <c r="K660" s="8">
        <f>tblInventory[[#This Row],[Reorder_Quantity]]*M660</f>
        <v>144</v>
      </c>
      <c r="L660" s="10">
        <f>tblInventory[[#This Row],[Stock_Quantity]] / tblInventory[[#This Row],[Reorder_Quantity]]</f>
        <v>2.1944444444444446</v>
      </c>
      <c r="M660" s="3">
        <v>4</v>
      </c>
      <c r="N660" s="10">
        <f t="shared" si="20"/>
        <v>1.3412563667232598</v>
      </c>
      <c r="O660" s="1" t="s">
        <v>20</v>
      </c>
      <c r="P660" s="1" t="s">
        <v>264</v>
      </c>
      <c r="Q660" s="2">
        <v>46358</v>
      </c>
      <c r="R660" s="1" t="s">
        <v>2168</v>
      </c>
      <c r="S660" s="1">
        <v>46</v>
      </c>
      <c r="T660" s="1">
        <v>29</v>
      </c>
      <c r="U660" s="1" t="s">
        <v>24</v>
      </c>
      <c r="V660" s="3">
        <f>tblInventory[[#This Row],[Stock_Quantity]]*tblInventory[[#This Row],[Unit_Price]]</f>
        <v>316</v>
      </c>
      <c r="W660" s="1" t="str">
        <f>IF(tblInventory[[#This Row],[Status]]="Discontinued","INACTIVE",
IF(tblInventory[[#This Row],[Stock_Quantity]] &lt; tblInventory[[#This Row],[Reorder_Level]],"REORDER","OK"))</f>
        <v>INACTIVE</v>
      </c>
      <c r="X660" s="1" t="str">
        <f t="shared" ca="1" si="21"/>
        <v>Valid</v>
      </c>
    </row>
    <row r="661" spans="1:24">
      <c r="A661" s="1">
        <v>660</v>
      </c>
      <c r="B661" s="1" t="s">
        <v>2451</v>
      </c>
      <c r="C661" s="1" t="s">
        <v>551</v>
      </c>
      <c r="D661" s="1" t="s">
        <v>61</v>
      </c>
      <c r="E661" s="1" t="s">
        <v>2452</v>
      </c>
      <c r="F661" s="1" t="s">
        <v>381</v>
      </c>
      <c r="G661" s="6">
        <v>21</v>
      </c>
      <c r="H661" s="8">
        <f>tblInventory[[#This Row],[Stock_Quantity]] * tblInventory[[#This Row],[Unit_Price]]</f>
        <v>84</v>
      </c>
      <c r="I661" s="1">
        <v>52</v>
      </c>
      <c r="J661" s="1">
        <v>80</v>
      </c>
      <c r="K661" s="8">
        <f>tblInventory[[#This Row],[Reorder_Quantity]]*M661</f>
        <v>320</v>
      </c>
      <c r="L661" s="10">
        <f>tblInventory[[#This Row],[Stock_Quantity]] / tblInventory[[#This Row],[Reorder_Quantity]]</f>
        <v>0.26250000000000001</v>
      </c>
      <c r="M661" s="3">
        <v>4</v>
      </c>
      <c r="N661" s="10">
        <f t="shared" si="20"/>
        <v>0.35653650254668934</v>
      </c>
      <c r="O661" s="2">
        <v>45357</v>
      </c>
      <c r="P661" s="2">
        <v>45393</v>
      </c>
      <c r="Q661" s="2">
        <v>46331</v>
      </c>
      <c r="R661" s="1" t="s">
        <v>2453</v>
      </c>
      <c r="S661" s="1">
        <v>49</v>
      </c>
      <c r="T661" s="1">
        <v>37</v>
      </c>
      <c r="U661" s="1" t="s">
        <v>38</v>
      </c>
      <c r="V661" s="3">
        <f>tblInventory[[#This Row],[Stock_Quantity]]*tblInventory[[#This Row],[Unit_Price]]</f>
        <v>84</v>
      </c>
      <c r="W661" s="1" t="str">
        <f>IF(tblInventory[[#This Row],[Status]]="Discontinued","INACTIVE",
IF(tblInventory[[#This Row],[Stock_Quantity]] &lt; tblInventory[[#This Row],[Reorder_Level]],"REORDER","OK"))</f>
        <v>REORDER</v>
      </c>
      <c r="X661" s="1" t="str">
        <f t="shared" ca="1" si="21"/>
        <v>Valid</v>
      </c>
    </row>
    <row r="662" spans="1:24">
      <c r="A662" s="1">
        <v>661</v>
      </c>
      <c r="B662" s="1" t="s">
        <v>2887</v>
      </c>
      <c r="C662" s="1" t="s">
        <v>551</v>
      </c>
      <c r="D662" s="1" t="s">
        <v>61</v>
      </c>
      <c r="E662" s="1" t="s">
        <v>2888</v>
      </c>
      <c r="F662" s="1" t="s">
        <v>1818</v>
      </c>
      <c r="G662" s="6">
        <v>24</v>
      </c>
      <c r="H662" s="8">
        <f>tblInventory[[#This Row],[Stock_Quantity]] * tblInventory[[#This Row],[Unit_Price]]</f>
        <v>96</v>
      </c>
      <c r="I662" s="1">
        <v>14</v>
      </c>
      <c r="J662" s="1">
        <v>5</v>
      </c>
      <c r="K662" s="8">
        <f>tblInventory[[#This Row],[Reorder_Quantity]]*M662</f>
        <v>20</v>
      </c>
      <c r="L662" s="10">
        <f>tblInventory[[#This Row],[Stock_Quantity]] / tblInventory[[#This Row],[Reorder_Quantity]]</f>
        <v>4.8</v>
      </c>
      <c r="M662" s="3">
        <v>4</v>
      </c>
      <c r="N662" s="10">
        <f t="shared" si="20"/>
        <v>0.40747028862478779</v>
      </c>
      <c r="O662" s="1" t="s">
        <v>65</v>
      </c>
      <c r="P662" s="1" t="s">
        <v>632</v>
      </c>
      <c r="Q662" s="2">
        <v>46285</v>
      </c>
      <c r="R662" s="1" t="s">
        <v>2889</v>
      </c>
      <c r="S662" s="1">
        <v>98</v>
      </c>
      <c r="T662" s="1">
        <v>9</v>
      </c>
      <c r="U662" s="1" t="s">
        <v>46</v>
      </c>
      <c r="V662" s="3">
        <f>tblInventory[[#This Row],[Stock_Quantity]]*tblInventory[[#This Row],[Unit_Price]]</f>
        <v>96</v>
      </c>
      <c r="W662" s="1" t="str">
        <f>IF(tblInventory[[#This Row],[Status]]="Discontinued","INACTIVE",
IF(tblInventory[[#This Row],[Stock_Quantity]] &lt; tblInventory[[#This Row],[Reorder_Level]],"REORDER","OK"))</f>
        <v>OK</v>
      </c>
      <c r="X662" s="1" t="str">
        <f t="shared" ca="1" si="21"/>
        <v>Valid</v>
      </c>
    </row>
    <row r="663" spans="1:24">
      <c r="A663" s="1">
        <v>662</v>
      </c>
      <c r="B663" s="1" t="s">
        <v>3305</v>
      </c>
      <c r="C663" s="1" t="s">
        <v>551</v>
      </c>
      <c r="D663" s="1" t="s">
        <v>61</v>
      </c>
      <c r="E663" s="1" t="s">
        <v>3306</v>
      </c>
      <c r="F663" s="1" t="s">
        <v>500</v>
      </c>
      <c r="G663" s="6">
        <v>38</v>
      </c>
      <c r="H663" s="8">
        <f>tblInventory[[#This Row],[Stock_Quantity]] * tblInventory[[#This Row],[Unit_Price]]</f>
        <v>152</v>
      </c>
      <c r="I663" s="1">
        <v>62</v>
      </c>
      <c r="J663" s="1">
        <v>47</v>
      </c>
      <c r="K663" s="8">
        <f>tblInventory[[#This Row],[Reorder_Quantity]]*M663</f>
        <v>188</v>
      </c>
      <c r="L663" s="10">
        <f>tblInventory[[#This Row],[Stock_Quantity]] / tblInventory[[#This Row],[Reorder_Quantity]]</f>
        <v>0.80851063829787229</v>
      </c>
      <c r="M663" s="3">
        <v>4</v>
      </c>
      <c r="N663" s="10">
        <f t="shared" si="20"/>
        <v>0.64516129032258063</v>
      </c>
      <c r="O663" s="2">
        <v>45334</v>
      </c>
      <c r="P663" s="2">
        <v>45638</v>
      </c>
      <c r="Q663" s="2">
        <v>46420</v>
      </c>
      <c r="R663" s="1" t="s">
        <v>3307</v>
      </c>
      <c r="S663" s="1">
        <v>41</v>
      </c>
      <c r="T663" s="1">
        <v>34</v>
      </c>
      <c r="U663" s="1" t="s">
        <v>24</v>
      </c>
      <c r="V663" s="3">
        <f>tblInventory[[#This Row],[Stock_Quantity]]*tblInventory[[#This Row],[Unit_Price]]</f>
        <v>152</v>
      </c>
      <c r="W663" s="1" t="str">
        <f>IF(tblInventory[[#This Row],[Status]]="Discontinued","INACTIVE",
IF(tblInventory[[#This Row],[Stock_Quantity]] &lt; tblInventory[[#This Row],[Reorder_Level]],"REORDER","OK"))</f>
        <v>INACTIVE</v>
      </c>
      <c r="X663" s="1" t="str">
        <f t="shared" ca="1" si="21"/>
        <v>Valid</v>
      </c>
    </row>
    <row r="664" spans="1:24">
      <c r="A664" s="1">
        <v>663</v>
      </c>
      <c r="B664" s="1" t="s">
        <v>3575</v>
      </c>
      <c r="C664" s="1" t="s">
        <v>551</v>
      </c>
      <c r="D664" s="1" t="s">
        <v>61</v>
      </c>
      <c r="E664" s="1" t="s">
        <v>3576</v>
      </c>
      <c r="F664" s="1" t="s">
        <v>1110</v>
      </c>
      <c r="G664" s="6">
        <v>21</v>
      </c>
      <c r="H664" s="8">
        <f>tblInventory[[#This Row],[Stock_Quantity]] * tblInventory[[#This Row],[Unit_Price]]</f>
        <v>84</v>
      </c>
      <c r="I664" s="1">
        <v>25</v>
      </c>
      <c r="J664" s="1">
        <v>39</v>
      </c>
      <c r="K664" s="8">
        <f>tblInventory[[#This Row],[Reorder_Quantity]]*M664</f>
        <v>156</v>
      </c>
      <c r="L664" s="10">
        <f>tblInventory[[#This Row],[Stock_Quantity]] / tblInventory[[#This Row],[Reorder_Quantity]]</f>
        <v>0.53846153846153844</v>
      </c>
      <c r="M664" s="3">
        <v>4</v>
      </c>
      <c r="N664" s="10">
        <f t="shared" si="20"/>
        <v>0.35653650254668934</v>
      </c>
      <c r="O664" s="1" t="s">
        <v>1327</v>
      </c>
      <c r="P664" s="2">
        <v>45574</v>
      </c>
      <c r="Q664" s="2">
        <v>46507</v>
      </c>
      <c r="R664" s="1" t="s">
        <v>3577</v>
      </c>
      <c r="S664" s="1">
        <v>79</v>
      </c>
      <c r="T664" s="1">
        <v>30</v>
      </c>
      <c r="U664" s="1" t="s">
        <v>46</v>
      </c>
      <c r="V664" s="3">
        <f>tblInventory[[#This Row],[Stock_Quantity]]*tblInventory[[#This Row],[Unit_Price]]</f>
        <v>84</v>
      </c>
      <c r="W664" s="1" t="str">
        <f>IF(tblInventory[[#This Row],[Status]]="Discontinued","INACTIVE",
IF(tblInventory[[#This Row],[Stock_Quantity]] &lt; tblInventory[[#This Row],[Reorder_Level]],"REORDER","OK"))</f>
        <v>REORDER</v>
      </c>
      <c r="X664" s="1" t="str">
        <f t="shared" ca="1" si="21"/>
        <v>Valid</v>
      </c>
    </row>
    <row r="665" spans="1:24">
      <c r="A665" s="1">
        <v>664</v>
      </c>
      <c r="B665" s="1" t="s">
        <v>207</v>
      </c>
      <c r="C665" s="1" t="s">
        <v>208</v>
      </c>
      <c r="D665" s="1" t="s">
        <v>49</v>
      </c>
      <c r="E665" s="1" t="s">
        <v>209</v>
      </c>
      <c r="F665" s="1" t="s">
        <v>210</v>
      </c>
      <c r="G665" s="6">
        <v>77</v>
      </c>
      <c r="H665" s="8">
        <f>tblInventory[[#This Row],[Stock_Quantity]] * tblInventory[[#This Row],[Unit_Price]]</f>
        <v>346.5</v>
      </c>
      <c r="I665" s="1">
        <v>20</v>
      </c>
      <c r="J665" s="1">
        <v>5</v>
      </c>
      <c r="K665" s="8">
        <f>tblInventory[[#This Row],[Reorder_Quantity]]*M665</f>
        <v>22.5</v>
      </c>
      <c r="L665" s="10">
        <f>tblInventory[[#This Row],[Stock_Quantity]] / tblInventory[[#This Row],[Reorder_Quantity]]</f>
        <v>15.4</v>
      </c>
      <c r="M665" s="3">
        <v>4.5</v>
      </c>
      <c r="N665" s="10">
        <f t="shared" si="20"/>
        <v>1.3073005093378609</v>
      </c>
      <c r="O665" s="1" t="s">
        <v>211</v>
      </c>
      <c r="P665" s="1" t="s">
        <v>212</v>
      </c>
      <c r="Q665" s="2">
        <v>45583</v>
      </c>
      <c r="R665" s="1" t="s">
        <v>214</v>
      </c>
      <c r="S665" s="1">
        <v>61</v>
      </c>
      <c r="T665" s="1">
        <v>62</v>
      </c>
      <c r="U665" s="1" t="s">
        <v>24</v>
      </c>
      <c r="V665" s="3">
        <f>tblInventory[[#This Row],[Stock_Quantity]]*tblInventory[[#This Row],[Unit_Price]]</f>
        <v>346.5</v>
      </c>
      <c r="W665" s="1" t="str">
        <f>IF(tblInventory[[#This Row],[Status]]="Discontinued","INACTIVE",
IF(tblInventory[[#This Row],[Stock_Quantity]] &lt; tblInventory[[#This Row],[Reorder_Level]],"REORDER","OK"))</f>
        <v>INACTIVE</v>
      </c>
      <c r="X665" s="1" t="str">
        <f t="shared" ca="1" si="21"/>
        <v>Expired</v>
      </c>
    </row>
    <row r="666" spans="1:24">
      <c r="A666" s="1">
        <v>665</v>
      </c>
      <c r="B666" s="1" t="s">
        <v>411</v>
      </c>
      <c r="C666" s="1" t="s">
        <v>208</v>
      </c>
      <c r="D666" s="1" t="s">
        <v>49</v>
      </c>
      <c r="E666" s="1" t="s">
        <v>412</v>
      </c>
      <c r="F666" s="1" t="s">
        <v>413</v>
      </c>
      <c r="G666" s="6">
        <v>82</v>
      </c>
      <c r="H666" s="8">
        <f>tblInventory[[#This Row],[Stock_Quantity]] * tblInventory[[#This Row],[Unit_Price]]</f>
        <v>364.90000000000003</v>
      </c>
      <c r="I666" s="1">
        <v>65</v>
      </c>
      <c r="J666" s="1">
        <v>69</v>
      </c>
      <c r="K666" s="8">
        <f>tblInventory[[#This Row],[Reorder_Quantity]]*M666</f>
        <v>307.05</v>
      </c>
      <c r="L666" s="10">
        <f>tblInventory[[#This Row],[Stock_Quantity]] / tblInventory[[#This Row],[Reorder_Quantity]]</f>
        <v>1.1884057971014492</v>
      </c>
      <c r="M666" s="3">
        <v>4.45</v>
      </c>
      <c r="N666" s="10">
        <f t="shared" si="20"/>
        <v>1.3921901528013583</v>
      </c>
      <c r="O666" s="2">
        <v>45600</v>
      </c>
      <c r="P666" s="2">
        <v>45637</v>
      </c>
      <c r="Q666" s="2">
        <v>45616</v>
      </c>
      <c r="R666" s="1" t="s">
        <v>414</v>
      </c>
      <c r="S666" s="1">
        <v>30</v>
      </c>
      <c r="T666" s="1">
        <v>78</v>
      </c>
      <c r="U666" s="1" t="s">
        <v>38</v>
      </c>
      <c r="V666" s="3">
        <f>tblInventory[[#This Row],[Stock_Quantity]]*tblInventory[[#This Row],[Unit_Price]]</f>
        <v>364.90000000000003</v>
      </c>
      <c r="W666" s="1" t="str">
        <f>IF(tblInventory[[#This Row],[Status]]="Discontinued","INACTIVE",
IF(tblInventory[[#This Row],[Stock_Quantity]] &lt; tblInventory[[#This Row],[Reorder_Level]],"REORDER","OK"))</f>
        <v>OK</v>
      </c>
      <c r="X666" s="1" t="str">
        <f t="shared" ca="1" si="21"/>
        <v>Expired</v>
      </c>
    </row>
    <row r="667" spans="1:24">
      <c r="A667" s="1">
        <v>666</v>
      </c>
      <c r="B667" s="1" t="s">
        <v>717</v>
      </c>
      <c r="C667" s="1" t="s">
        <v>208</v>
      </c>
      <c r="D667" s="1" t="s">
        <v>49</v>
      </c>
      <c r="E667" s="1" t="s">
        <v>718</v>
      </c>
      <c r="F667" s="1" t="s">
        <v>719</v>
      </c>
      <c r="G667" s="6">
        <v>61</v>
      </c>
      <c r="H667" s="8">
        <f>tblInventory[[#This Row],[Stock_Quantity]] * tblInventory[[#This Row],[Unit_Price]]</f>
        <v>274.5</v>
      </c>
      <c r="I667" s="1">
        <v>50</v>
      </c>
      <c r="J667" s="1">
        <v>9</v>
      </c>
      <c r="K667" s="8">
        <f>tblInventory[[#This Row],[Reorder_Quantity]]*M667</f>
        <v>40.5</v>
      </c>
      <c r="L667" s="10">
        <f>tblInventory[[#This Row],[Stock_Quantity]] / tblInventory[[#This Row],[Reorder_Quantity]]</f>
        <v>6.7777777777777777</v>
      </c>
      <c r="M667" s="3">
        <v>4.5</v>
      </c>
      <c r="N667" s="10">
        <f t="shared" si="20"/>
        <v>1.0356536502546689</v>
      </c>
      <c r="O667" s="2">
        <v>45514</v>
      </c>
      <c r="P667" s="1" t="s">
        <v>524</v>
      </c>
      <c r="Q667" s="2">
        <v>45676</v>
      </c>
      <c r="R667" s="1" t="s">
        <v>720</v>
      </c>
      <c r="S667" s="1">
        <v>24</v>
      </c>
      <c r="T667" s="1">
        <v>92</v>
      </c>
      <c r="U667" s="1" t="s">
        <v>46</v>
      </c>
      <c r="V667" s="3">
        <f>tblInventory[[#This Row],[Stock_Quantity]]*tblInventory[[#This Row],[Unit_Price]]</f>
        <v>274.5</v>
      </c>
      <c r="W667" s="1" t="str">
        <f>IF(tblInventory[[#This Row],[Status]]="Discontinued","INACTIVE",
IF(tblInventory[[#This Row],[Stock_Quantity]] &lt; tblInventory[[#This Row],[Reorder_Level]],"REORDER","OK"))</f>
        <v>OK</v>
      </c>
      <c r="X667" s="1" t="str">
        <f t="shared" ca="1" si="21"/>
        <v>Expired</v>
      </c>
    </row>
    <row r="668" spans="1:24">
      <c r="A668" s="1">
        <v>667</v>
      </c>
      <c r="B668" s="1" t="s">
        <v>725</v>
      </c>
      <c r="C668" s="1" t="s">
        <v>208</v>
      </c>
      <c r="D668" s="1" t="s">
        <v>49</v>
      </c>
      <c r="E668" s="1" t="s">
        <v>726</v>
      </c>
      <c r="F668" s="1" t="s">
        <v>727</v>
      </c>
      <c r="G668" s="6">
        <v>29</v>
      </c>
      <c r="H668" s="8">
        <f>tblInventory[[#This Row],[Stock_Quantity]] * tblInventory[[#This Row],[Unit_Price]]</f>
        <v>130.5</v>
      </c>
      <c r="I668" s="1">
        <v>20</v>
      </c>
      <c r="J668" s="1">
        <v>85</v>
      </c>
      <c r="K668" s="8">
        <f>tblInventory[[#This Row],[Reorder_Quantity]]*M668</f>
        <v>382.5</v>
      </c>
      <c r="L668" s="10">
        <f>tblInventory[[#This Row],[Stock_Quantity]] / tblInventory[[#This Row],[Reorder_Quantity]]</f>
        <v>0.3411764705882353</v>
      </c>
      <c r="M668" s="3">
        <v>4.5</v>
      </c>
      <c r="N668" s="10">
        <f t="shared" si="20"/>
        <v>0.49235993208828527</v>
      </c>
      <c r="O668" s="1" t="s">
        <v>496</v>
      </c>
      <c r="P668" s="1" t="s">
        <v>567</v>
      </c>
      <c r="Q668" s="2">
        <v>45678</v>
      </c>
      <c r="R668" s="1" t="s">
        <v>728</v>
      </c>
      <c r="S668" s="1">
        <v>31</v>
      </c>
      <c r="T668" s="1">
        <v>31</v>
      </c>
      <c r="U668" s="1" t="s">
        <v>46</v>
      </c>
      <c r="V668" s="3">
        <f>tblInventory[[#This Row],[Stock_Quantity]]*tblInventory[[#This Row],[Unit_Price]]</f>
        <v>130.5</v>
      </c>
      <c r="W668" s="1" t="str">
        <f>IF(tblInventory[[#This Row],[Status]]="Discontinued","INACTIVE",
IF(tblInventory[[#This Row],[Stock_Quantity]] &lt; tblInventory[[#This Row],[Reorder_Level]],"REORDER","OK"))</f>
        <v>OK</v>
      </c>
      <c r="X668" s="1" t="str">
        <f t="shared" ca="1" si="21"/>
        <v>Expired</v>
      </c>
    </row>
    <row r="669" spans="1:24">
      <c r="A669" s="1">
        <v>668</v>
      </c>
      <c r="B669" s="1" t="s">
        <v>1287</v>
      </c>
      <c r="C669" s="1" t="s">
        <v>208</v>
      </c>
      <c r="D669" s="1" t="s">
        <v>49</v>
      </c>
      <c r="E669" s="1" t="s">
        <v>1288</v>
      </c>
      <c r="F669" s="1" t="s">
        <v>1289</v>
      </c>
      <c r="G669" s="6">
        <v>41</v>
      </c>
      <c r="H669" s="8">
        <f>tblInventory[[#This Row],[Stock_Quantity]] * tblInventory[[#This Row],[Unit_Price]]</f>
        <v>184.5</v>
      </c>
      <c r="I669" s="1">
        <v>52</v>
      </c>
      <c r="J669" s="1">
        <v>75</v>
      </c>
      <c r="K669" s="8">
        <f>tblInventory[[#This Row],[Reorder_Quantity]]*M669</f>
        <v>337.5</v>
      </c>
      <c r="L669" s="10">
        <f>tblInventory[[#This Row],[Stock_Quantity]] / tblInventory[[#This Row],[Reorder_Quantity]]</f>
        <v>0.54666666666666663</v>
      </c>
      <c r="M669" s="3">
        <v>4.5</v>
      </c>
      <c r="N669" s="10">
        <f t="shared" si="20"/>
        <v>0.69609507640067914</v>
      </c>
      <c r="O669" s="2">
        <v>45447</v>
      </c>
      <c r="P669" s="1" t="s">
        <v>1179</v>
      </c>
      <c r="Q669" s="2">
        <v>45753</v>
      </c>
      <c r="R669" s="1" t="s">
        <v>1290</v>
      </c>
      <c r="S669" s="1">
        <v>57</v>
      </c>
      <c r="T669" s="1">
        <v>62</v>
      </c>
      <c r="U669" s="1" t="s">
        <v>38</v>
      </c>
      <c r="V669" s="3">
        <f>tblInventory[[#This Row],[Stock_Quantity]]*tblInventory[[#This Row],[Unit_Price]]</f>
        <v>184.5</v>
      </c>
      <c r="W669" s="1" t="str">
        <f>IF(tblInventory[[#This Row],[Status]]="Discontinued","INACTIVE",
IF(tblInventory[[#This Row],[Stock_Quantity]] &lt; tblInventory[[#This Row],[Reorder_Level]],"REORDER","OK"))</f>
        <v>REORDER</v>
      </c>
      <c r="X669" s="1" t="str">
        <f t="shared" ca="1" si="21"/>
        <v>Expired</v>
      </c>
    </row>
    <row r="670" spans="1:24">
      <c r="A670" s="1">
        <v>669</v>
      </c>
      <c r="B670" s="1" t="s">
        <v>1730</v>
      </c>
      <c r="C670" s="1" t="s">
        <v>208</v>
      </c>
      <c r="D670" s="1" t="s">
        <v>49</v>
      </c>
      <c r="E670" s="1" t="s">
        <v>1731</v>
      </c>
      <c r="F670" s="1" t="s">
        <v>1463</v>
      </c>
      <c r="G670" s="6">
        <v>26</v>
      </c>
      <c r="H670" s="8">
        <f>tblInventory[[#This Row],[Stock_Quantity]] * tblInventory[[#This Row],[Unit_Price]]</f>
        <v>117</v>
      </c>
      <c r="I670" s="1">
        <v>95</v>
      </c>
      <c r="J670" s="1">
        <v>36</v>
      </c>
      <c r="K670" s="8">
        <f>tblInventory[[#This Row],[Reorder_Quantity]]*M670</f>
        <v>162</v>
      </c>
      <c r="L670" s="10">
        <f>tblInventory[[#This Row],[Stock_Quantity]] / tblInventory[[#This Row],[Reorder_Quantity]]</f>
        <v>0.72222222222222221</v>
      </c>
      <c r="M670" s="3">
        <v>4.5</v>
      </c>
      <c r="N670" s="10">
        <f t="shared" si="20"/>
        <v>0.44142614601018676</v>
      </c>
      <c r="O670" s="1" t="s">
        <v>495</v>
      </c>
      <c r="P670" s="2">
        <v>45809</v>
      </c>
      <c r="Q670" s="2">
        <v>45698</v>
      </c>
      <c r="R670" s="1" t="s">
        <v>1732</v>
      </c>
      <c r="S670" s="1">
        <v>92</v>
      </c>
      <c r="T670" s="1">
        <v>14</v>
      </c>
      <c r="U670" s="1" t="s">
        <v>46</v>
      </c>
      <c r="V670" s="3">
        <f>tblInventory[[#This Row],[Stock_Quantity]]*tblInventory[[#This Row],[Unit_Price]]</f>
        <v>117</v>
      </c>
      <c r="W670" s="1" t="str">
        <f>IF(tblInventory[[#This Row],[Status]]="Discontinued","INACTIVE",
IF(tblInventory[[#This Row],[Stock_Quantity]] &lt; tblInventory[[#This Row],[Reorder_Level]],"REORDER","OK"))</f>
        <v>REORDER</v>
      </c>
      <c r="X670" s="1" t="str">
        <f t="shared" ca="1" si="21"/>
        <v>Expired</v>
      </c>
    </row>
    <row r="671" spans="1:24">
      <c r="A671" s="1">
        <v>670</v>
      </c>
      <c r="B671" s="1" t="s">
        <v>2524</v>
      </c>
      <c r="C671" s="1" t="s">
        <v>208</v>
      </c>
      <c r="D671" s="1" t="s">
        <v>49</v>
      </c>
      <c r="E671" s="1" t="s">
        <v>2525</v>
      </c>
      <c r="F671" s="1" t="s">
        <v>2526</v>
      </c>
      <c r="G671" s="6">
        <v>58</v>
      </c>
      <c r="H671" s="8">
        <f>tblInventory[[#This Row],[Stock_Quantity]] * tblInventory[[#This Row],[Unit_Price]]</f>
        <v>258.10000000000002</v>
      </c>
      <c r="I671" s="1">
        <v>55</v>
      </c>
      <c r="J671" s="1">
        <v>5</v>
      </c>
      <c r="K671" s="8">
        <f>tblInventory[[#This Row],[Reorder_Quantity]]*M671</f>
        <v>22.25</v>
      </c>
      <c r="L671" s="10">
        <f>tblInventory[[#This Row],[Stock_Quantity]] / tblInventory[[#This Row],[Reorder_Quantity]]</f>
        <v>11.6</v>
      </c>
      <c r="M671" s="3">
        <v>4.45</v>
      </c>
      <c r="N671" s="10">
        <f t="shared" si="20"/>
        <v>0.98471986417657054</v>
      </c>
      <c r="O671" s="1" t="s">
        <v>480</v>
      </c>
      <c r="P671" s="1" t="s">
        <v>44</v>
      </c>
      <c r="Q671" s="2">
        <v>46059</v>
      </c>
      <c r="R671" s="1" t="s">
        <v>2527</v>
      </c>
      <c r="S671" s="1">
        <v>62</v>
      </c>
      <c r="T671" s="1">
        <v>89</v>
      </c>
      <c r="U671" s="1" t="s">
        <v>46</v>
      </c>
      <c r="V671" s="3">
        <f>tblInventory[[#This Row],[Stock_Quantity]]*tblInventory[[#This Row],[Unit_Price]]</f>
        <v>258.10000000000002</v>
      </c>
      <c r="W671" s="1" t="str">
        <f>IF(tblInventory[[#This Row],[Status]]="Discontinued","INACTIVE",
IF(tblInventory[[#This Row],[Stock_Quantity]] &lt; tblInventory[[#This Row],[Reorder_Level]],"REORDER","OK"))</f>
        <v>OK</v>
      </c>
      <c r="X671" s="1" t="str">
        <f t="shared" ca="1" si="21"/>
        <v>Valid</v>
      </c>
    </row>
    <row r="672" spans="1:24">
      <c r="A672" s="1">
        <v>671</v>
      </c>
      <c r="B672" s="1" t="s">
        <v>3020</v>
      </c>
      <c r="C672" s="1" t="s">
        <v>208</v>
      </c>
      <c r="D672" s="1" t="s">
        <v>49</v>
      </c>
      <c r="E672" s="1" t="s">
        <v>3021</v>
      </c>
      <c r="F672" s="1" t="s">
        <v>2805</v>
      </c>
      <c r="G672" s="6">
        <v>79</v>
      </c>
      <c r="H672" s="8">
        <f>tblInventory[[#This Row],[Stock_Quantity]] * tblInventory[[#This Row],[Unit_Price]]</f>
        <v>355.5</v>
      </c>
      <c r="I672" s="1">
        <v>37</v>
      </c>
      <c r="J672" s="1">
        <v>98</v>
      </c>
      <c r="K672" s="8">
        <f>tblInventory[[#This Row],[Reorder_Quantity]]*M672</f>
        <v>441</v>
      </c>
      <c r="L672" s="10">
        <f>tblInventory[[#This Row],[Stock_Quantity]] / tblInventory[[#This Row],[Reorder_Quantity]]</f>
        <v>0.80612244897959184</v>
      </c>
      <c r="M672" s="3">
        <v>4.5</v>
      </c>
      <c r="N672" s="10">
        <f t="shared" si="20"/>
        <v>1.3412563667232598</v>
      </c>
      <c r="O672" s="2">
        <v>45300</v>
      </c>
      <c r="P672" s="2">
        <v>45325</v>
      </c>
      <c r="Q672" s="2">
        <v>46064</v>
      </c>
      <c r="R672" s="1" t="s">
        <v>3022</v>
      </c>
      <c r="S672" s="1">
        <v>33</v>
      </c>
      <c r="T672" s="1">
        <v>20</v>
      </c>
      <c r="U672" s="1" t="s">
        <v>24</v>
      </c>
      <c r="V672" s="3">
        <f>tblInventory[[#This Row],[Stock_Quantity]]*tblInventory[[#This Row],[Unit_Price]]</f>
        <v>355.5</v>
      </c>
      <c r="W672" s="1" t="str">
        <f>IF(tblInventory[[#This Row],[Status]]="Discontinued","INACTIVE",
IF(tblInventory[[#This Row],[Stock_Quantity]] &lt; tblInventory[[#This Row],[Reorder_Level]],"REORDER","OK"))</f>
        <v>INACTIVE</v>
      </c>
      <c r="X672" s="1" t="str">
        <f t="shared" ca="1" si="21"/>
        <v>Valid</v>
      </c>
    </row>
    <row r="673" spans="1:24">
      <c r="A673" s="1">
        <v>672</v>
      </c>
      <c r="B673" s="1" t="s">
        <v>3281</v>
      </c>
      <c r="C673" s="1" t="s">
        <v>208</v>
      </c>
      <c r="D673" s="1" t="s">
        <v>49</v>
      </c>
      <c r="E673" s="1" t="s">
        <v>3282</v>
      </c>
      <c r="F673" s="1" t="s">
        <v>1187</v>
      </c>
      <c r="G673" s="6">
        <v>84</v>
      </c>
      <c r="H673" s="8">
        <f>tblInventory[[#This Row],[Stock_Quantity]] * tblInventory[[#This Row],[Unit_Price]]</f>
        <v>378</v>
      </c>
      <c r="I673" s="1">
        <v>74</v>
      </c>
      <c r="J673" s="1">
        <v>48</v>
      </c>
      <c r="K673" s="8">
        <f>tblInventory[[#This Row],[Reorder_Quantity]]*M673</f>
        <v>216</v>
      </c>
      <c r="L673" s="10">
        <f>tblInventory[[#This Row],[Stock_Quantity]] / tblInventory[[#This Row],[Reorder_Quantity]]</f>
        <v>1.75</v>
      </c>
      <c r="M673" s="3">
        <v>4.5</v>
      </c>
      <c r="N673" s="10">
        <f t="shared" si="20"/>
        <v>1.4261460101867574</v>
      </c>
      <c r="O673" s="1" t="s">
        <v>855</v>
      </c>
      <c r="P673" s="1" t="s">
        <v>358</v>
      </c>
      <c r="Q673" s="2">
        <v>46412</v>
      </c>
      <c r="R673" s="1" t="s">
        <v>3283</v>
      </c>
      <c r="S673" s="1">
        <v>64</v>
      </c>
      <c r="T673" s="1">
        <v>32</v>
      </c>
      <c r="U673" s="1" t="s">
        <v>38</v>
      </c>
      <c r="V673" s="3">
        <f>tblInventory[[#This Row],[Stock_Quantity]]*tblInventory[[#This Row],[Unit_Price]]</f>
        <v>378</v>
      </c>
      <c r="W673" s="1" t="str">
        <f>IF(tblInventory[[#This Row],[Status]]="Discontinued","INACTIVE",
IF(tblInventory[[#This Row],[Stock_Quantity]] &lt; tblInventory[[#This Row],[Reorder_Level]],"REORDER","OK"))</f>
        <v>OK</v>
      </c>
      <c r="X673" s="1" t="str">
        <f t="shared" ca="1" si="21"/>
        <v>Valid</v>
      </c>
    </row>
    <row r="674" spans="1:24">
      <c r="A674" s="1">
        <v>673</v>
      </c>
      <c r="B674" s="1" t="s">
        <v>508</v>
      </c>
      <c r="C674" s="1" t="s">
        <v>509</v>
      </c>
      <c r="D674" s="1" t="s">
        <v>49</v>
      </c>
      <c r="E674" s="1" t="s">
        <v>510</v>
      </c>
      <c r="F674" s="1" t="s">
        <v>511</v>
      </c>
      <c r="G674" s="6">
        <v>99</v>
      </c>
      <c r="H674" s="8">
        <f>tblInventory[[#This Row],[Stock_Quantity]] * tblInventory[[#This Row],[Unit_Price]]</f>
        <v>297</v>
      </c>
      <c r="I674" s="1">
        <v>1</v>
      </c>
      <c r="J674" s="1">
        <v>4</v>
      </c>
      <c r="K674" s="8">
        <f>tblInventory[[#This Row],[Reorder_Quantity]]*M674</f>
        <v>12</v>
      </c>
      <c r="L674" s="10">
        <f>tblInventory[[#This Row],[Stock_Quantity]] / tblInventory[[#This Row],[Reorder_Quantity]]</f>
        <v>24.75</v>
      </c>
      <c r="M674" s="3">
        <v>3</v>
      </c>
      <c r="N674" s="10">
        <f t="shared" si="20"/>
        <v>1.6808149405772497</v>
      </c>
      <c r="O674" s="1" t="s">
        <v>103</v>
      </c>
      <c r="P674" s="1" t="s">
        <v>512</v>
      </c>
      <c r="Q674" s="2">
        <v>45547</v>
      </c>
      <c r="R674" s="1" t="s">
        <v>513</v>
      </c>
      <c r="S674" s="1">
        <v>50</v>
      </c>
      <c r="T674" s="1">
        <v>53</v>
      </c>
      <c r="U674" s="1" t="s">
        <v>38</v>
      </c>
      <c r="V674" s="3">
        <f>tblInventory[[#This Row],[Stock_Quantity]]*tblInventory[[#This Row],[Unit_Price]]</f>
        <v>297</v>
      </c>
      <c r="W674" s="1" t="str">
        <f>IF(tblInventory[[#This Row],[Status]]="Discontinued","INACTIVE",
IF(tblInventory[[#This Row],[Stock_Quantity]] &lt; tblInventory[[#This Row],[Reorder_Level]],"REORDER","OK"))</f>
        <v>OK</v>
      </c>
      <c r="X674" s="1" t="str">
        <f t="shared" ca="1" si="21"/>
        <v>Expired</v>
      </c>
    </row>
    <row r="675" spans="1:24">
      <c r="A675" s="1">
        <v>674</v>
      </c>
      <c r="B675" s="1" t="s">
        <v>1341</v>
      </c>
      <c r="C675" s="1" t="s">
        <v>509</v>
      </c>
      <c r="D675" s="1" t="s">
        <v>49</v>
      </c>
      <c r="E675" s="1" t="s">
        <v>1342</v>
      </c>
      <c r="F675" s="1" t="s">
        <v>333</v>
      </c>
      <c r="G675" s="6">
        <v>49</v>
      </c>
      <c r="H675" s="8">
        <f>tblInventory[[#This Row],[Stock_Quantity]] * tblInventory[[#This Row],[Unit_Price]]</f>
        <v>147</v>
      </c>
      <c r="I675" s="1">
        <v>46</v>
      </c>
      <c r="J675" s="1">
        <v>8</v>
      </c>
      <c r="K675" s="8">
        <f>tblInventory[[#This Row],[Reorder_Quantity]]*M675</f>
        <v>24</v>
      </c>
      <c r="L675" s="10">
        <f>tblInventory[[#This Row],[Stock_Quantity]] / tblInventory[[#This Row],[Reorder_Quantity]]</f>
        <v>6.125</v>
      </c>
      <c r="M675" s="3">
        <v>3</v>
      </c>
      <c r="N675" s="10">
        <f t="shared" si="20"/>
        <v>0.83191850594227501</v>
      </c>
      <c r="O675" s="1" t="s">
        <v>518</v>
      </c>
      <c r="P675" s="1" t="s">
        <v>1075</v>
      </c>
      <c r="Q675" s="2">
        <v>45825</v>
      </c>
      <c r="R675" s="1" t="s">
        <v>1343</v>
      </c>
      <c r="S675" s="1">
        <v>82</v>
      </c>
      <c r="T675" s="1">
        <v>21</v>
      </c>
      <c r="U675" s="1" t="s">
        <v>24</v>
      </c>
      <c r="V675" s="3">
        <f>tblInventory[[#This Row],[Stock_Quantity]]*tblInventory[[#This Row],[Unit_Price]]</f>
        <v>147</v>
      </c>
      <c r="W675" s="1" t="str">
        <f>IF(tblInventory[[#This Row],[Status]]="Discontinued","INACTIVE",
IF(tblInventory[[#This Row],[Stock_Quantity]] &lt; tblInventory[[#This Row],[Reorder_Level]],"REORDER","OK"))</f>
        <v>INACTIVE</v>
      </c>
      <c r="X675" s="1" t="str">
        <f t="shared" ca="1" si="21"/>
        <v>Expired</v>
      </c>
    </row>
    <row r="676" spans="1:24">
      <c r="A676" s="1">
        <v>675</v>
      </c>
      <c r="B676" s="1" t="s">
        <v>1839</v>
      </c>
      <c r="C676" s="1" t="s">
        <v>509</v>
      </c>
      <c r="D676" s="1" t="s">
        <v>49</v>
      </c>
      <c r="E676" s="1" t="s">
        <v>1840</v>
      </c>
      <c r="F676" s="1" t="s">
        <v>1841</v>
      </c>
      <c r="G676" s="6">
        <v>12</v>
      </c>
      <c r="H676" s="8">
        <f>tblInventory[[#This Row],[Stock_Quantity]] * tblInventory[[#This Row],[Unit_Price]]</f>
        <v>36</v>
      </c>
      <c r="I676" s="1">
        <v>28</v>
      </c>
      <c r="J676" s="1">
        <v>11</v>
      </c>
      <c r="K676" s="8">
        <f>tblInventory[[#This Row],[Reorder_Quantity]]*M676</f>
        <v>33</v>
      </c>
      <c r="L676" s="10">
        <f>tblInventory[[#This Row],[Stock_Quantity]] / tblInventory[[#This Row],[Reorder_Quantity]]</f>
        <v>1.0909090909090908</v>
      </c>
      <c r="M676" s="3">
        <v>3</v>
      </c>
      <c r="N676" s="10">
        <f t="shared" si="20"/>
        <v>0.2037351443123939</v>
      </c>
      <c r="O676" s="1" t="s">
        <v>535</v>
      </c>
      <c r="P676" s="2">
        <v>45778</v>
      </c>
      <c r="Q676" s="2">
        <v>45758</v>
      </c>
      <c r="R676" s="1" t="s">
        <v>1842</v>
      </c>
      <c r="S676" s="1">
        <v>46</v>
      </c>
      <c r="T676" s="1">
        <v>88</v>
      </c>
      <c r="U676" s="1" t="s">
        <v>38</v>
      </c>
      <c r="V676" s="3">
        <f>tblInventory[[#This Row],[Stock_Quantity]]*tblInventory[[#This Row],[Unit_Price]]</f>
        <v>36</v>
      </c>
      <c r="W676" s="1" t="str">
        <f>IF(tblInventory[[#This Row],[Status]]="Discontinued","INACTIVE",
IF(tblInventory[[#This Row],[Stock_Quantity]] &lt; tblInventory[[#This Row],[Reorder_Level]],"REORDER","OK"))</f>
        <v>REORDER</v>
      </c>
      <c r="X676" s="1" t="str">
        <f t="shared" ca="1" si="21"/>
        <v>Expired</v>
      </c>
    </row>
    <row r="677" spans="1:24">
      <c r="A677" s="1">
        <v>676</v>
      </c>
      <c r="B677" s="1" t="s">
        <v>2169</v>
      </c>
      <c r="C677" s="1" t="s">
        <v>509</v>
      </c>
      <c r="D677" s="1" t="s">
        <v>49</v>
      </c>
      <c r="E677" s="1" t="s">
        <v>2170</v>
      </c>
      <c r="F677" s="1" t="s">
        <v>854</v>
      </c>
      <c r="G677" s="6">
        <v>75</v>
      </c>
      <c r="H677" s="8">
        <f>tblInventory[[#This Row],[Stock_Quantity]] * tblInventory[[#This Row],[Unit_Price]]</f>
        <v>225</v>
      </c>
      <c r="I677" s="1">
        <v>91</v>
      </c>
      <c r="J677" s="1">
        <v>68</v>
      </c>
      <c r="K677" s="8">
        <f>tblInventory[[#This Row],[Reorder_Quantity]]*M677</f>
        <v>204</v>
      </c>
      <c r="L677" s="10">
        <f>tblInventory[[#This Row],[Stock_Quantity]] / tblInventory[[#This Row],[Reorder_Quantity]]</f>
        <v>1.1029411764705883</v>
      </c>
      <c r="M677" s="3">
        <v>3</v>
      </c>
      <c r="N677" s="10">
        <f t="shared" si="20"/>
        <v>1.2733446519524618</v>
      </c>
      <c r="O677" s="1" t="s">
        <v>923</v>
      </c>
      <c r="P677" s="1" t="s">
        <v>910</v>
      </c>
      <c r="Q677" s="2">
        <v>46066</v>
      </c>
      <c r="R677" s="1" t="s">
        <v>2171</v>
      </c>
      <c r="S677" s="1">
        <v>96</v>
      </c>
      <c r="T677" s="1">
        <v>73</v>
      </c>
      <c r="U677" s="1" t="s">
        <v>38</v>
      </c>
      <c r="V677" s="3">
        <f>tblInventory[[#This Row],[Stock_Quantity]]*tblInventory[[#This Row],[Unit_Price]]</f>
        <v>225</v>
      </c>
      <c r="W677" s="1" t="str">
        <f>IF(tblInventory[[#This Row],[Status]]="Discontinued","INACTIVE",
IF(tblInventory[[#This Row],[Stock_Quantity]] &lt; tblInventory[[#This Row],[Reorder_Level]],"REORDER","OK"))</f>
        <v>REORDER</v>
      </c>
      <c r="X677" s="1" t="str">
        <f t="shared" ca="1" si="21"/>
        <v>Valid</v>
      </c>
    </row>
    <row r="678" spans="1:24">
      <c r="A678" s="1">
        <v>677</v>
      </c>
      <c r="B678" s="1" t="s">
        <v>2267</v>
      </c>
      <c r="C678" s="1" t="s">
        <v>509</v>
      </c>
      <c r="D678" s="1" t="s">
        <v>49</v>
      </c>
      <c r="E678" s="1" t="s">
        <v>2268</v>
      </c>
      <c r="F678" s="1" t="s">
        <v>2269</v>
      </c>
      <c r="G678" s="6">
        <v>48</v>
      </c>
      <c r="H678" s="8">
        <f>tblInventory[[#This Row],[Stock_Quantity]] * tblInventory[[#This Row],[Unit_Price]]</f>
        <v>144</v>
      </c>
      <c r="I678" s="1">
        <v>72</v>
      </c>
      <c r="J678" s="1">
        <v>55</v>
      </c>
      <c r="K678" s="8">
        <f>tblInventory[[#This Row],[Reorder_Quantity]]*M678</f>
        <v>165</v>
      </c>
      <c r="L678" s="10">
        <f>tblInventory[[#This Row],[Stock_Quantity]] / tblInventory[[#This Row],[Reorder_Quantity]]</f>
        <v>0.87272727272727268</v>
      </c>
      <c r="M678" s="3">
        <v>3</v>
      </c>
      <c r="N678" s="10">
        <f t="shared" si="20"/>
        <v>0.81494057724957558</v>
      </c>
      <c r="O678" s="1" t="s">
        <v>485</v>
      </c>
      <c r="P678" s="2">
        <v>45631</v>
      </c>
      <c r="Q678" s="2">
        <v>46096</v>
      </c>
      <c r="R678" s="1" t="s">
        <v>2270</v>
      </c>
      <c r="S678" s="1">
        <v>51</v>
      </c>
      <c r="T678" s="1">
        <v>41</v>
      </c>
      <c r="U678" s="1" t="s">
        <v>46</v>
      </c>
      <c r="V678" s="3">
        <f>tblInventory[[#This Row],[Stock_Quantity]]*tblInventory[[#This Row],[Unit_Price]]</f>
        <v>144</v>
      </c>
      <c r="W678" s="1" t="str">
        <f>IF(tblInventory[[#This Row],[Status]]="Discontinued","INACTIVE",
IF(tblInventory[[#This Row],[Stock_Quantity]] &lt; tblInventory[[#This Row],[Reorder_Level]],"REORDER","OK"))</f>
        <v>REORDER</v>
      </c>
      <c r="X678" s="1" t="str">
        <f t="shared" ca="1" si="21"/>
        <v>Valid</v>
      </c>
    </row>
    <row r="679" spans="1:24">
      <c r="A679" s="1">
        <v>678</v>
      </c>
      <c r="B679" s="1" t="s">
        <v>3629</v>
      </c>
      <c r="C679" s="1" t="s">
        <v>509</v>
      </c>
      <c r="D679" s="1" t="s">
        <v>49</v>
      </c>
      <c r="E679" s="1" t="s">
        <v>3630</v>
      </c>
      <c r="F679" s="1" t="s">
        <v>2002</v>
      </c>
      <c r="G679" s="6">
        <v>100</v>
      </c>
      <c r="H679" s="8">
        <f>tblInventory[[#This Row],[Stock_Quantity]] * tblInventory[[#This Row],[Unit_Price]]</f>
        <v>300</v>
      </c>
      <c r="I679" s="1">
        <v>52</v>
      </c>
      <c r="J679" s="1">
        <v>2</v>
      </c>
      <c r="K679" s="8">
        <f>tblInventory[[#This Row],[Reorder_Quantity]]*M679</f>
        <v>6</v>
      </c>
      <c r="L679" s="10">
        <f>tblInventory[[#This Row],[Stock_Quantity]] / tblInventory[[#This Row],[Reorder_Quantity]]</f>
        <v>50</v>
      </c>
      <c r="M679" s="3">
        <v>3</v>
      </c>
      <c r="N679" s="10">
        <f t="shared" si="20"/>
        <v>1.6977928692699491</v>
      </c>
      <c r="O679" s="2">
        <v>45507</v>
      </c>
      <c r="P679" s="1" t="s">
        <v>1134</v>
      </c>
      <c r="Q679" s="2">
        <v>46525</v>
      </c>
      <c r="R679" s="1" t="s">
        <v>3631</v>
      </c>
      <c r="S679" s="1">
        <v>86</v>
      </c>
      <c r="T679" s="1">
        <v>70</v>
      </c>
      <c r="U679" s="1" t="s">
        <v>38</v>
      </c>
      <c r="V679" s="3">
        <f>tblInventory[[#This Row],[Stock_Quantity]]*tblInventory[[#This Row],[Unit_Price]]</f>
        <v>300</v>
      </c>
      <c r="W679" s="1" t="str">
        <f>IF(tblInventory[[#This Row],[Status]]="Discontinued","INACTIVE",
IF(tblInventory[[#This Row],[Stock_Quantity]] &lt; tblInventory[[#This Row],[Reorder_Level]],"REORDER","OK"))</f>
        <v>OK</v>
      </c>
      <c r="X679" s="1" t="str">
        <f t="shared" ca="1" si="21"/>
        <v>Valid</v>
      </c>
    </row>
    <row r="680" spans="1:24">
      <c r="A680" s="1">
        <v>679</v>
      </c>
      <c r="B680" s="1" t="s">
        <v>221</v>
      </c>
      <c r="C680" s="1" t="s">
        <v>222</v>
      </c>
      <c r="D680" s="1" t="s">
        <v>49</v>
      </c>
      <c r="E680" s="1" t="s">
        <v>223</v>
      </c>
      <c r="F680" s="1" t="s">
        <v>224</v>
      </c>
      <c r="G680" s="6">
        <v>18</v>
      </c>
      <c r="H680" s="8">
        <f>tblInventory[[#This Row],[Stock_Quantity]] * tblInventory[[#This Row],[Unit_Price]]</f>
        <v>63</v>
      </c>
      <c r="I680" s="1">
        <v>52</v>
      </c>
      <c r="J680" s="1">
        <v>22</v>
      </c>
      <c r="K680" s="8">
        <f>tblInventory[[#This Row],[Reorder_Quantity]]*M680</f>
        <v>77</v>
      </c>
      <c r="L680" s="10">
        <f>tblInventory[[#This Row],[Stock_Quantity]] / tblInventory[[#This Row],[Reorder_Quantity]]</f>
        <v>0.81818181818181823</v>
      </c>
      <c r="M680" s="3">
        <v>3.5</v>
      </c>
      <c r="N680" s="10">
        <f t="shared" si="20"/>
        <v>0.30560271646859083</v>
      </c>
      <c r="O680" s="1" t="s">
        <v>225</v>
      </c>
      <c r="P680" s="1" t="s">
        <v>226</v>
      </c>
      <c r="Q680" s="2">
        <v>45585</v>
      </c>
      <c r="R680" s="1" t="s">
        <v>227</v>
      </c>
      <c r="S680" s="1">
        <v>42</v>
      </c>
      <c r="T680" s="1">
        <v>32</v>
      </c>
      <c r="U680" s="1" t="s">
        <v>38</v>
      </c>
      <c r="V680" s="3">
        <f>tblInventory[[#This Row],[Stock_Quantity]]*tblInventory[[#This Row],[Unit_Price]]</f>
        <v>63</v>
      </c>
      <c r="W680" s="1" t="str">
        <f>IF(tblInventory[[#This Row],[Status]]="Discontinued","INACTIVE",
IF(tblInventory[[#This Row],[Stock_Quantity]] &lt; tblInventory[[#This Row],[Reorder_Level]],"REORDER","OK"))</f>
        <v>REORDER</v>
      </c>
      <c r="X680" s="1" t="str">
        <f t="shared" ca="1" si="21"/>
        <v>Expired</v>
      </c>
    </row>
    <row r="681" spans="1:24">
      <c r="A681" s="1">
        <v>680</v>
      </c>
      <c r="B681" s="1" t="s">
        <v>261</v>
      </c>
      <c r="C681" s="1" t="s">
        <v>222</v>
      </c>
      <c r="D681" s="1" t="s">
        <v>49</v>
      </c>
      <c r="E681" s="1" t="s">
        <v>262</v>
      </c>
      <c r="F681" s="1" t="s">
        <v>263</v>
      </c>
      <c r="G681" s="6">
        <v>48</v>
      </c>
      <c r="H681" s="8">
        <f>tblInventory[[#This Row],[Stock_Quantity]] * tblInventory[[#This Row],[Unit_Price]]</f>
        <v>165.60000000000002</v>
      </c>
      <c r="I681" s="1">
        <v>48</v>
      </c>
      <c r="J681" s="1">
        <v>39</v>
      </c>
      <c r="K681" s="8">
        <f>tblInventory[[#This Row],[Reorder_Quantity]]*M681</f>
        <v>134.55000000000001</v>
      </c>
      <c r="L681" s="10">
        <f>tblInventory[[#This Row],[Stock_Quantity]] / tblInventory[[#This Row],[Reorder_Quantity]]</f>
        <v>1.2307692307692308</v>
      </c>
      <c r="M681" s="3">
        <v>3.45</v>
      </c>
      <c r="N681" s="10">
        <f t="shared" si="20"/>
        <v>0.81494057724957558</v>
      </c>
      <c r="O681" s="1" t="s">
        <v>199</v>
      </c>
      <c r="P681" s="1" t="s">
        <v>264</v>
      </c>
      <c r="Q681" s="2">
        <v>45591</v>
      </c>
      <c r="R681" s="1" t="s">
        <v>266</v>
      </c>
      <c r="S681" s="1">
        <v>51</v>
      </c>
      <c r="T681" s="1">
        <v>50</v>
      </c>
      <c r="U681" s="1" t="s">
        <v>24</v>
      </c>
      <c r="V681" s="3">
        <f>tblInventory[[#This Row],[Stock_Quantity]]*tblInventory[[#This Row],[Unit_Price]]</f>
        <v>165.60000000000002</v>
      </c>
      <c r="W681" s="1" t="str">
        <f>IF(tblInventory[[#This Row],[Status]]="Discontinued","INACTIVE",
IF(tblInventory[[#This Row],[Stock_Quantity]] &lt; tblInventory[[#This Row],[Reorder_Level]],"REORDER","OK"))</f>
        <v>INACTIVE</v>
      </c>
      <c r="X681" s="1" t="str">
        <f t="shared" ca="1" si="21"/>
        <v>Expired</v>
      </c>
    </row>
    <row r="682" spans="1:24">
      <c r="A682" s="1">
        <v>681</v>
      </c>
      <c r="B682" s="1" t="s">
        <v>354</v>
      </c>
      <c r="C682" s="1" t="s">
        <v>222</v>
      </c>
      <c r="D682" s="1" t="s">
        <v>49</v>
      </c>
      <c r="E682" s="1" t="s">
        <v>355</v>
      </c>
      <c r="F682" s="1" t="s">
        <v>356</v>
      </c>
      <c r="G682" s="6">
        <v>44</v>
      </c>
      <c r="H682" s="8">
        <f>tblInventory[[#This Row],[Stock_Quantity]] * tblInventory[[#This Row],[Unit_Price]]</f>
        <v>149.6</v>
      </c>
      <c r="I682" s="1">
        <v>80</v>
      </c>
      <c r="J682" s="1">
        <v>84</v>
      </c>
      <c r="K682" s="8">
        <f>tblInventory[[#This Row],[Reorder_Quantity]]*M682</f>
        <v>285.59999999999997</v>
      </c>
      <c r="L682" s="10">
        <f>tblInventory[[#This Row],[Stock_Quantity]] / tblInventory[[#This Row],[Reorder_Quantity]]</f>
        <v>0.52380952380952384</v>
      </c>
      <c r="M682" s="3">
        <v>3.4</v>
      </c>
      <c r="N682" s="10">
        <f t="shared" si="20"/>
        <v>0.74702886247877764</v>
      </c>
      <c r="O682" s="1" t="s">
        <v>357</v>
      </c>
      <c r="P682" s="1" t="s">
        <v>358</v>
      </c>
      <c r="Q682" s="2">
        <v>45576</v>
      </c>
      <c r="R682" s="1" t="s">
        <v>359</v>
      </c>
      <c r="S682" s="1">
        <v>96</v>
      </c>
      <c r="T682" s="1">
        <v>68</v>
      </c>
      <c r="U682" s="1" t="s">
        <v>24</v>
      </c>
      <c r="V682" s="3">
        <f>tblInventory[[#This Row],[Stock_Quantity]]*tblInventory[[#This Row],[Unit_Price]]</f>
        <v>149.6</v>
      </c>
      <c r="W682" s="1" t="str">
        <f>IF(tblInventory[[#This Row],[Status]]="Discontinued","INACTIVE",
IF(tblInventory[[#This Row],[Stock_Quantity]] &lt; tblInventory[[#This Row],[Reorder_Level]],"REORDER","OK"))</f>
        <v>INACTIVE</v>
      </c>
      <c r="X682" s="1" t="str">
        <f t="shared" ca="1" si="21"/>
        <v>Expired</v>
      </c>
    </row>
    <row r="683" spans="1:24">
      <c r="A683" s="1">
        <v>682</v>
      </c>
      <c r="B683" s="1" t="s">
        <v>690</v>
      </c>
      <c r="C683" s="1" t="s">
        <v>222</v>
      </c>
      <c r="D683" s="1" t="s">
        <v>49</v>
      </c>
      <c r="E683" s="1" t="s">
        <v>691</v>
      </c>
      <c r="F683" s="1" t="s">
        <v>692</v>
      </c>
      <c r="G683" s="6">
        <v>70</v>
      </c>
      <c r="H683" s="8">
        <f>tblInventory[[#This Row],[Stock_Quantity]] * tblInventory[[#This Row],[Unit_Price]]</f>
        <v>245</v>
      </c>
      <c r="I683" s="1">
        <v>30</v>
      </c>
      <c r="J683" s="1">
        <v>69</v>
      </c>
      <c r="K683" s="8">
        <f>tblInventory[[#This Row],[Reorder_Quantity]]*M683</f>
        <v>241.5</v>
      </c>
      <c r="L683" s="10">
        <f>tblInventory[[#This Row],[Stock_Quantity]] / tblInventory[[#This Row],[Reorder_Quantity]]</f>
        <v>1.0144927536231885</v>
      </c>
      <c r="M683" s="3">
        <v>3.5</v>
      </c>
      <c r="N683" s="10">
        <f t="shared" si="20"/>
        <v>1.1884550084889645</v>
      </c>
      <c r="O683" s="1" t="s">
        <v>232</v>
      </c>
      <c r="P683" s="2">
        <v>45718</v>
      </c>
      <c r="Q683" s="2">
        <v>45670</v>
      </c>
      <c r="R683" s="1" t="s">
        <v>694</v>
      </c>
      <c r="S683" s="1">
        <v>44</v>
      </c>
      <c r="T683" s="1">
        <v>42</v>
      </c>
      <c r="U683" s="1" t="s">
        <v>24</v>
      </c>
      <c r="V683" s="3">
        <f>tblInventory[[#This Row],[Stock_Quantity]]*tblInventory[[#This Row],[Unit_Price]]</f>
        <v>245</v>
      </c>
      <c r="W683" s="1" t="str">
        <f>IF(tblInventory[[#This Row],[Status]]="Discontinued","INACTIVE",
IF(tblInventory[[#This Row],[Stock_Quantity]] &lt; tblInventory[[#This Row],[Reorder_Level]],"REORDER","OK"))</f>
        <v>INACTIVE</v>
      </c>
      <c r="X683" s="1" t="str">
        <f t="shared" ca="1" si="21"/>
        <v>Expired</v>
      </c>
    </row>
    <row r="684" spans="1:24">
      <c r="A684" s="1">
        <v>683</v>
      </c>
      <c r="B684" s="1" t="s">
        <v>818</v>
      </c>
      <c r="C684" s="1" t="s">
        <v>222</v>
      </c>
      <c r="D684" s="1" t="s">
        <v>49</v>
      </c>
      <c r="E684" s="1" t="s">
        <v>819</v>
      </c>
      <c r="F684" s="1" t="s">
        <v>765</v>
      </c>
      <c r="G684" s="6">
        <v>55</v>
      </c>
      <c r="H684" s="8">
        <f>tblInventory[[#This Row],[Stock_Quantity]] * tblInventory[[#This Row],[Unit_Price]]</f>
        <v>192.5</v>
      </c>
      <c r="I684" s="1">
        <v>91</v>
      </c>
      <c r="J684" s="1">
        <v>35</v>
      </c>
      <c r="K684" s="8">
        <f>tblInventory[[#This Row],[Reorder_Quantity]]*M684</f>
        <v>122.5</v>
      </c>
      <c r="L684" s="10">
        <f>tblInventory[[#This Row],[Stock_Quantity]] / tblInventory[[#This Row],[Reorder_Quantity]]</f>
        <v>1.5714285714285714</v>
      </c>
      <c r="M684" s="3">
        <v>3.5</v>
      </c>
      <c r="N684" s="10">
        <f t="shared" si="20"/>
        <v>0.93378607809847203</v>
      </c>
      <c r="O684" s="2">
        <v>45509</v>
      </c>
      <c r="P684" s="1" t="s">
        <v>363</v>
      </c>
      <c r="Q684" s="2">
        <v>45932</v>
      </c>
      <c r="R684" s="1" t="s">
        <v>820</v>
      </c>
      <c r="S684" s="1">
        <v>81</v>
      </c>
      <c r="T684" s="1">
        <v>19</v>
      </c>
      <c r="U684" s="1" t="s">
        <v>46</v>
      </c>
      <c r="V684" s="3">
        <f>tblInventory[[#This Row],[Stock_Quantity]]*tblInventory[[#This Row],[Unit_Price]]</f>
        <v>192.5</v>
      </c>
      <c r="W684" s="1" t="str">
        <f>IF(tblInventory[[#This Row],[Status]]="Discontinued","INACTIVE",
IF(tblInventory[[#This Row],[Stock_Quantity]] &lt; tblInventory[[#This Row],[Reorder_Level]],"REORDER","OK"))</f>
        <v>REORDER</v>
      </c>
      <c r="X684" s="1" t="str">
        <f t="shared" ca="1" si="21"/>
        <v>Expired</v>
      </c>
    </row>
    <row r="685" spans="1:24">
      <c r="A685" s="1">
        <v>684</v>
      </c>
      <c r="B685" s="1" t="s">
        <v>1633</v>
      </c>
      <c r="C685" s="1" t="s">
        <v>222</v>
      </c>
      <c r="D685" s="1" t="s">
        <v>49</v>
      </c>
      <c r="E685" s="1" t="s">
        <v>1634</v>
      </c>
      <c r="F685" s="1" t="s">
        <v>1314</v>
      </c>
      <c r="G685" s="6">
        <v>65</v>
      </c>
      <c r="H685" s="8">
        <f>tblInventory[[#This Row],[Stock_Quantity]] * tblInventory[[#This Row],[Unit_Price]]</f>
        <v>227.5</v>
      </c>
      <c r="I685" s="1">
        <v>35</v>
      </c>
      <c r="J685" s="1">
        <v>3</v>
      </c>
      <c r="K685" s="8">
        <f>tblInventory[[#This Row],[Reorder_Quantity]]*M685</f>
        <v>10.5</v>
      </c>
      <c r="L685" s="10">
        <f>tblInventory[[#This Row],[Stock_Quantity]] / tblInventory[[#This Row],[Reorder_Quantity]]</f>
        <v>21.666666666666668</v>
      </c>
      <c r="M685" s="3">
        <v>3.5</v>
      </c>
      <c r="N685" s="10">
        <f t="shared" si="20"/>
        <v>1.1035653650254669</v>
      </c>
      <c r="O685" s="2">
        <v>45604</v>
      </c>
      <c r="P685" s="1" t="s">
        <v>615</v>
      </c>
      <c r="Q685" s="2">
        <v>45786</v>
      </c>
      <c r="R685" s="1" t="s">
        <v>1635</v>
      </c>
      <c r="S685" s="1">
        <v>25</v>
      </c>
      <c r="T685" s="1">
        <v>13</v>
      </c>
      <c r="U685" s="1" t="s">
        <v>46</v>
      </c>
      <c r="V685" s="3">
        <f>tblInventory[[#This Row],[Stock_Quantity]]*tblInventory[[#This Row],[Unit_Price]]</f>
        <v>227.5</v>
      </c>
      <c r="W685" s="1" t="str">
        <f>IF(tblInventory[[#This Row],[Status]]="Discontinued","INACTIVE",
IF(tblInventory[[#This Row],[Stock_Quantity]] &lt; tblInventory[[#This Row],[Reorder_Level]],"REORDER","OK"))</f>
        <v>OK</v>
      </c>
      <c r="X685" s="1" t="str">
        <f t="shared" ca="1" si="21"/>
        <v>Expired</v>
      </c>
    </row>
    <row r="686" spans="1:24">
      <c r="A686" s="1">
        <v>685</v>
      </c>
      <c r="B686" s="1" t="s">
        <v>2148</v>
      </c>
      <c r="C686" s="1" t="s">
        <v>222</v>
      </c>
      <c r="D686" s="1" t="s">
        <v>49</v>
      </c>
      <c r="E686" s="1" t="s">
        <v>2149</v>
      </c>
      <c r="F686" s="1" t="s">
        <v>1314</v>
      </c>
      <c r="G686" s="6">
        <v>68</v>
      </c>
      <c r="H686" s="8">
        <f>tblInventory[[#This Row],[Stock_Quantity]] * tblInventory[[#This Row],[Unit_Price]]</f>
        <v>238</v>
      </c>
      <c r="I686" s="1">
        <v>25</v>
      </c>
      <c r="J686" s="1">
        <v>16</v>
      </c>
      <c r="K686" s="8">
        <f>tblInventory[[#This Row],[Reorder_Quantity]]*M686</f>
        <v>56</v>
      </c>
      <c r="L686" s="10">
        <f>tblInventory[[#This Row],[Stock_Quantity]] / tblInventory[[#This Row],[Reorder_Quantity]]</f>
        <v>4.25</v>
      </c>
      <c r="M686" s="3">
        <v>3.5</v>
      </c>
      <c r="N686" s="10">
        <f t="shared" si="20"/>
        <v>1.1544991511035654</v>
      </c>
      <c r="O686" s="2">
        <v>45386</v>
      </c>
      <c r="P686" s="1" t="s">
        <v>239</v>
      </c>
      <c r="Q686" s="2">
        <v>46205</v>
      </c>
      <c r="R686" s="1" t="s">
        <v>2150</v>
      </c>
      <c r="S686" s="1">
        <v>25</v>
      </c>
      <c r="T686" s="1">
        <v>83</v>
      </c>
      <c r="U686" s="1" t="s">
        <v>46</v>
      </c>
      <c r="V686" s="3">
        <f>tblInventory[[#This Row],[Stock_Quantity]]*tblInventory[[#This Row],[Unit_Price]]</f>
        <v>238</v>
      </c>
      <c r="W686" s="1" t="str">
        <f>IF(tblInventory[[#This Row],[Status]]="Discontinued","INACTIVE",
IF(tblInventory[[#This Row],[Stock_Quantity]] &lt; tblInventory[[#This Row],[Reorder_Level]],"REORDER","OK"))</f>
        <v>OK</v>
      </c>
      <c r="X686" s="1" t="str">
        <f t="shared" ca="1" si="21"/>
        <v>Valid</v>
      </c>
    </row>
    <row r="687" spans="1:24">
      <c r="A687" s="1">
        <v>686</v>
      </c>
      <c r="B687" s="1" t="s">
        <v>2258</v>
      </c>
      <c r="C687" s="1" t="s">
        <v>222</v>
      </c>
      <c r="D687" s="1" t="s">
        <v>49</v>
      </c>
      <c r="E687" s="1" t="s">
        <v>2259</v>
      </c>
      <c r="F687" s="1" t="s">
        <v>1289</v>
      </c>
      <c r="G687" s="6">
        <v>18</v>
      </c>
      <c r="H687" s="8">
        <f>tblInventory[[#This Row],[Stock_Quantity]] * tblInventory[[#This Row],[Unit_Price]]</f>
        <v>63</v>
      </c>
      <c r="I687" s="1">
        <v>7</v>
      </c>
      <c r="J687" s="1">
        <v>58</v>
      </c>
      <c r="K687" s="8">
        <f>tblInventory[[#This Row],[Reorder_Quantity]]*M687</f>
        <v>203</v>
      </c>
      <c r="L687" s="10">
        <f>tblInventory[[#This Row],[Stock_Quantity]] / tblInventory[[#This Row],[Reorder_Quantity]]</f>
        <v>0.31034482758620691</v>
      </c>
      <c r="M687" s="3">
        <v>3.5</v>
      </c>
      <c r="N687" s="10">
        <f t="shared" si="20"/>
        <v>0.30560271646859083</v>
      </c>
      <c r="O687" s="1" t="s">
        <v>377</v>
      </c>
      <c r="P687" s="2">
        <v>45420</v>
      </c>
      <c r="Q687" s="2">
        <v>46359</v>
      </c>
      <c r="R687" s="1" t="s">
        <v>2260</v>
      </c>
      <c r="S687" s="1">
        <v>88</v>
      </c>
      <c r="T687" s="1">
        <v>96</v>
      </c>
      <c r="U687" s="1" t="s">
        <v>24</v>
      </c>
      <c r="V687" s="3">
        <f>tblInventory[[#This Row],[Stock_Quantity]]*tblInventory[[#This Row],[Unit_Price]]</f>
        <v>63</v>
      </c>
      <c r="W687" s="1" t="str">
        <f>IF(tblInventory[[#This Row],[Status]]="Discontinued","INACTIVE",
IF(tblInventory[[#This Row],[Stock_Quantity]] &lt; tblInventory[[#This Row],[Reorder_Level]],"REORDER","OK"))</f>
        <v>INACTIVE</v>
      </c>
      <c r="X687" s="1" t="str">
        <f t="shared" ca="1" si="21"/>
        <v>Valid</v>
      </c>
    </row>
    <row r="688" spans="1:24">
      <c r="A688" s="1">
        <v>687</v>
      </c>
      <c r="B688" s="1" t="s">
        <v>2653</v>
      </c>
      <c r="C688" s="1" t="s">
        <v>222</v>
      </c>
      <c r="D688" s="1" t="s">
        <v>49</v>
      </c>
      <c r="E688" s="1" t="s">
        <v>2654</v>
      </c>
      <c r="F688" s="1" t="s">
        <v>218</v>
      </c>
      <c r="G688" s="6">
        <v>20</v>
      </c>
      <c r="H688" s="8">
        <f>tblInventory[[#This Row],[Stock_Quantity]] * tblInventory[[#This Row],[Unit_Price]]</f>
        <v>70</v>
      </c>
      <c r="I688" s="1">
        <v>51</v>
      </c>
      <c r="J688" s="1">
        <v>33</v>
      </c>
      <c r="K688" s="8">
        <f>tblInventory[[#This Row],[Reorder_Quantity]]*M688</f>
        <v>115.5</v>
      </c>
      <c r="L688" s="10">
        <f>tblInventory[[#This Row],[Stock_Quantity]] / tblInventory[[#This Row],[Reorder_Quantity]]</f>
        <v>0.60606060606060608</v>
      </c>
      <c r="M688" s="3">
        <v>3.5</v>
      </c>
      <c r="N688" s="10">
        <f t="shared" si="20"/>
        <v>0.3395585738539898</v>
      </c>
      <c r="O688" s="2">
        <v>45355</v>
      </c>
      <c r="P688" s="1" t="s">
        <v>312</v>
      </c>
      <c r="Q688" s="2">
        <v>46363</v>
      </c>
      <c r="R688" s="1" t="s">
        <v>2655</v>
      </c>
      <c r="S688" s="1">
        <v>80</v>
      </c>
      <c r="T688" s="1">
        <v>41</v>
      </c>
      <c r="U688" s="1" t="s">
        <v>46</v>
      </c>
      <c r="V688" s="3">
        <f>tblInventory[[#This Row],[Stock_Quantity]]*tblInventory[[#This Row],[Unit_Price]]</f>
        <v>70</v>
      </c>
      <c r="W688" s="1" t="str">
        <f>IF(tblInventory[[#This Row],[Status]]="Discontinued","INACTIVE",
IF(tblInventory[[#This Row],[Stock_Quantity]] &lt; tblInventory[[#This Row],[Reorder_Level]],"REORDER","OK"))</f>
        <v>REORDER</v>
      </c>
      <c r="X688" s="1" t="str">
        <f t="shared" ca="1" si="21"/>
        <v>Valid</v>
      </c>
    </row>
    <row r="689" spans="1:24">
      <c r="A689" s="1">
        <v>688</v>
      </c>
      <c r="B689" s="1" t="s">
        <v>3188</v>
      </c>
      <c r="C689" s="1" t="s">
        <v>222</v>
      </c>
      <c r="D689" s="1" t="s">
        <v>49</v>
      </c>
      <c r="E689" s="1" t="s">
        <v>3189</v>
      </c>
      <c r="F689" s="1" t="s">
        <v>1521</v>
      </c>
      <c r="G689" s="6">
        <v>14</v>
      </c>
      <c r="H689" s="8">
        <f>tblInventory[[#This Row],[Stock_Quantity]] * tblInventory[[#This Row],[Unit_Price]]</f>
        <v>49</v>
      </c>
      <c r="I689" s="1">
        <v>81</v>
      </c>
      <c r="J689" s="1">
        <v>65</v>
      </c>
      <c r="K689" s="8">
        <f>tblInventory[[#This Row],[Reorder_Quantity]]*M689</f>
        <v>227.5</v>
      </c>
      <c r="L689" s="10">
        <f>tblInventory[[#This Row],[Stock_Quantity]] / tblInventory[[#This Row],[Reorder_Quantity]]</f>
        <v>0.2153846153846154</v>
      </c>
      <c r="M689" s="3">
        <v>3.5</v>
      </c>
      <c r="N689" s="10">
        <f t="shared" si="20"/>
        <v>0.23769100169779286</v>
      </c>
      <c r="O689" s="1" t="s">
        <v>317</v>
      </c>
      <c r="P689" s="1" t="s">
        <v>965</v>
      </c>
      <c r="Q689" s="2">
        <v>46382</v>
      </c>
      <c r="R689" s="1" t="s">
        <v>3190</v>
      </c>
      <c r="S689" s="1">
        <v>74</v>
      </c>
      <c r="T689" s="1">
        <v>84</v>
      </c>
      <c r="U689" s="1" t="s">
        <v>46</v>
      </c>
      <c r="V689" s="3">
        <f>tblInventory[[#This Row],[Stock_Quantity]]*tblInventory[[#This Row],[Unit_Price]]</f>
        <v>49</v>
      </c>
      <c r="W689" s="1" t="str">
        <f>IF(tblInventory[[#This Row],[Status]]="Discontinued","INACTIVE",
IF(tblInventory[[#This Row],[Stock_Quantity]] &lt; tblInventory[[#This Row],[Reorder_Level]],"REORDER","OK"))</f>
        <v>REORDER</v>
      </c>
      <c r="X689" s="1" t="str">
        <f t="shared" ca="1" si="21"/>
        <v>Valid</v>
      </c>
    </row>
    <row r="690" spans="1:24">
      <c r="A690" s="1">
        <v>689</v>
      </c>
      <c r="B690" s="1" t="s">
        <v>47</v>
      </c>
      <c r="C690" s="1" t="s">
        <v>48</v>
      </c>
      <c r="D690" s="1" t="s">
        <v>49</v>
      </c>
      <c r="E690" s="1" t="s">
        <v>50</v>
      </c>
      <c r="F690" s="1" t="s">
        <v>51</v>
      </c>
      <c r="G690" s="6">
        <v>37</v>
      </c>
      <c r="H690" s="8">
        <f>tblInventory[[#This Row],[Stock_Quantity]] * tblInventory[[#This Row],[Unit_Price]]</f>
        <v>148</v>
      </c>
      <c r="I690" s="1">
        <v>30</v>
      </c>
      <c r="J690" s="1">
        <v>74</v>
      </c>
      <c r="K690" s="8">
        <f>tblInventory[[#This Row],[Reorder_Quantity]]*M690</f>
        <v>296</v>
      </c>
      <c r="L690" s="10">
        <f>tblInventory[[#This Row],[Stock_Quantity]] / tblInventory[[#This Row],[Reorder_Quantity]]</f>
        <v>0.5</v>
      </c>
      <c r="M690" s="3">
        <v>4</v>
      </c>
      <c r="N690" s="10">
        <f t="shared" si="20"/>
        <v>0.6281833616298812</v>
      </c>
      <c r="O690" s="2">
        <v>45358</v>
      </c>
      <c r="P690" s="2">
        <v>45606</v>
      </c>
      <c r="Q690" s="2">
        <v>45558</v>
      </c>
      <c r="R690" s="1" t="s">
        <v>52</v>
      </c>
      <c r="S690" s="1">
        <v>62</v>
      </c>
      <c r="T690" s="1">
        <v>25</v>
      </c>
      <c r="U690" s="1" t="s">
        <v>38</v>
      </c>
      <c r="V690" s="3">
        <f>tblInventory[[#This Row],[Stock_Quantity]]*tblInventory[[#This Row],[Unit_Price]]</f>
        <v>148</v>
      </c>
      <c r="W690" s="1" t="str">
        <f>IF(tblInventory[[#This Row],[Status]]="Discontinued","INACTIVE",
IF(tblInventory[[#This Row],[Stock_Quantity]] &lt; tblInventory[[#This Row],[Reorder_Level]],"REORDER","OK"))</f>
        <v>OK</v>
      </c>
      <c r="X690" s="1" t="str">
        <f t="shared" ca="1" si="21"/>
        <v>Expired</v>
      </c>
    </row>
    <row r="691" spans="1:24">
      <c r="A691" s="1">
        <v>690</v>
      </c>
      <c r="B691" s="1" t="s">
        <v>106</v>
      </c>
      <c r="C691" s="1" t="s">
        <v>48</v>
      </c>
      <c r="D691" s="1" t="s">
        <v>49</v>
      </c>
      <c r="E691" s="1" t="s">
        <v>107</v>
      </c>
      <c r="F691" s="1" t="s">
        <v>108</v>
      </c>
      <c r="G691" s="6">
        <v>95</v>
      </c>
      <c r="H691" s="8">
        <f>tblInventory[[#This Row],[Stock_Quantity]] * tblInventory[[#This Row],[Unit_Price]]</f>
        <v>380</v>
      </c>
      <c r="I691" s="1">
        <v>50</v>
      </c>
      <c r="J691" s="1">
        <v>76</v>
      </c>
      <c r="K691" s="8">
        <f>tblInventory[[#This Row],[Reorder_Quantity]]*M691</f>
        <v>304</v>
      </c>
      <c r="L691" s="10">
        <f>tblInventory[[#This Row],[Stock_Quantity]] / tblInventory[[#This Row],[Reorder_Quantity]]</f>
        <v>1.25</v>
      </c>
      <c r="M691" s="3">
        <v>4</v>
      </c>
      <c r="N691" s="10">
        <f t="shared" si="20"/>
        <v>1.6129032258064517</v>
      </c>
      <c r="O691" s="2">
        <v>45416</v>
      </c>
      <c r="P691" s="1" t="s">
        <v>109</v>
      </c>
      <c r="Q691" s="2">
        <v>45332</v>
      </c>
      <c r="R691" s="1" t="s">
        <v>110</v>
      </c>
      <c r="S691" s="1">
        <v>69</v>
      </c>
      <c r="T691" s="1">
        <v>5</v>
      </c>
      <c r="U691" s="1" t="s">
        <v>46</v>
      </c>
      <c r="V691" s="3">
        <f>tblInventory[[#This Row],[Stock_Quantity]]*tblInventory[[#This Row],[Unit_Price]]</f>
        <v>380</v>
      </c>
      <c r="W691" s="1" t="str">
        <f>IF(tblInventory[[#This Row],[Status]]="Discontinued","INACTIVE",
IF(tblInventory[[#This Row],[Stock_Quantity]] &lt; tblInventory[[#This Row],[Reorder_Level]],"REORDER","OK"))</f>
        <v>OK</v>
      </c>
      <c r="X691" s="1" t="str">
        <f t="shared" ca="1" si="21"/>
        <v>Expired</v>
      </c>
    </row>
    <row r="692" spans="1:24">
      <c r="A692" s="1">
        <v>691</v>
      </c>
      <c r="B692" s="1" t="s">
        <v>705</v>
      </c>
      <c r="C692" s="1" t="s">
        <v>48</v>
      </c>
      <c r="D692" s="1" t="s">
        <v>49</v>
      </c>
      <c r="E692" s="1" t="s">
        <v>706</v>
      </c>
      <c r="F692" s="1" t="s">
        <v>707</v>
      </c>
      <c r="G692" s="6">
        <v>20</v>
      </c>
      <c r="H692" s="8">
        <f>tblInventory[[#This Row],[Stock_Quantity]] * tblInventory[[#This Row],[Unit_Price]]</f>
        <v>77</v>
      </c>
      <c r="I692" s="1">
        <v>42</v>
      </c>
      <c r="J692" s="1">
        <v>21</v>
      </c>
      <c r="K692" s="8">
        <f>tblInventory[[#This Row],[Reorder_Quantity]]*M692</f>
        <v>80.850000000000009</v>
      </c>
      <c r="L692" s="10">
        <f>tblInventory[[#This Row],[Stock_Quantity]] / tblInventory[[#This Row],[Reorder_Quantity]]</f>
        <v>0.95238095238095233</v>
      </c>
      <c r="M692" s="3">
        <v>3.85</v>
      </c>
      <c r="N692" s="10">
        <f t="shared" si="20"/>
        <v>0.3395585738539898</v>
      </c>
      <c r="O692" s="1" t="s">
        <v>343</v>
      </c>
      <c r="P692" s="1" t="s">
        <v>512</v>
      </c>
      <c r="Q692" s="2">
        <v>45673</v>
      </c>
      <c r="R692" s="1" t="s">
        <v>708</v>
      </c>
      <c r="S692" s="1">
        <v>61</v>
      </c>
      <c r="T692" s="1">
        <v>25</v>
      </c>
      <c r="U692" s="1" t="s">
        <v>24</v>
      </c>
      <c r="V692" s="3">
        <f>tblInventory[[#This Row],[Stock_Quantity]]*tblInventory[[#This Row],[Unit_Price]]</f>
        <v>77</v>
      </c>
      <c r="W692" s="1" t="str">
        <f>IF(tblInventory[[#This Row],[Status]]="Discontinued","INACTIVE",
IF(tblInventory[[#This Row],[Stock_Quantity]] &lt; tblInventory[[#This Row],[Reorder_Level]],"REORDER","OK"))</f>
        <v>INACTIVE</v>
      </c>
      <c r="X692" s="1" t="str">
        <f t="shared" ca="1" si="21"/>
        <v>Expired</v>
      </c>
    </row>
    <row r="693" spans="1:24">
      <c r="A693" s="1">
        <v>692</v>
      </c>
      <c r="B693" s="1" t="s">
        <v>1416</v>
      </c>
      <c r="C693" s="1" t="s">
        <v>48</v>
      </c>
      <c r="D693" s="1" t="s">
        <v>49</v>
      </c>
      <c r="E693" s="1" t="s">
        <v>1417</v>
      </c>
      <c r="F693" s="1" t="s">
        <v>750</v>
      </c>
      <c r="G693" s="6">
        <v>11</v>
      </c>
      <c r="H693" s="8">
        <f>tblInventory[[#This Row],[Stock_Quantity]] * tblInventory[[#This Row],[Unit_Price]]</f>
        <v>42.9</v>
      </c>
      <c r="I693" s="1">
        <v>56</v>
      </c>
      <c r="J693" s="1">
        <v>62</v>
      </c>
      <c r="K693" s="8">
        <f>tblInventory[[#This Row],[Reorder_Quantity]]*M693</f>
        <v>241.79999999999998</v>
      </c>
      <c r="L693" s="10">
        <f>tblInventory[[#This Row],[Stock_Quantity]] / tblInventory[[#This Row],[Reorder_Quantity]]</f>
        <v>0.17741935483870969</v>
      </c>
      <c r="M693" s="3">
        <v>3.9</v>
      </c>
      <c r="N693" s="10">
        <f t="shared" si="20"/>
        <v>0.18675721561969441</v>
      </c>
      <c r="O693" s="1" t="s">
        <v>1418</v>
      </c>
      <c r="P693" s="2">
        <v>45931</v>
      </c>
      <c r="Q693" s="2">
        <v>45845</v>
      </c>
      <c r="R693" s="1" t="s">
        <v>1419</v>
      </c>
      <c r="S693" s="1">
        <v>40</v>
      </c>
      <c r="T693" s="1">
        <v>5</v>
      </c>
      <c r="U693" s="1" t="s">
        <v>38</v>
      </c>
      <c r="V693" s="3">
        <f>tblInventory[[#This Row],[Stock_Quantity]]*tblInventory[[#This Row],[Unit_Price]]</f>
        <v>42.9</v>
      </c>
      <c r="W693" s="1" t="str">
        <f>IF(tblInventory[[#This Row],[Status]]="Discontinued","INACTIVE",
IF(tblInventory[[#This Row],[Stock_Quantity]] &lt; tblInventory[[#This Row],[Reorder_Level]],"REORDER","OK"))</f>
        <v>REORDER</v>
      </c>
      <c r="X693" s="1" t="str">
        <f t="shared" ca="1" si="21"/>
        <v>Expired</v>
      </c>
    </row>
    <row r="694" spans="1:24">
      <c r="A694" s="1">
        <v>693</v>
      </c>
      <c r="B694" s="1" t="s">
        <v>1956</v>
      </c>
      <c r="C694" s="1" t="s">
        <v>48</v>
      </c>
      <c r="D694" s="1" t="s">
        <v>49</v>
      </c>
      <c r="E694" s="1" t="s">
        <v>1957</v>
      </c>
      <c r="F694" s="1" t="s">
        <v>176</v>
      </c>
      <c r="G694" s="6">
        <v>26</v>
      </c>
      <c r="H694" s="8">
        <f>tblInventory[[#This Row],[Stock_Quantity]] * tblInventory[[#This Row],[Unit_Price]]</f>
        <v>104</v>
      </c>
      <c r="I694" s="1">
        <v>69</v>
      </c>
      <c r="J694" s="1">
        <v>90</v>
      </c>
      <c r="K694" s="8">
        <f>tblInventory[[#This Row],[Reorder_Quantity]]*M694</f>
        <v>360</v>
      </c>
      <c r="L694" s="10">
        <f>tblInventory[[#This Row],[Stock_Quantity]] / tblInventory[[#This Row],[Reorder_Quantity]]</f>
        <v>0.28888888888888886</v>
      </c>
      <c r="M694" s="3">
        <v>4</v>
      </c>
      <c r="N694" s="10">
        <f t="shared" si="20"/>
        <v>0.44142614601018676</v>
      </c>
      <c r="O694" s="2">
        <v>45638</v>
      </c>
      <c r="P694" s="2">
        <v>45510</v>
      </c>
      <c r="Q694" s="2">
        <v>45912</v>
      </c>
      <c r="R694" s="1" t="s">
        <v>1958</v>
      </c>
      <c r="S694" s="1">
        <v>47</v>
      </c>
      <c r="T694" s="1">
        <v>35</v>
      </c>
      <c r="U694" s="1" t="s">
        <v>46</v>
      </c>
      <c r="V694" s="3">
        <f>tblInventory[[#This Row],[Stock_Quantity]]*tblInventory[[#This Row],[Unit_Price]]</f>
        <v>104</v>
      </c>
      <c r="W694" s="1" t="str">
        <f>IF(tblInventory[[#This Row],[Status]]="Discontinued","INACTIVE",
IF(tblInventory[[#This Row],[Stock_Quantity]] &lt; tblInventory[[#This Row],[Reorder_Level]],"REORDER","OK"))</f>
        <v>REORDER</v>
      </c>
      <c r="X694" s="1" t="str">
        <f t="shared" ca="1" si="21"/>
        <v>Expired</v>
      </c>
    </row>
    <row r="695" spans="1:24">
      <c r="A695" s="1">
        <v>694</v>
      </c>
      <c r="B695" s="1" t="s">
        <v>2299</v>
      </c>
      <c r="C695" s="1" t="s">
        <v>48</v>
      </c>
      <c r="D695" s="1" t="s">
        <v>49</v>
      </c>
      <c r="E695" s="1" t="s">
        <v>2300</v>
      </c>
      <c r="F695" s="1" t="s">
        <v>1986</v>
      </c>
      <c r="G695" s="6">
        <v>64</v>
      </c>
      <c r="H695" s="8">
        <f>tblInventory[[#This Row],[Stock_Quantity]] * tblInventory[[#This Row],[Unit_Price]]</f>
        <v>249.6</v>
      </c>
      <c r="I695" s="1">
        <v>71</v>
      </c>
      <c r="J695" s="1">
        <v>69</v>
      </c>
      <c r="K695" s="8">
        <f>tblInventory[[#This Row],[Reorder_Quantity]]*M695</f>
        <v>269.09999999999997</v>
      </c>
      <c r="L695" s="10">
        <f>tblInventory[[#This Row],[Stock_Quantity]] / tblInventory[[#This Row],[Reorder_Quantity]]</f>
        <v>0.92753623188405798</v>
      </c>
      <c r="M695" s="3">
        <v>3.9</v>
      </c>
      <c r="N695" s="10">
        <f t="shared" si="20"/>
        <v>1.0865874363327674</v>
      </c>
      <c r="O695" s="2">
        <v>45575</v>
      </c>
      <c r="P695" s="1" t="s">
        <v>116</v>
      </c>
      <c r="Q695" s="2">
        <v>46106</v>
      </c>
      <c r="R695" s="1" t="s">
        <v>2301</v>
      </c>
      <c r="S695" s="1">
        <v>60</v>
      </c>
      <c r="T695" s="1">
        <v>67</v>
      </c>
      <c r="U695" s="1" t="s">
        <v>46</v>
      </c>
      <c r="V695" s="3">
        <f>tblInventory[[#This Row],[Stock_Quantity]]*tblInventory[[#This Row],[Unit_Price]]</f>
        <v>249.6</v>
      </c>
      <c r="W695" s="1" t="str">
        <f>IF(tblInventory[[#This Row],[Status]]="Discontinued","INACTIVE",
IF(tblInventory[[#This Row],[Stock_Quantity]] &lt; tblInventory[[#This Row],[Reorder_Level]],"REORDER","OK"))</f>
        <v>REORDER</v>
      </c>
      <c r="X695" s="1" t="str">
        <f t="shared" ca="1" si="21"/>
        <v>Valid</v>
      </c>
    </row>
    <row r="696" spans="1:24">
      <c r="A696" s="1">
        <v>695</v>
      </c>
      <c r="B696" s="1" t="s">
        <v>2460</v>
      </c>
      <c r="C696" s="1" t="s">
        <v>48</v>
      </c>
      <c r="D696" s="1" t="s">
        <v>49</v>
      </c>
      <c r="E696" s="1" t="s">
        <v>2461</v>
      </c>
      <c r="F696" s="1" t="s">
        <v>2413</v>
      </c>
      <c r="G696" s="6">
        <v>85</v>
      </c>
      <c r="H696" s="8">
        <f>tblInventory[[#This Row],[Stock_Quantity]] * tblInventory[[#This Row],[Unit_Price]]</f>
        <v>327.25</v>
      </c>
      <c r="I696" s="1">
        <v>16</v>
      </c>
      <c r="J696" s="1">
        <v>74</v>
      </c>
      <c r="K696" s="8">
        <f>tblInventory[[#This Row],[Reorder_Quantity]]*M696</f>
        <v>284.90000000000003</v>
      </c>
      <c r="L696" s="10">
        <f>tblInventory[[#This Row],[Stock_Quantity]] / tblInventory[[#This Row],[Reorder_Quantity]]</f>
        <v>1.1486486486486487</v>
      </c>
      <c r="M696" s="3">
        <v>3.85</v>
      </c>
      <c r="N696" s="10">
        <f t="shared" si="20"/>
        <v>1.4431239388794568</v>
      </c>
      <c r="O696" s="1" t="s">
        <v>82</v>
      </c>
      <c r="P696" s="2">
        <v>45514</v>
      </c>
      <c r="Q696" s="2">
        <v>46156</v>
      </c>
      <c r="R696" s="1" t="s">
        <v>2462</v>
      </c>
      <c r="S696" s="1">
        <v>58</v>
      </c>
      <c r="T696" s="1">
        <v>36</v>
      </c>
      <c r="U696" s="1" t="s">
        <v>38</v>
      </c>
      <c r="V696" s="3">
        <f>tblInventory[[#This Row],[Stock_Quantity]]*tblInventory[[#This Row],[Unit_Price]]</f>
        <v>327.25</v>
      </c>
      <c r="W696" s="1" t="str">
        <f>IF(tblInventory[[#This Row],[Status]]="Discontinued","INACTIVE",
IF(tblInventory[[#This Row],[Stock_Quantity]] &lt; tblInventory[[#This Row],[Reorder_Level]],"REORDER","OK"))</f>
        <v>OK</v>
      </c>
      <c r="X696" s="1" t="str">
        <f t="shared" ca="1" si="21"/>
        <v>Valid</v>
      </c>
    </row>
    <row r="697" spans="1:24">
      <c r="A697" s="1">
        <v>696</v>
      </c>
      <c r="B697" s="1" t="s">
        <v>2970</v>
      </c>
      <c r="C697" s="1" t="s">
        <v>48</v>
      </c>
      <c r="D697" s="1" t="s">
        <v>49</v>
      </c>
      <c r="E697" s="1" t="s">
        <v>2971</v>
      </c>
      <c r="F697" s="1" t="s">
        <v>2972</v>
      </c>
      <c r="G697" s="6">
        <v>11</v>
      </c>
      <c r="H697" s="8">
        <f>tblInventory[[#This Row],[Stock_Quantity]] * tblInventory[[#This Row],[Unit_Price]]</f>
        <v>44</v>
      </c>
      <c r="I697" s="1">
        <v>58</v>
      </c>
      <c r="J697" s="1">
        <v>32</v>
      </c>
      <c r="K697" s="8">
        <f>tblInventory[[#This Row],[Reorder_Quantity]]*M697</f>
        <v>128</v>
      </c>
      <c r="L697" s="10">
        <f>tblInventory[[#This Row],[Stock_Quantity]] / tblInventory[[#This Row],[Reorder_Quantity]]</f>
        <v>0.34375</v>
      </c>
      <c r="M697" s="3">
        <v>4</v>
      </c>
      <c r="N697" s="10">
        <f t="shared" si="20"/>
        <v>0.18675721561969441</v>
      </c>
      <c r="O697" s="1" t="s">
        <v>560</v>
      </c>
      <c r="P697" s="2">
        <v>45542</v>
      </c>
      <c r="Q697" s="2">
        <v>46312</v>
      </c>
      <c r="R697" s="1" t="s">
        <v>2973</v>
      </c>
      <c r="S697" s="1">
        <v>99</v>
      </c>
      <c r="T697" s="1">
        <v>94</v>
      </c>
      <c r="U697" s="1" t="s">
        <v>46</v>
      </c>
      <c r="V697" s="3">
        <f>tblInventory[[#This Row],[Stock_Quantity]]*tblInventory[[#This Row],[Unit_Price]]</f>
        <v>44</v>
      </c>
      <c r="W697" s="1" t="str">
        <f>IF(tblInventory[[#This Row],[Status]]="Discontinued","INACTIVE",
IF(tblInventory[[#This Row],[Stock_Quantity]] &lt; tblInventory[[#This Row],[Reorder_Level]],"REORDER","OK"))</f>
        <v>REORDER</v>
      </c>
      <c r="X697" s="1" t="str">
        <f t="shared" ca="1" si="21"/>
        <v>Valid</v>
      </c>
    </row>
    <row r="698" spans="1:24">
      <c r="A698" s="1">
        <v>697</v>
      </c>
      <c r="B698" s="1" t="s">
        <v>3241</v>
      </c>
      <c r="C698" s="1" t="s">
        <v>48</v>
      </c>
      <c r="D698" s="1" t="s">
        <v>49</v>
      </c>
      <c r="E698" s="1" t="s">
        <v>3242</v>
      </c>
      <c r="F698" s="1" t="s">
        <v>1489</v>
      </c>
      <c r="G698" s="6">
        <v>40</v>
      </c>
      <c r="H698" s="8">
        <f>tblInventory[[#This Row],[Stock_Quantity]] * tblInventory[[#This Row],[Unit_Price]]</f>
        <v>160</v>
      </c>
      <c r="I698" s="1">
        <v>3</v>
      </c>
      <c r="J698" s="1">
        <v>5</v>
      </c>
      <c r="K698" s="8">
        <f>tblInventory[[#This Row],[Reorder_Quantity]]*M698</f>
        <v>20</v>
      </c>
      <c r="L698" s="10">
        <f>tblInventory[[#This Row],[Stock_Quantity]] / tblInventory[[#This Row],[Reorder_Quantity]]</f>
        <v>8</v>
      </c>
      <c r="M698" s="3">
        <v>4</v>
      </c>
      <c r="N698" s="10">
        <f t="shared" si="20"/>
        <v>0.6791171477079796</v>
      </c>
      <c r="O698" s="2">
        <v>45385</v>
      </c>
      <c r="P698" s="1" t="s">
        <v>956</v>
      </c>
      <c r="Q698" s="2">
        <v>46722</v>
      </c>
      <c r="R698" s="1" t="s">
        <v>3243</v>
      </c>
      <c r="S698" s="1">
        <v>45</v>
      </c>
      <c r="T698" s="1">
        <v>69</v>
      </c>
      <c r="U698" s="1" t="s">
        <v>24</v>
      </c>
      <c r="V698" s="3">
        <f>tblInventory[[#This Row],[Stock_Quantity]]*tblInventory[[#This Row],[Unit_Price]]</f>
        <v>160</v>
      </c>
      <c r="W698" s="1" t="str">
        <f>IF(tblInventory[[#This Row],[Status]]="Discontinued","INACTIVE",
IF(tblInventory[[#This Row],[Stock_Quantity]] &lt; tblInventory[[#This Row],[Reorder_Level]],"REORDER","OK"))</f>
        <v>INACTIVE</v>
      </c>
      <c r="X698" s="1" t="str">
        <f t="shared" ca="1" si="21"/>
        <v>Valid</v>
      </c>
    </row>
    <row r="699" spans="1:24">
      <c r="A699" s="1">
        <v>698</v>
      </c>
      <c r="B699" s="1" t="s">
        <v>3626</v>
      </c>
      <c r="C699" s="1" t="s">
        <v>48</v>
      </c>
      <c r="D699" s="1" t="s">
        <v>49</v>
      </c>
      <c r="E699" s="1" t="s">
        <v>3627</v>
      </c>
      <c r="F699" s="1" t="s">
        <v>1666</v>
      </c>
      <c r="G699" s="6">
        <v>22</v>
      </c>
      <c r="H699" s="8">
        <f>tblInventory[[#This Row],[Stock_Quantity]] * tblInventory[[#This Row],[Unit_Price]]</f>
        <v>88</v>
      </c>
      <c r="I699" s="1">
        <v>56</v>
      </c>
      <c r="J699" s="1">
        <v>72</v>
      </c>
      <c r="K699" s="8">
        <f>tblInventory[[#This Row],[Reorder_Quantity]]*M699</f>
        <v>288</v>
      </c>
      <c r="L699" s="10">
        <f>tblInventory[[#This Row],[Stock_Quantity]] / tblInventory[[#This Row],[Reorder_Quantity]]</f>
        <v>0.30555555555555558</v>
      </c>
      <c r="M699" s="3">
        <v>4</v>
      </c>
      <c r="N699" s="10">
        <f t="shared" si="20"/>
        <v>0.37351443123938882</v>
      </c>
      <c r="O699" s="2">
        <v>45539</v>
      </c>
      <c r="P699" s="2">
        <v>45510</v>
      </c>
      <c r="Q699" s="2">
        <v>46524</v>
      </c>
      <c r="R699" s="1" t="s">
        <v>3628</v>
      </c>
      <c r="S699" s="1">
        <v>70</v>
      </c>
      <c r="T699" s="1">
        <v>39</v>
      </c>
      <c r="U699" s="1" t="s">
        <v>24</v>
      </c>
      <c r="V699" s="3">
        <f>tblInventory[[#This Row],[Stock_Quantity]]*tblInventory[[#This Row],[Unit_Price]]</f>
        <v>88</v>
      </c>
      <c r="W699" s="1" t="str">
        <f>IF(tblInventory[[#This Row],[Status]]="Discontinued","INACTIVE",
IF(tblInventory[[#This Row],[Stock_Quantity]] &lt; tblInventory[[#This Row],[Reorder_Level]],"REORDER","OK"))</f>
        <v>INACTIVE</v>
      </c>
      <c r="X699" s="1" t="str">
        <f t="shared" ca="1" si="21"/>
        <v>Valid</v>
      </c>
    </row>
    <row r="700" spans="1:24">
      <c r="A700" s="1">
        <v>699</v>
      </c>
      <c r="B700" s="1" t="s">
        <v>684</v>
      </c>
      <c r="C700" s="1" t="s">
        <v>685</v>
      </c>
      <c r="D700" s="1" t="s">
        <v>49</v>
      </c>
      <c r="E700" s="1" t="s">
        <v>686</v>
      </c>
      <c r="F700" s="1" t="s">
        <v>687</v>
      </c>
      <c r="G700" s="6">
        <v>60</v>
      </c>
      <c r="H700" s="8">
        <f>tblInventory[[#This Row],[Stock_Quantity]] * tblInventory[[#This Row],[Unit_Price]]</f>
        <v>360</v>
      </c>
      <c r="I700" s="1">
        <v>61</v>
      </c>
      <c r="J700" s="1">
        <v>2</v>
      </c>
      <c r="K700" s="8">
        <f>tblInventory[[#This Row],[Reorder_Quantity]]*M700</f>
        <v>12</v>
      </c>
      <c r="L700" s="10">
        <f>tblInventory[[#This Row],[Stock_Quantity]] / tblInventory[[#This Row],[Reorder_Quantity]]</f>
        <v>30</v>
      </c>
      <c r="M700" s="3">
        <v>6</v>
      </c>
      <c r="N700" s="10">
        <f t="shared" si="20"/>
        <v>1.0186757215619695</v>
      </c>
      <c r="O700" s="1" t="s">
        <v>688</v>
      </c>
      <c r="P700" s="2">
        <v>45634</v>
      </c>
      <c r="Q700" s="2">
        <v>45992</v>
      </c>
      <c r="R700" s="1" t="s">
        <v>689</v>
      </c>
      <c r="S700" s="1">
        <v>96</v>
      </c>
      <c r="T700" s="1">
        <v>50</v>
      </c>
      <c r="U700" s="1" t="s">
        <v>46</v>
      </c>
      <c r="V700" s="3">
        <f>tblInventory[[#This Row],[Stock_Quantity]]*tblInventory[[#This Row],[Unit_Price]]</f>
        <v>360</v>
      </c>
      <c r="W700" s="1" t="str">
        <f>IF(tblInventory[[#This Row],[Status]]="Discontinued","INACTIVE",
IF(tblInventory[[#This Row],[Stock_Quantity]] &lt; tblInventory[[#This Row],[Reorder_Level]],"REORDER","OK"))</f>
        <v>REORDER</v>
      </c>
      <c r="X700" s="1" t="str">
        <f t="shared" ca="1" si="21"/>
        <v>Valid</v>
      </c>
    </row>
    <row r="701" spans="1:24">
      <c r="A701" s="1">
        <v>700</v>
      </c>
      <c r="B701" s="1" t="s">
        <v>788</v>
      </c>
      <c r="C701" s="1" t="s">
        <v>685</v>
      </c>
      <c r="D701" s="1" t="s">
        <v>49</v>
      </c>
      <c r="E701" s="1" t="s">
        <v>789</v>
      </c>
      <c r="F701" s="1" t="s">
        <v>790</v>
      </c>
      <c r="G701" s="6">
        <v>19</v>
      </c>
      <c r="H701" s="8">
        <f>tblInventory[[#This Row],[Stock_Quantity]] * tblInventory[[#This Row],[Unit_Price]]</f>
        <v>114</v>
      </c>
      <c r="I701" s="1">
        <v>65</v>
      </c>
      <c r="J701" s="1">
        <v>48</v>
      </c>
      <c r="K701" s="8">
        <f>tblInventory[[#This Row],[Reorder_Quantity]]*M701</f>
        <v>288</v>
      </c>
      <c r="L701" s="10">
        <f>tblInventory[[#This Row],[Stock_Quantity]] / tblInventory[[#This Row],[Reorder_Quantity]]</f>
        <v>0.39583333333333331</v>
      </c>
      <c r="M701" s="3">
        <v>6</v>
      </c>
      <c r="N701" s="10">
        <f t="shared" si="20"/>
        <v>0.32258064516129031</v>
      </c>
      <c r="O701" s="2">
        <v>45544</v>
      </c>
      <c r="P701" s="1" t="s">
        <v>165</v>
      </c>
      <c r="Q701" s="2">
        <v>45718</v>
      </c>
      <c r="R701" s="1" t="s">
        <v>791</v>
      </c>
      <c r="S701" s="1">
        <v>59</v>
      </c>
      <c r="T701" s="1">
        <v>53</v>
      </c>
      <c r="U701" s="1" t="s">
        <v>24</v>
      </c>
      <c r="V701" s="3">
        <f>tblInventory[[#This Row],[Stock_Quantity]]*tblInventory[[#This Row],[Unit_Price]]</f>
        <v>114</v>
      </c>
      <c r="W701" s="1" t="str">
        <f>IF(tblInventory[[#This Row],[Status]]="Discontinued","INACTIVE",
IF(tblInventory[[#This Row],[Stock_Quantity]] &lt; tblInventory[[#This Row],[Reorder_Level]],"REORDER","OK"))</f>
        <v>INACTIVE</v>
      </c>
      <c r="X701" s="1" t="str">
        <f t="shared" ca="1" si="21"/>
        <v>Expired</v>
      </c>
    </row>
    <row r="702" spans="1:24">
      <c r="A702" s="1">
        <v>701</v>
      </c>
      <c r="B702" s="1" t="s">
        <v>1033</v>
      </c>
      <c r="C702" s="1" t="s">
        <v>685</v>
      </c>
      <c r="D702" s="1" t="s">
        <v>49</v>
      </c>
      <c r="E702" s="1" t="s">
        <v>1034</v>
      </c>
      <c r="F702" s="1" t="s">
        <v>231</v>
      </c>
      <c r="G702" s="6">
        <v>14</v>
      </c>
      <c r="H702" s="8">
        <f>tblInventory[[#This Row],[Stock_Quantity]] * tblInventory[[#This Row],[Unit_Price]]</f>
        <v>84</v>
      </c>
      <c r="I702" s="1">
        <v>66</v>
      </c>
      <c r="J702" s="1">
        <v>1</v>
      </c>
      <c r="K702" s="8">
        <f>tblInventory[[#This Row],[Reorder_Quantity]]*M702</f>
        <v>6</v>
      </c>
      <c r="L702" s="10">
        <f>tblInventory[[#This Row],[Stock_Quantity]] / tblInventory[[#This Row],[Reorder_Quantity]]</f>
        <v>14</v>
      </c>
      <c r="M702" s="3">
        <v>6</v>
      </c>
      <c r="N702" s="10">
        <f t="shared" si="20"/>
        <v>0.23769100169779286</v>
      </c>
      <c r="O702" s="1" t="s">
        <v>232</v>
      </c>
      <c r="P702" s="1" t="s">
        <v>103</v>
      </c>
      <c r="Q702" s="2">
        <v>45661</v>
      </c>
      <c r="R702" s="1" t="s">
        <v>1035</v>
      </c>
      <c r="S702" s="1">
        <v>86</v>
      </c>
      <c r="T702" s="1">
        <v>15</v>
      </c>
      <c r="U702" s="1" t="s">
        <v>38</v>
      </c>
      <c r="V702" s="3">
        <f>tblInventory[[#This Row],[Stock_Quantity]]*tblInventory[[#This Row],[Unit_Price]]</f>
        <v>84</v>
      </c>
      <c r="W702" s="1" t="str">
        <f>IF(tblInventory[[#This Row],[Status]]="Discontinued","INACTIVE",
IF(tblInventory[[#This Row],[Stock_Quantity]] &lt; tblInventory[[#This Row],[Reorder_Level]],"REORDER","OK"))</f>
        <v>REORDER</v>
      </c>
      <c r="X702" s="1" t="str">
        <f t="shared" ca="1" si="21"/>
        <v>Expired</v>
      </c>
    </row>
    <row r="703" spans="1:24">
      <c r="A703" s="1">
        <v>702</v>
      </c>
      <c r="B703" s="1" t="s">
        <v>1058</v>
      </c>
      <c r="C703" s="1" t="s">
        <v>685</v>
      </c>
      <c r="D703" s="1" t="s">
        <v>49</v>
      </c>
      <c r="E703" s="1" t="s">
        <v>1059</v>
      </c>
      <c r="F703" s="1" t="s">
        <v>572</v>
      </c>
      <c r="G703" s="6">
        <v>92</v>
      </c>
      <c r="H703" s="8">
        <f>tblInventory[[#This Row],[Stock_Quantity]] * tblInventory[[#This Row],[Unit_Price]]</f>
        <v>552</v>
      </c>
      <c r="I703" s="1">
        <v>96</v>
      </c>
      <c r="J703" s="1">
        <v>56</v>
      </c>
      <c r="K703" s="8">
        <f>tblInventory[[#This Row],[Reorder_Quantity]]*M703</f>
        <v>336</v>
      </c>
      <c r="L703" s="10">
        <f>tblInventory[[#This Row],[Stock_Quantity]] / tblInventory[[#This Row],[Reorder_Quantity]]</f>
        <v>1.6428571428571428</v>
      </c>
      <c r="M703" s="3">
        <v>6</v>
      </c>
      <c r="N703" s="10">
        <f t="shared" si="20"/>
        <v>1.5619694397283532</v>
      </c>
      <c r="O703" s="1" t="s">
        <v>82</v>
      </c>
      <c r="P703" s="1" t="s">
        <v>1060</v>
      </c>
      <c r="Q703" s="2">
        <v>45873</v>
      </c>
      <c r="R703" s="1" t="s">
        <v>1062</v>
      </c>
      <c r="S703" s="1">
        <v>32</v>
      </c>
      <c r="T703" s="1">
        <v>22</v>
      </c>
      <c r="U703" s="1" t="s">
        <v>24</v>
      </c>
      <c r="V703" s="3">
        <f>tblInventory[[#This Row],[Stock_Quantity]]*tblInventory[[#This Row],[Unit_Price]]</f>
        <v>552</v>
      </c>
      <c r="W703" s="1" t="str">
        <f>IF(tblInventory[[#This Row],[Status]]="Discontinued","INACTIVE",
IF(tblInventory[[#This Row],[Stock_Quantity]] &lt; tblInventory[[#This Row],[Reorder_Level]],"REORDER","OK"))</f>
        <v>INACTIVE</v>
      </c>
      <c r="X703" s="1" t="str">
        <f t="shared" ca="1" si="21"/>
        <v>Expired</v>
      </c>
    </row>
    <row r="704" spans="1:24">
      <c r="A704" s="1">
        <v>703</v>
      </c>
      <c r="B704" s="1" t="s">
        <v>1578</v>
      </c>
      <c r="C704" s="1" t="s">
        <v>685</v>
      </c>
      <c r="D704" s="1" t="s">
        <v>49</v>
      </c>
      <c r="E704" s="1" t="s">
        <v>1579</v>
      </c>
      <c r="F704" s="1" t="s">
        <v>1074</v>
      </c>
      <c r="G704" s="6">
        <v>52</v>
      </c>
      <c r="H704" s="8">
        <f>tblInventory[[#This Row],[Stock_Quantity]] * tblInventory[[#This Row],[Unit_Price]]</f>
        <v>312</v>
      </c>
      <c r="I704" s="1">
        <v>8</v>
      </c>
      <c r="J704" s="1">
        <v>37</v>
      </c>
      <c r="K704" s="8">
        <f>tblInventory[[#This Row],[Reorder_Quantity]]*M704</f>
        <v>222</v>
      </c>
      <c r="L704" s="10">
        <f>tblInventory[[#This Row],[Stock_Quantity]] / tblInventory[[#This Row],[Reorder_Quantity]]</f>
        <v>1.4054054054054055</v>
      </c>
      <c r="M704" s="3">
        <v>6</v>
      </c>
      <c r="N704" s="10">
        <f t="shared" si="20"/>
        <v>0.88285229202037352</v>
      </c>
      <c r="O704" s="1" t="s">
        <v>784</v>
      </c>
      <c r="P704" s="1" t="s">
        <v>665</v>
      </c>
      <c r="Q704" s="2">
        <v>45889</v>
      </c>
      <c r="R704" s="1" t="s">
        <v>1580</v>
      </c>
      <c r="S704" s="1">
        <v>38</v>
      </c>
      <c r="T704" s="1">
        <v>81</v>
      </c>
      <c r="U704" s="1" t="s">
        <v>46</v>
      </c>
      <c r="V704" s="3">
        <f>tblInventory[[#This Row],[Stock_Quantity]]*tblInventory[[#This Row],[Unit_Price]]</f>
        <v>312</v>
      </c>
      <c r="W704" s="1" t="str">
        <f>IF(tblInventory[[#This Row],[Status]]="Discontinued","INACTIVE",
IF(tblInventory[[#This Row],[Stock_Quantity]] &lt; tblInventory[[#This Row],[Reorder_Level]],"REORDER","OK"))</f>
        <v>OK</v>
      </c>
      <c r="X704" s="1" t="str">
        <f t="shared" ca="1" si="21"/>
        <v>Expired</v>
      </c>
    </row>
    <row r="705" spans="1:24">
      <c r="A705" s="1">
        <v>704</v>
      </c>
      <c r="B705" s="1" t="s">
        <v>1843</v>
      </c>
      <c r="C705" s="1" t="s">
        <v>685</v>
      </c>
      <c r="D705" s="1" t="s">
        <v>49</v>
      </c>
      <c r="E705" s="1" t="s">
        <v>1844</v>
      </c>
      <c r="F705" s="1" t="s">
        <v>1845</v>
      </c>
      <c r="G705" s="6">
        <v>43</v>
      </c>
      <c r="H705" s="8">
        <f>tblInventory[[#This Row],[Stock_Quantity]] * tblInventory[[#This Row],[Unit_Price]]</f>
        <v>258</v>
      </c>
      <c r="I705" s="1">
        <v>65</v>
      </c>
      <c r="J705" s="1">
        <v>66</v>
      </c>
      <c r="K705" s="8">
        <f>tblInventory[[#This Row],[Reorder_Quantity]]*M705</f>
        <v>396</v>
      </c>
      <c r="L705" s="10">
        <f>tblInventory[[#This Row],[Stock_Quantity]] / tblInventory[[#This Row],[Reorder_Quantity]]</f>
        <v>0.65151515151515149</v>
      </c>
      <c r="M705" s="3">
        <v>6</v>
      </c>
      <c r="N705" s="10">
        <f t="shared" si="20"/>
        <v>0.7300509337860781</v>
      </c>
      <c r="O705" s="1" t="s">
        <v>177</v>
      </c>
      <c r="P705" s="2">
        <v>45360</v>
      </c>
      <c r="Q705" s="2">
        <v>45788</v>
      </c>
      <c r="R705" s="1" t="s">
        <v>1846</v>
      </c>
      <c r="S705" s="1">
        <v>78</v>
      </c>
      <c r="T705" s="1">
        <v>73</v>
      </c>
      <c r="U705" s="1" t="s">
        <v>38</v>
      </c>
      <c r="V705" s="3">
        <f>tblInventory[[#This Row],[Stock_Quantity]]*tblInventory[[#This Row],[Unit_Price]]</f>
        <v>258</v>
      </c>
      <c r="W705" s="1" t="str">
        <f>IF(tblInventory[[#This Row],[Status]]="Discontinued","INACTIVE",
IF(tblInventory[[#This Row],[Stock_Quantity]] &lt; tblInventory[[#This Row],[Reorder_Level]],"REORDER","OK"))</f>
        <v>REORDER</v>
      </c>
      <c r="X705" s="1" t="str">
        <f t="shared" ca="1" si="21"/>
        <v>Expired</v>
      </c>
    </row>
    <row r="706" spans="1:24">
      <c r="A706" s="1">
        <v>705</v>
      </c>
      <c r="B706" s="1" t="s">
        <v>1962</v>
      </c>
      <c r="C706" s="1" t="s">
        <v>685</v>
      </c>
      <c r="D706" s="1" t="s">
        <v>49</v>
      </c>
      <c r="E706" s="1" t="s">
        <v>1963</v>
      </c>
      <c r="F706" s="1" t="s">
        <v>845</v>
      </c>
      <c r="G706" s="6">
        <v>59</v>
      </c>
      <c r="H706" s="8">
        <f>tblInventory[[#This Row],[Stock_Quantity]] * tblInventory[[#This Row],[Unit_Price]]</f>
        <v>354</v>
      </c>
      <c r="I706" s="1">
        <v>79</v>
      </c>
      <c r="J706" s="1">
        <v>87</v>
      </c>
      <c r="K706" s="8">
        <f>tblInventory[[#This Row],[Reorder_Quantity]]*M706</f>
        <v>522</v>
      </c>
      <c r="L706" s="10">
        <f>tblInventory[[#This Row],[Stock_Quantity]] / tblInventory[[#This Row],[Reorder_Quantity]]</f>
        <v>0.67816091954022983</v>
      </c>
      <c r="M706" s="3">
        <v>6</v>
      </c>
      <c r="N706" s="10">
        <f t="shared" ref="N706:N769" si="22">G706 / 58.9</f>
        <v>1.0016977928692701</v>
      </c>
      <c r="O706" s="2">
        <v>45360</v>
      </c>
      <c r="P706" s="2">
        <v>45361</v>
      </c>
      <c r="Q706" s="2">
        <v>45973</v>
      </c>
      <c r="R706" s="1" t="s">
        <v>1964</v>
      </c>
      <c r="S706" s="1">
        <v>47</v>
      </c>
      <c r="T706" s="1">
        <v>18</v>
      </c>
      <c r="U706" s="1" t="s">
        <v>46</v>
      </c>
      <c r="V706" s="3">
        <f>tblInventory[[#This Row],[Stock_Quantity]]*tblInventory[[#This Row],[Unit_Price]]</f>
        <v>354</v>
      </c>
      <c r="W706" s="1" t="str">
        <f>IF(tblInventory[[#This Row],[Status]]="Discontinued","INACTIVE",
IF(tblInventory[[#This Row],[Stock_Quantity]] &lt; tblInventory[[#This Row],[Reorder_Level]],"REORDER","OK"))</f>
        <v>REORDER</v>
      </c>
      <c r="X706" s="1" t="str">
        <f t="shared" ref="X706:X769" ca="1" si="23">IF(Q706&lt;TODAY(),"Expired","Valid")</f>
        <v>Expired</v>
      </c>
    </row>
    <row r="707" spans="1:24">
      <c r="A707" s="1">
        <v>706</v>
      </c>
      <c r="B707" s="1" t="s">
        <v>2332</v>
      </c>
      <c r="C707" s="1" t="s">
        <v>685</v>
      </c>
      <c r="D707" s="1" t="s">
        <v>49</v>
      </c>
      <c r="E707" s="1" t="s">
        <v>2333</v>
      </c>
      <c r="F707" s="1" t="s">
        <v>2334</v>
      </c>
      <c r="G707" s="6">
        <v>62</v>
      </c>
      <c r="H707" s="8">
        <f>tblInventory[[#This Row],[Stock_Quantity]] * tblInventory[[#This Row],[Unit_Price]]</f>
        <v>372</v>
      </c>
      <c r="I707" s="1">
        <v>40</v>
      </c>
      <c r="J707" s="1">
        <v>86</v>
      </c>
      <c r="K707" s="8">
        <f>tblInventory[[#This Row],[Reorder_Quantity]]*M707</f>
        <v>516</v>
      </c>
      <c r="L707" s="10">
        <f>tblInventory[[#This Row],[Stock_Quantity]] / tblInventory[[#This Row],[Reorder_Quantity]]</f>
        <v>0.72093023255813948</v>
      </c>
      <c r="M707" s="3">
        <v>6</v>
      </c>
      <c r="N707" s="10">
        <f t="shared" si="22"/>
        <v>1.0526315789473684</v>
      </c>
      <c r="O707" s="1" t="s">
        <v>506</v>
      </c>
      <c r="P707" s="1" t="s">
        <v>128</v>
      </c>
      <c r="Q707" s="2">
        <v>46146</v>
      </c>
      <c r="R707" s="1" t="s">
        <v>2335</v>
      </c>
      <c r="S707" s="1">
        <v>45</v>
      </c>
      <c r="T707" s="1">
        <v>86</v>
      </c>
      <c r="U707" s="1" t="s">
        <v>38</v>
      </c>
      <c r="V707" s="3">
        <f>tblInventory[[#This Row],[Stock_Quantity]]*tblInventory[[#This Row],[Unit_Price]]</f>
        <v>372</v>
      </c>
      <c r="W707" s="1" t="str">
        <f>IF(tblInventory[[#This Row],[Status]]="Discontinued","INACTIVE",
IF(tblInventory[[#This Row],[Stock_Quantity]] &lt; tblInventory[[#This Row],[Reorder_Level]],"REORDER","OK"))</f>
        <v>OK</v>
      </c>
      <c r="X707" s="1" t="str">
        <f t="shared" ca="1" si="23"/>
        <v>Valid</v>
      </c>
    </row>
    <row r="708" spans="1:24">
      <c r="A708" s="1">
        <v>707</v>
      </c>
      <c r="B708" s="1" t="s">
        <v>2408</v>
      </c>
      <c r="C708" s="1" t="s">
        <v>685</v>
      </c>
      <c r="D708" s="1" t="s">
        <v>49</v>
      </c>
      <c r="E708" s="1" t="s">
        <v>2409</v>
      </c>
      <c r="F708" s="1" t="s">
        <v>931</v>
      </c>
      <c r="G708" s="6">
        <v>26</v>
      </c>
      <c r="H708" s="8">
        <f>tblInventory[[#This Row],[Stock_Quantity]] * tblInventory[[#This Row],[Unit_Price]]</f>
        <v>156</v>
      </c>
      <c r="I708" s="1">
        <v>1</v>
      </c>
      <c r="J708" s="1">
        <v>9</v>
      </c>
      <c r="K708" s="8">
        <f>tblInventory[[#This Row],[Reorder_Quantity]]*M708</f>
        <v>54</v>
      </c>
      <c r="L708" s="10">
        <f>tblInventory[[#This Row],[Stock_Quantity]] / tblInventory[[#This Row],[Reorder_Quantity]]</f>
        <v>2.8888888888888888</v>
      </c>
      <c r="M708" s="3">
        <v>6</v>
      </c>
      <c r="N708" s="10">
        <f t="shared" si="22"/>
        <v>0.44142614601018676</v>
      </c>
      <c r="O708" s="2">
        <v>45932</v>
      </c>
      <c r="P708" s="2">
        <v>45416</v>
      </c>
      <c r="Q708" s="2">
        <v>46140</v>
      </c>
      <c r="R708" s="1" t="s">
        <v>2410</v>
      </c>
      <c r="S708" s="1">
        <v>82</v>
      </c>
      <c r="T708" s="1">
        <v>8</v>
      </c>
      <c r="U708" s="1" t="s">
        <v>38</v>
      </c>
      <c r="V708" s="3">
        <f>tblInventory[[#This Row],[Stock_Quantity]]*tblInventory[[#This Row],[Unit_Price]]</f>
        <v>156</v>
      </c>
      <c r="W708" s="1" t="str">
        <f>IF(tblInventory[[#This Row],[Status]]="Discontinued","INACTIVE",
IF(tblInventory[[#This Row],[Stock_Quantity]] &lt; tblInventory[[#This Row],[Reorder_Level]],"REORDER","OK"))</f>
        <v>OK</v>
      </c>
      <c r="X708" s="1" t="str">
        <f t="shared" ca="1" si="23"/>
        <v>Valid</v>
      </c>
    </row>
    <row r="709" spans="1:24">
      <c r="A709" s="1">
        <v>708</v>
      </c>
      <c r="B709" s="1" t="s">
        <v>2717</v>
      </c>
      <c r="C709" s="1" t="s">
        <v>685</v>
      </c>
      <c r="D709" s="1" t="s">
        <v>49</v>
      </c>
      <c r="E709" s="1" t="s">
        <v>2718</v>
      </c>
      <c r="F709" s="1" t="s">
        <v>529</v>
      </c>
      <c r="G709" s="6">
        <v>81</v>
      </c>
      <c r="H709" s="8">
        <f>tblInventory[[#This Row],[Stock_Quantity]] * tblInventory[[#This Row],[Unit_Price]]</f>
        <v>486</v>
      </c>
      <c r="I709" s="1">
        <v>87</v>
      </c>
      <c r="J709" s="1">
        <v>15</v>
      </c>
      <c r="K709" s="8">
        <f>tblInventory[[#This Row],[Reorder_Quantity]]*M709</f>
        <v>90</v>
      </c>
      <c r="L709" s="10">
        <f>tblInventory[[#This Row],[Stock_Quantity]] / tblInventory[[#This Row],[Reorder_Quantity]]</f>
        <v>5.4</v>
      </c>
      <c r="M709" s="3">
        <v>6</v>
      </c>
      <c r="N709" s="10">
        <f t="shared" si="22"/>
        <v>1.3752122241086588</v>
      </c>
      <c r="O709" s="2">
        <v>45870</v>
      </c>
      <c r="P709" s="1" t="s">
        <v>264</v>
      </c>
      <c r="Q709" s="2">
        <v>46030</v>
      </c>
      <c r="R709" s="1" t="s">
        <v>2719</v>
      </c>
      <c r="S709" s="1">
        <v>94</v>
      </c>
      <c r="T709" s="1">
        <v>10</v>
      </c>
      <c r="U709" s="1" t="s">
        <v>38</v>
      </c>
      <c r="V709" s="3">
        <f>tblInventory[[#This Row],[Stock_Quantity]]*tblInventory[[#This Row],[Unit_Price]]</f>
        <v>486</v>
      </c>
      <c r="W709" s="1" t="str">
        <f>IF(tblInventory[[#This Row],[Status]]="Discontinued","INACTIVE",
IF(tblInventory[[#This Row],[Stock_Quantity]] &lt; tblInventory[[#This Row],[Reorder_Level]],"REORDER","OK"))</f>
        <v>REORDER</v>
      </c>
      <c r="X709" s="1" t="str">
        <f t="shared" ca="1" si="23"/>
        <v>Valid</v>
      </c>
    </row>
    <row r="710" spans="1:24">
      <c r="A710" s="1">
        <v>709</v>
      </c>
      <c r="B710" s="1" t="s">
        <v>3104</v>
      </c>
      <c r="C710" s="1" t="s">
        <v>685</v>
      </c>
      <c r="D710" s="1" t="s">
        <v>49</v>
      </c>
      <c r="E710" s="1" t="s">
        <v>3105</v>
      </c>
      <c r="F710" s="1" t="s">
        <v>2854</v>
      </c>
      <c r="G710" s="6">
        <v>65</v>
      </c>
      <c r="H710" s="8">
        <f>tblInventory[[#This Row],[Stock_Quantity]] * tblInventory[[#This Row],[Unit_Price]]</f>
        <v>390</v>
      </c>
      <c r="I710" s="1">
        <v>69</v>
      </c>
      <c r="J710" s="1">
        <v>4</v>
      </c>
      <c r="K710" s="8">
        <f>tblInventory[[#This Row],[Reorder_Quantity]]*M710</f>
        <v>24</v>
      </c>
      <c r="L710" s="10">
        <f>tblInventory[[#This Row],[Stock_Quantity]] / tblInventory[[#This Row],[Reorder_Quantity]]</f>
        <v>16.25</v>
      </c>
      <c r="M710" s="3">
        <v>6</v>
      </c>
      <c r="N710" s="10">
        <f t="shared" si="22"/>
        <v>1.1035653650254669</v>
      </c>
      <c r="O710" s="1" t="s">
        <v>840</v>
      </c>
      <c r="P710" s="1" t="s">
        <v>956</v>
      </c>
      <c r="Q710" s="2">
        <v>46355</v>
      </c>
      <c r="R710" s="1" t="s">
        <v>3106</v>
      </c>
      <c r="S710" s="1">
        <v>80</v>
      </c>
      <c r="T710" s="1">
        <v>26</v>
      </c>
      <c r="U710" s="1" t="s">
        <v>46</v>
      </c>
      <c r="V710" s="3">
        <f>tblInventory[[#This Row],[Stock_Quantity]]*tblInventory[[#This Row],[Unit_Price]]</f>
        <v>390</v>
      </c>
      <c r="W710" s="1" t="str">
        <f>IF(tblInventory[[#This Row],[Status]]="Discontinued","INACTIVE",
IF(tblInventory[[#This Row],[Stock_Quantity]] &lt; tblInventory[[#This Row],[Reorder_Level]],"REORDER","OK"))</f>
        <v>REORDER</v>
      </c>
      <c r="X710" s="1" t="str">
        <f t="shared" ca="1" si="23"/>
        <v>Valid</v>
      </c>
    </row>
    <row r="711" spans="1:24">
      <c r="A711" s="1">
        <v>710</v>
      </c>
      <c r="B711" s="1" t="s">
        <v>3135</v>
      </c>
      <c r="C711" s="1" t="s">
        <v>685</v>
      </c>
      <c r="D711" s="1" t="s">
        <v>49</v>
      </c>
      <c r="E711" s="1" t="s">
        <v>3136</v>
      </c>
      <c r="F711" s="1" t="s">
        <v>3137</v>
      </c>
      <c r="G711" s="6">
        <v>17</v>
      </c>
      <c r="H711" s="8">
        <f>tblInventory[[#This Row],[Stock_Quantity]] * tblInventory[[#This Row],[Unit_Price]]</f>
        <v>102</v>
      </c>
      <c r="I711" s="1">
        <v>45</v>
      </c>
      <c r="J711" s="1">
        <v>44</v>
      </c>
      <c r="K711" s="8">
        <f>tblInventory[[#This Row],[Reorder_Quantity]]*M711</f>
        <v>264</v>
      </c>
      <c r="L711" s="10">
        <f>tblInventory[[#This Row],[Stock_Quantity]] / tblInventory[[#This Row],[Reorder_Quantity]]</f>
        <v>0.38636363636363635</v>
      </c>
      <c r="M711" s="3">
        <v>6</v>
      </c>
      <c r="N711" s="10">
        <f t="shared" si="22"/>
        <v>0.28862478777589134</v>
      </c>
      <c r="O711" s="1" t="s">
        <v>872</v>
      </c>
      <c r="P711" s="2">
        <v>45355</v>
      </c>
      <c r="Q711" s="2">
        <v>46277</v>
      </c>
      <c r="R711" s="1" t="s">
        <v>3138</v>
      </c>
      <c r="S711" s="1">
        <v>37</v>
      </c>
      <c r="T711" s="1">
        <v>16</v>
      </c>
      <c r="U711" s="1" t="s">
        <v>46</v>
      </c>
      <c r="V711" s="3">
        <f>tblInventory[[#This Row],[Stock_Quantity]]*tblInventory[[#This Row],[Unit_Price]]</f>
        <v>102</v>
      </c>
      <c r="W711" s="1" t="str">
        <f>IF(tblInventory[[#This Row],[Status]]="Discontinued","INACTIVE",
IF(tblInventory[[#This Row],[Stock_Quantity]] &lt; tblInventory[[#This Row],[Reorder_Level]],"REORDER","OK"))</f>
        <v>REORDER</v>
      </c>
      <c r="X711" s="1" t="str">
        <f t="shared" ca="1" si="23"/>
        <v>Valid</v>
      </c>
    </row>
    <row r="712" spans="1:24">
      <c r="A712" s="1">
        <v>711</v>
      </c>
      <c r="B712" s="1" t="s">
        <v>3250</v>
      </c>
      <c r="C712" s="1" t="s">
        <v>685</v>
      </c>
      <c r="D712" s="1" t="s">
        <v>49</v>
      </c>
      <c r="E712" s="1" t="s">
        <v>3251</v>
      </c>
      <c r="F712" s="1" t="s">
        <v>500</v>
      </c>
      <c r="G712" s="6">
        <v>22</v>
      </c>
      <c r="H712" s="8">
        <f>tblInventory[[#This Row],[Stock_Quantity]] * tblInventory[[#This Row],[Unit_Price]]</f>
        <v>132</v>
      </c>
      <c r="I712" s="1">
        <v>35</v>
      </c>
      <c r="J712" s="1">
        <v>55</v>
      </c>
      <c r="K712" s="8">
        <f>tblInventory[[#This Row],[Reorder_Quantity]]*M712</f>
        <v>330</v>
      </c>
      <c r="L712" s="10">
        <f>tblInventory[[#This Row],[Stock_Quantity]] / tblInventory[[#This Row],[Reorder_Quantity]]</f>
        <v>0.4</v>
      </c>
      <c r="M712" s="3">
        <v>6</v>
      </c>
      <c r="N712" s="10">
        <f t="shared" si="22"/>
        <v>0.37351443123938882</v>
      </c>
      <c r="O712" s="1" t="s">
        <v>357</v>
      </c>
      <c r="P712" s="1" t="s">
        <v>396</v>
      </c>
      <c r="Q712" s="2">
        <v>46402</v>
      </c>
      <c r="R712" s="1" t="s">
        <v>3252</v>
      </c>
      <c r="S712" s="1">
        <v>41</v>
      </c>
      <c r="T712" s="1">
        <v>27</v>
      </c>
      <c r="U712" s="1" t="s">
        <v>46</v>
      </c>
      <c r="V712" s="3">
        <f>tblInventory[[#This Row],[Stock_Quantity]]*tblInventory[[#This Row],[Unit_Price]]</f>
        <v>132</v>
      </c>
      <c r="W712" s="1" t="str">
        <f>IF(tblInventory[[#This Row],[Status]]="Discontinued","INACTIVE",
IF(tblInventory[[#This Row],[Stock_Quantity]] &lt; tblInventory[[#This Row],[Reorder_Level]],"REORDER","OK"))</f>
        <v>REORDER</v>
      </c>
      <c r="X712" s="1" t="str">
        <f t="shared" ca="1" si="23"/>
        <v>Valid</v>
      </c>
    </row>
    <row r="713" spans="1:24">
      <c r="A713" s="1">
        <v>712</v>
      </c>
      <c r="B713" s="1" t="s">
        <v>3445</v>
      </c>
      <c r="C713" s="1" t="s">
        <v>685</v>
      </c>
      <c r="D713" s="1" t="s">
        <v>49</v>
      </c>
      <c r="E713" s="1" t="s">
        <v>3446</v>
      </c>
      <c r="F713" s="1" t="s">
        <v>2334</v>
      </c>
      <c r="G713" s="6">
        <v>66</v>
      </c>
      <c r="H713" s="8">
        <f>tblInventory[[#This Row],[Stock_Quantity]] * tblInventory[[#This Row],[Unit_Price]]</f>
        <v>396</v>
      </c>
      <c r="I713" s="1">
        <v>28</v>
      </c>
      <c r="J713" s="1">
        <v>7</v>
      </c>
      <c r="K713" s="8">
        <f>tblInventory[[#This Row],[Reorder_Quantity]]*M713</f>
        <v>42</v>
      </c>
      <c r="L713" s="10">
        <f>tblInventory[[#This Row],[Stock_Quantity]] / tblInventory[[#This Row],[Reorder_Quantity]]</f>
        <v>9.4285714285714288</v>
      </c>
      <c r="M713" s="3">
        <v>6</v>
      </c>
      <c r="N713" s="10">
        <f t="shared" si="22"/>
        <v>1.1205432937181663</v>
      </c>
      <c r="O713" s="1" t="s">
        <v>745</v>
      </c>
      <c r="P713" s="1" t="s">
        <v>1217</v>
      </c>
      <c r="Q713" s="2">
        <v>46465</v>
      </c>
      <c r="R713" s="1" t="s">
        <v>3447</v>
      </c>
      <c r="S713" s="1">
        <v>85</v>
      </c>
      <c r="T713" s="1">
        <v>6</v>
      </c>
      <c r="U713" s="1" t="s">
        <v>38</v>
      </c>
      <c r="V713" s="3">
        <f>tblInventory[[#This Row],[Stock_Quantity]]*tblInventory[[#This Row],[Unit_Price]]</f>
        <v>396</v>
      </c>
      <c r="W713" s="1" t="str">
        <f>IF(tblInventory[[#This Row],[Status]]="Discontinued","INACTIVE",
IF(tblInventory[[#This Row],[Stock_Quantity]] &lt; tblInventory[[#This Row],[Reorder_Level]],"REORDER","OK"))</f>
        <v>OK</v>
      </c>
      <c r="X713" s="1" t="str">
        <f t="shared" ca="1" si="23"/>
        <v>Valid</v>
      </c>
    </row>
    <row r="714" spans="1:24">
      <c r="A714" s="1">
        <v>713</v>
      </c>
      <c r="B714" s="1" t="s">
        <v>3494</v>
      </c>
      <c r="C714" s="1" t="s">
        <v>685</v>
      </c>
      <c r="D714" s="1" t="s">
        <v>49</v>
      </c>
      <c r="E714" s="1" t="s">
        <v>3495</v>
      </c>
      <c r="F714" s="1" t="s">
        <v>381</v>
      </c>
      <c r="G714" s="6">
        <v>88</v>
      </c>
      <c r="H714" s="8">
        <f>tblInventory[[#This Row],[Stock_Quantity]] * tblInventory[[#This Row],[Unit_Price]]</f>
        <v>528</v>
      </c>
      <c r="I714" s="1">
        <v>24</v>
      </c>
      <c r="J714" s="1">
        <v>44</v>
      </c>
      <c r="K714" s="8">
        <f>tblInventory[[#This Row],[Reorder_Quantity]]*M714</f>
        <v>264</v>
      </c>
      <c r="L714" s="10">
        <f>tblInventory[[#This Row],[Stock_Quantity]] / tblInventory[[#This Row],[Reorder_Quantity]]</f>
        <v>2</v>
      </c>
      <c r="M714" s="3">
        <v>6</v>
      </c>
      <c r="N714" s="10">
        <f t="shared" si="22"/>
        <v>1.4940577249575553</v>
      </c>
      <c r="O714" s="2">
        <v>45423</v>
      </c>
      <c r="P714" s="2">
        <v>45515</v>
      </c>
      <c r="Q714" s="2">
        <v>46481</v>
      </c>
      <c r="R714" s="1" t="s">
        <v>3496</v>
      </c>
      <c r="S714" s="1">
        <v>72</v>
      </c>
      <c r="T714" s="1">
        <v>88</v>
      </c>
      <c r="U714" s="1" t="s">
        <v>38</v>
      </c>
      <c r="V714" s="3">
        <f>tblInventory[[#This Row],[Stock_Quantity]]*tblInventory[[#This Row],[Unit_Price]]</f>
        <v>528</v>
      </c>
      <c r="W714" s="1" t="str">
        <f>IF(tblInventory[[#This Row],[Status]]="Discontinued","INACTIVE",
IF(tblInventory[[#This Row],[Stock_Quantity]] &lt; tblInventory[[#This Row],[Reorder_Level]],"REORDER","OK"))</f>
        <v>OK</v>
      </c>
      <c r="X714" s="1" t="str">
        <f t="shared" ca="1" si="23"/>
        <v>Valid</v>
      </c>
    </row>
    <row r="715" spans="1:24">
      <c r="A715" s="1">
        <v>714</v>
      </c>
      <c r="B715" s="1" t="s">
        <v>491</v>
      </c>
      <c r="C715" s="1" t="s">
        <v>492</v>
      </c>
      <c r="D715" s="1" t="s">
        <v>49</v>
      </c>
      <c r="E715" s="1" t="s">
        <v>493</v>
      </c>
      <c r="F715" s="1" t="s">
        <v>471</v>
      </c>
      <c r="G715" s="6">
        <v>28</v>
      </c>
      <c r="H715" s="8">
        <f>tblInventory[[#This Row],[Stock_Quantity]] * tblInventory[[#This Row],[Unit_Price]]</f>
        <v>33.6</v>
      </c>
      <c r="I715" s="1">
        <v>40</v>
      </c>
      <c r="J715" s="1">
        <v>27</v>
      </c>
      <c r="K715" s="8">
        <f>tblInventory[[#This Row],[Reorder_Quantity]]*M715</f>
        <v>32.4</v>
      </c>
      <c r="L715" s="10">
        <f>tblInventory[[#This Row],[Stock_Quantity]] / tblInventory[[#This Row],[Reorder_Quantity]]</f>
        <v>1.037037037037037</v>
      </c>
      <c r="M715" s="3">
        <v>1.2</v>
      </c>
      <c r="N715" s="10">
        <f t="shared" si="22"/>
        <v>0.47538200339558573</v>
      </c>
      <c r="O715" s="1" t="s">
        <v>494</v>
      </c>
      <c r="P715" s="1" t="s">
        <v>495</v>
      </c>
      <c r="Q715" s="2">
        <v>45455</v>
      </c>
      <c r="R715" s="1" t="s">
        <v>497</v>
      </c>
      <c r="S715" s="1">
        <v>30</v>
      </c>
      <c r="T715" s="1">
        <v>56</v>
      </c>
      <c r="U715" s="1" t="s">
        <v>46</v>
      </c>
      <c r="V715" s="3">
        <f>tblInventory[[#This Row],[Stock_Quantity]]*tblInventory[[#This Row],[Unit_Price]]</f>
        <v>33.6</v>
      </c>
      <c r="W715" s="1" t="str">
        <f>IF(tblInventory[[#This Row],[Status]]="Discontinued","INACTIVE",
IF(tblInventory[[#This Row],[Stock_Quantity]] &lt; tblInventory[[#This Row],[Reorder_Level]],"REORDER","OK"))</f>
        <v>REORDER</v>
      </c>
      <c r="X715" s="1" t="str">
        <f t="shared" ca="1" si="23"/>
        <v>Expired</v>
      </c>
    </row>
    <row r="716" spans="1:24">
      <c r="A716" s="1">
        <v>715</v>
      </c>
      <c r="B716" s="1" t="s">
        <v>1694</v>
      </c>
      <c r="C716" s="1" t="s">
        <v>492</v>
      </c>
      <c r="D716" s="1" t="s">
        <v>49</v>
      </c>
      <c r="E716" s="1" t="s">
        <v>1695</v>
      </c>
      <c r="F716" s="1" t="s">
        <v>1688</v>
      </c>
      <c r="G716" s="6">
        <v>26</v>
      </c>
      <c r="H716" s="8">
        <f>tblInventory[[#This Row],[Stock_Quantity]] * tblInventory[[#This Row],[Unit_Price]]</f>
        <v>31.2</v>
      </c>
      <c r="I716" s="1">
        <v>16</v>
      </c>
      <c r="J716" s="1">
        <v>69</v>
      </c>
      <c r="K716" s="8">
        <f>tblInventory[[#This Row],[Reorder_Quantity]]*M716</f>
        <v>82.8</v>
      </c>
      <c r="L716" s="10">
        <f>tblInventory[[#This Row],[Stock_Quantity]] / tblInventory[[#This Row],[Reorder_Quantity]]</f>
        <v>0.37681159420289856</v>
      </c>
      <c r="M716" s="3">
        <v>1.2</v>
      </c>
      <c r="N716" s="10">
        <f t="shared" si="22"/>
        <v>0.44142614601018676</v>
      </c>
      <c r="O716" s="1" t="s">
        <v>115</v>
      </c>
      <c r="P716" s="1" t="s">
        <v>336</v>
      </c>
      <c r="Q716" s="2">
        <v>45921</v>
      </c>
      <c r="R716" s="1" t="s">
        <v>1696</v>
      </c>
      <c r="S716" s="1">
        <v>64</v>
      </c>
      <c r="T716" s="1">
        <v>79</v>
      </c>
      <c r="U716" s="1" t="s">
        <v>24</v>
      </c>
      <c r="V716" s="3">
        <f>tblInventory[[#This Row],[Stock_Quantity]]*tblInventory[[#This Row],[Unit_Price]]</f>
        <v>31.2</v>
      </c>
      <c r="W716" s="1" t="str">
        <f>IF(tblInventory[[#This Row],[Status]]="Discontinued","INACTIVE",
IF(tblInventory[[#This Row],[Stock_Quantity]] &lt; tblInventory[[#This Row],[Reorder_Level]],"REORDER","OK"))</f>
        <v>INACTIVE</v>
      </c>
      <c r="X716" s="1" t="str">
        <f t="shared" ca="1" si="23"/>
        <v>Expired</v>
      </c>
    </row>
    <row r="717" spans="1:24">
      <c r="A717" s="1">
        <v>716</v>
      </c>
      <c r="B717" s="1" t="s">
        <v>3002</v>
      </c>
      <c r="C717" s="1" t="s">
        <v>492</v>
      </c>
      <c r="D717" s="1" t="s">
        <v>49</v>
      </c>
      <c r="E717" s="1" t="s">
        <v>3003</v>
      </c>
      <c r="F717" s="1" t="s">
        <v>2198</v>
      </c>
      <c r="G717" s="6">
        <v>72</v>
      </c>
      <c r="H717" s="8">
        <f>tblInventory[[#This Row],[Stock_Quantity]] * tblInventory[[#This Row],[Unit_Price]]</f>
        <v>86.399999999999991</v>
      </c>
      <c r="I717" s="1">
        <v>58</v>
      </c>
      <c r="J717" s="1">
        <v>69</v>
      </c>
      <c r="K717" s="8">
        <f>tblInventory[[#This Row],[Reorder_Quantity]]*M717</f>
        <v>82.8</v>
      </c>
      <c r="L717" s="10">
        <f>tblInventory[[#This Row],[Stock_Quantity]] / tblInventory[[#This Row],[Reorder_Quantity]]</f>
        <v>1.0434782608695652</v>
      </c>
      <c r="M717" s="3">
        <v>1.2</v>
      </c>
      <c r="N717" s="10">
        <f t="shared" si="22"/>
        <v>1.2224108658743633</v>
      </c>
      <c r="O717" s="1" t="s">
        <v>2818</v>
      </c>
      <c r="P717" s="2">
        <v>45718</v>
      </c>
      <c r="Q717" s="2">
        <v>46322</v>
      </c>
      <c r="R717" s="1" t="s">
        <v>3004</v>
      </c>
      <c r="S717" s="1">
        <v>96</v>
      </c>
      <c r="T717" s="1">
        <v>23</v>
      </c>
      <c r="U717" s="1" t="s">
        <v>38</v>
      </c>
      <c r="V717" s="3">
        <f>tblInventory[[#This Row],[Stock_Quantity]]*tblInventory[[#This Row],[Unit_Price]]</f>
        <v>86.399999999999991</v>
      </c>
      <c r="W717" s="1" t="str">
        <f>IF(tblInventory[[#This Row],[Status]]="Discontinued","INACTIVE",
IF(tblInventory[[#This Row],[Stock_Quantity]] &lt; tblInventory[[#This Row],[Reorder_Level]],"REORDER","OK"))</f>
        <v>OK</v>
      </c>
      <c r="X717" s="1" t="str">
        <f t="shared" ca="1" si="23"/>
        <v>Valid</v>
      </c>
    </row>
    <row r="718" spans="1:24">
      <c r="A718" s="1">
        <v>717</v>
      </c>
      <c r="B718" s="1" t="s">
        <v>3110</v>
      </c>
      <c r="C718" s="1" t="s">
        <v>492</v>
      </c>
      <c r="D718" s="1" t="s">
        <v>49</v>
      </c>
      <c r="E718" s="1" t="s">
        <v>3111</v>
      </c>
      <c r="F718" s="1" t="s">
        <v>3112</v>
      </c>
      <c r="G718" s="6">
        <v>26</v>
      </c>
      <c r="H718" s="8">
        <f>tblInventory[[#This Row],[Stock_Quantity]] * tblInventory[[#This Row],[Unit_Price]]</f>
        <v>31.2</v>
      </c>
      <c r="I718" s="1">
        <v>63</v>
      </c>
      <c r="J718" s="1">
        <v>88</v>
      </c>
      <c r="K718" s="8">
        <f>tblInventory[[#This Row],[Reorder_Quantity]]*M718</f>
        <v>105.6</v>
      </c>
      <c r="L718" s="10">
        <f>tblInventory[[#This Row],[Stock_Quantity]] / tblInventory[[#This Row],[Reorder_Quantity]]</f>
        <v>0.29545454545454547</v>
      </c>
      <c r="M718" s="3">
        <v>1.2</v>
      </c>
      <c r="N718" s="10">
        <f t="shared" si="22"/>
        <v>0.44142614601018676</v>
      </c>
      <c r="O718" s="2">
        <v>45540</v>
      </c>
      <c r="P718" s="1" t="s">
        <v>434</v>
      </c>
      <c r="Q718" s="2">
        <v>46034</v>
      </c>
      <c r="R718" s="1" t="s">
        <v>3113</v>
      </c>
      <c r="S718" s="1">
        <v>84</v>
      </c>
      <c r="T718" s="1">
        <v>70</v>
      </c>
      <c r="U718" s="1" t="s">
        <v>46</v>
      </c>
      <c r="V718" s="3">
        <f>tblInventory[[#This Row],[Stock_Quantity]]*tblInventory[[#This Row],[Unit_Price]]</f>
        <v>31.2</v>
      </c>
      <c r="W718" s="1" t="str">
        <f>IF(tblInventory[[#This Row],[Status]]="Discontinued","INACTIVE",
IF(tblInventory[[#This Row],[Stock_Quantity]] &lt; tblInventory[[#This Row],[Reorder_Level]],"REORDER","OK"))</f>
        <v>REORDER</v>
      </c>
      <c r="X718" s="1" t="str">
        <f t="shared" ca="1" si="23"/>
        <v>Valid</v>
      </c>
    </row>
    <row r="719" spans="1:24">
      <c r="A719" s="1">
        <v>718</v>
      </c>
      <c r="B719" s="1" t="s">
        <v>3608</v>
      </c>
      <c r="C719" s="1" t="s">
        <v>492</v>
      </c>
      <c r="D719" s="1" t="s">
        <v>49</v>
      </c>
      <c r="E719" s="1" t="s">
        <v>3609</v>
      </c>
      <c r="F719" s="1" t="s">
        <v>2256</v>
      </c>
      <c r="G719" s="6">
        <v>42</v>
      </c>
      <c r="H719" s="8">
        <f>tblInventory[[#This Row],[Stock_Quantity]] * tblInventory[[#This Row],[Unit_Price]]</f>
        <v>50.4</v>
      </c>
      <c r="I719" s="1">
        <v>69</v>
      </c>
      <c r="J719" s="1">
        <v>54</v>
      </c>
      <c r="K719" s="8">
        <f>tblInventory[[#This Row],[Reorder_Quantity]]*M719</f>
        <v>64.8</v>
      </c>
      <c r="L719" s="10">
        <f>tblInventory[[#This Row],[Stock_Quantity]] / tblInventory[[#This Row],[Reorder_Quantity]]</f>
        <v>0.77777777777777779</v>
      </c>
      <c r="M719" s="3">
        <v>1.2</v>
      </c>
      <c r="N719" s="10">
        <f t="shared" si="22"/>
        <v>0.71307300509337868</v>
      </c>
      <c r="O719" s="1" t="s">
        <v>258</v>
      </c>
      <c r="P719" s="2">
        <v>45446</v>
      </c>
      <c r="Q719" s="2">
        <v>46696</v>
      </c>
      <c r="R719" s="1" t="s">
        <v>3610</v>
      </c>
      <c r="S719" s="1">
        <v>43</v>
      </c>
      <c r="T719" s="1">
        <v>96</v>
      </c>
      <c r="U719" s="1" t="s">
        <v>46</v>
      </c>
      <c r="V719" s="3">
        <f>tblInventory[[#This Row],[Stock_Quantity]]*tblInventory[[#This Row],[Unit_Price]]</f>
        <v>50.4</v>
      </c>
      <c r="W719" s="1" t="str">
        <f>IF(tblInventory[[#This Row],[Status]]="Discontinued","INACTIVE",
IF(tblInventory[[#This Row],[Stock_Quantity]] &lt; tblInventory[[#This Row],[Reorder_Level]],"REORDER","OK"))</f>
        <v>REORDER</v>
      </c>
      <c r="X719" s="1" t="str">
        <f t="shared" ca="1" si="23"/>
        <v>Valid</v>
      </c>
    </row>
    <row r="720" spans="1:24">
      <c r="A720" s="1">
        <v>719</v>
      </c>
      <c r="B720" s="1" t="s">
        <v>842</v>
      </c>
      <c r="C720" s="1" t="s">
        <v>843</v>
      </c>
      <c r="D720" s="1" t="s">
        <v>17</v>
      </c>
      <c r="E720" s="1" t="s">
        <v>844</v>
      </c>
      <c r="F720" s="1" t="s">
        <v>845</v>
      </c>
      <c r="G720" s="6">
        <v>68</v>
      </c>
      <c r="H720" s="8">
        <f>tblInventory[[#This Row],[Stock_Quantity]] * tblInventory[[#This Row],[Unit_Price]]</f>
        <v>170</v>
      </c>
      <c r="I720" s="1">
        <v>7</v>
      </c>
      <c r="J720" s="1">
        <v>37</v>
      </c>
      <c r="K720" s="8">
        <f>tblInventory[[#This Row],[Reorder_Quantity]]*M720</f>
        <v>92.5</v>
      </c>
      <c r="L720" s="10">
        <f>tblInventory[[#This Row],[Stock_Quantity]] / tblInventory[[#This Row],[Reorder_Quantity]]</f>
        <v>1.8378378378378379</v>
      </c>
      <c r="M720" s="3">
        <v>2.5</v>
      </c>
      <c r="N720" s="10">
        <f t="shared" si="22"/>
        <v>1.1544991511035654</v>
      </c>
      <c r="O720" s="2">
        <v>45512</v>
      </c>
      <c r="P720" s="2">
        <v>45600</v>
      </c>
      <c r="Q720" s="2">
        <v>45704</v>
      </c>
      <c r="R720" s="1" t="s">
        <v>846</v>
      </c>
      <c r="S720" s="1">
        <v>69</v>
      </c>
      <c r="T720" s="1">
        <v>1</v>
      </c>
      <c r="U720" s="1" t="s">
        <v>24</v>
      </c>
      <c r="V720" s="3">
        <f>tblInventory[[#This Row],[Stock_Quantity]]*tblInventory[[#This Row],[Unit_Price]]</f>
        <v>170</v>
      </c>
      <c r="W720" s="1" t="str">
        <f>IF(tblInventory[[#This Row],[Status]]="Discontinued","INACTIVE",
IF(tblInventory[[#This Row],[Stock_Quantity]] &lt; tblInventory[[#This Row],[Reorder_Level]],"REORDER","OK"))</f>
        <v>INACTIVE</v>
      </c>
      <c r="X720" s="1" t="str">
        <f t="shared" ca="1" si="23"/>
        <v>Expired</v>
      </c>
    </row>
    <row r="721" spans="1:24">
      <c r="A721" s="1">
        <v>720</v>
      </c>
      <c r="B721" s="1" t="s">
        <v>1700</v>
      </c>
      <c r="C721" s="1" t="s">
        <v>843</v>
      </c>
      <c r="D721" s="1" t="s">
        <v>17</v>
      </c>
      <c r="E721" s="1" t="s">
        <v>1701</v>
      </c>
      <c r="F721" s="1" t="s">
        <v>671</v>
      </c>
      <c r="G721" s="6">
        <v>46</v>
      </c>
      <c r="H721" s="8">
        <f>tblInventory[[#This Row],[Stock_Quantity]] * tblInventory[[#This Row],[Unit_Price]]</f>
        <v>115</v>
      </c>
      <c r="I721" s="1">
        <v>20</v>
      </c>
      <c r="J721" s="1">
        <v>30</v>
      </c>
      <c r="K721" s="8">
        <f>tblInventory[[#This Row],[Reorder_Quantity]]*M721</f>
        <v>75</v>
      </c>
      <c r="L721" s="10">
        <f>tblInventory[[#This Row],[Stock_Quantity]] / tblInventory[[#This Row],[Reorder_Quantity]]</f>
        <v>1.5333333333333334</v>
      </c>
      <c r="M721" s="3">
        <v>2.5</v>
      </c>
      <c r="N721" s="10">
        <f t="shared" si="22"/>
        <v>0.78098471986417661</v>
      </c>
      <c r="O721" s="2">
        <v>45446</v>
      </c>
      <c r="P721" s="1" t="s">
        <v>434</v>
      </c>
      <c r="Q721" s="2">
        <v>45923</v>
      </c>
      <c r="R721" s="1" t="s">
        <v>1702</v>
      </c>
      <c r="S721" s="1">
        <v>54</v>
      </c>
      <c r="T721" s="1">
        <v>24</v>
      </c>
      <c r="U721" s="1" t="s">
        <v>38</v>
      </c>
      <c r="V721" s="3">
        <f>tblInventory[[#This Row],[Stock_Quantity]]*tblInventory[[#This Row],[Unit_Price]]</f>
        <v>115</v>
      </c>
      <c r="W721" s="1" t="str">
        <f>IF(tblInventory[[#This Row],[Status]]="Discontinued","INACTIVE",
IF(tblInventory[[#This Row],[Stock_Quantity]] &lt; tblInventory[[#This Row],[Reorder_Level]],"REORDER","OK"))</f>
        <v>OK</v>
      </c>
      <c r="X721" s="1" t="str">
        <f t="shared" ca="1" si="23"/>
        <v>Expired</v>
      </c>
    </row>
    <row r="722" spans="1:24">
      <c r="A722" s="1">
        <v>721</v>
      </c>
      <c r="B722" s="1" t="s">
        <v>1930</v>
      </c>
      <c r="C722" s="1" t="s">
        <v>843</v>
      </c>
      <c r="D722" s="1" t="s">
        <v>17</v>
      </c>
      <c r="E722" s="1" t="s">
        <v>1931</v>
      </c>
      <c r="F722" s="1" t="s">
        <v>1932</v>
      </c>
      <c r="G722" s="6">
        <v>28</v>
      </c>
      <c r="H722" s="8">
        <f>tblInventory[[#This Row],[Stock_Quantity]] * tblInventory[[#This Row],[Unit_Price]]</f>
        <v>70</v>
      </c>
      <c r="I722" s="1">
        <v>24</v>
      </c>
      <c r="J722" s="1">
        <v>97</v>
      </c>
      <c r="K722" s="8">
        <f>tblInventory[[#This Row],[Reorder_Quantity]]*M722</f>
        <v>242.5</v>
      </c>
      <c r="L722" s="10">
        <f>tblInventory[[#This Row],[Stock_Quantity]] / tblInventory[[#This Row],[Reorder_Quantity]]</f>
        <v>0.28865979381443296</v>
      </c>
      <c r="M722" s="3">
        <v>2.5</v>
      </c>
      <c r="N722" s="10">
        <f t="shared" si="22"/>
        <v>0.47538200339558573</v>
      </c>
      <c r="O722" s="1" t="s">
        <v>36</v>
      </c>
      <c r="P722" s="2">
        <v>45631</v>
      </c>
      <c r="Q722" s="2">
        <v>45669</v>
      </c>
      <c r="R722" s="1" t="s">
        <v>1933</v>
      </c>
      <c r="S722" s="1">
        <v>82</v>
      </c>
      <c r="T722" s="1">
        <v>5</v>
      </c>
      <c r="U722" s="1" t="s">
        <v>24</v>
      </c>
      <c r="V722" s="3">
        <f>tblInventory[[#This Row],[Stock_Quantity]]*tblInventory[[#This Row],[Unit_Price]]</f>
        <v>70</v>
      </c>
      <c r="W722" s="1" t="str">
        <f>IF(tblInventory[[#This Row],[Status]]="Discontinued","INACTIVE",
IF(tblInventory[[#This Row],[Stock_Quantity]] &lt; tblInventory[[#This Row],[Reorder_Level]],"REORDER","OK"))</f>
        <v>INACTIVE</v>
      </c>
      <c r="X722" s="1" t="str">
        <f t="shared" ca="1" si="23"/>
        <v>Expired</v>
      </c>
    </row>
    <row r="723" spans="1:24">
      <c r="A723" s="1">
        <v>722</v>
      </c>
      <c r="B723" s="1" t="s">
        <v>2286</v>
      </c>
      <c r="C723" s="1" t="s">
        <v>843</v>
      </c>
      <c r="D723" s="1" t="s">
        <v>17</v>
      </c>
      <c r="E723" s="1" t="s">
        <v>2287</v>
      </c>
      <c r="F723" s="1" t="s">
        <v>849</v>
      </c>
      <c r="G723" s="6">
        <v>21</v>
      </c>
      <c r="H723" s="8">
        <f>tblInventory[[#This Row],[Stock_Quantity]] * tblInventory[[#This Row],[Unit_Price]]</f>
        <v>52.5</v>
      </c>
      <c r="I723" s="1">
        <v>15</v>
      </c>
      <c r="J723" s="1">
        <v>27</v>
      </c>
      <c r="K723" s="8">
        <f>tblInventory[[#This Row],[Reorder_Quantity]]*M723</f>
        <v>67.5</v>
      </c>
      <c r="L723" s="10">
        <f>tblInventory[[#This Row],[Stock_Quantity]] / tblInventory[[#This Row],[Reorder_Quantity]]</f>
        <v>0.77777777777777779</v>
      </c>
      <c r="M723" s="3">
        <v>2.5</v>
      </c>
      <c r="N723" s="10">
        <f t="shared" si="22"/>
        <v>0.35653650254668934</v>
      </c>
      <c r="O723" s="2">
        <v>45779</v>
      </c>
      <c r="P723" s="2">
        <v>45606</v>
      </c>
      <c r="Q723" s="2">
        <v>46102</v>
      </c>
      <c r="R723" s="1" t="s">
        <v>2288</v>
      </c>
      <c r="S723" s="1">
        <v>37</v>
      </c>
      <c r="T723" s="1">
        <v>41</v>
      </c>
      <c r="U723" s="1" t="s">
        <v>46</v>
      </c>
      <c r="V723" s="3">
        <f>tblInventory[[#This Row],[Stock_Quantity]]*tblInventory[[#This Row],[Unit_Price]]</f>
        <v>52.5</v>
      </c>
      <c r="W723" s="1" t="str">
        <f>IF(tblInventory[[#This Row],[Status]]="Discontinued","INACTIVE",
IF(tblInventory[[#This Row],[Stock_Quantity]] &lt; tblInventory[[#This Row],[Reorder_Level]],"REORDER","OK"))</f>
        <v>OK</v>
      </c>
      <c r="X723" s="1" t="str">
        <f t="shared" ca="1" si="23"/>
        <v>Valid</v>
      </c>
    </row>
    <row r="724" spans="1:24">
      <c r="A724" s="1">
        <v>723</v>
      </c>
      <c r="B724" s="1" t="s">
        <v>2693</v>
      </c>
      <c r="C724" s="1" t="s">
        <v>843</v>
      </c>
      <c r="D724" s="1" t="s">
        <v>17</v>
      </c>
      <c r="E724" s="1" t="s">
        <v>2694</v>
      </c>
      <c r="F724" s="1" t="s">
        <v>2083</v>
      </c>
      <c r="G724" s="6">
        <v>64</v>
      </c>
      <c r="H724" s="8">
        <f>tblInventory[[#This Row],[Stock_Quantity]] * tblInventory[[#This Row],[Unit_Price]]</f>
        <v>160</v>
      </c>
      <c r="I724" s="1">
        <v>10</v>
      </c>
      <c r="J724" s="1">
        <v>100</v>
      </c>
      <c r="K724" s="8">
        <f>tblInventory[[#This Row],[Reorder_Quantity]]*M724</f>
        <v>250</v>
      </c>
      <c r="L724" s="10">
        <f>tblInventory[[#This Row],[Stock_Quantity]] / tblInventory[[#This Row],[Reorder_Quantity]]</f>
        <v>0.64</v>
      </c>
      <c r="M724" s="3">
        <v>2.5</v>
      </c>
      <c r="N724" s="10">
        <f t="shared" si="22"/>
        <v>1.0865874363327674</v>
      </c>
      <c r="O724" s="1" t="s">
        <v>96</v>
      </c>
      <c r="P724" s="2">
        <v>45418</v>
      </c>
      <c r="Q724" s="2">
        <v>46227</v>
      </c>
      <c r="R724" s="1" t="s">
        <v>2695</v>
      </c>
      <c r="S724" s="1">
        <v>97</v>
      </c>
      <c r="T724" s="1">
        <v>52</v>
      </c>
      <c r="U724" s="1" t="s">
        <v>46</v>
      </c>
      <c r="V724" s="3">
        <f>tblInventory[[#This Row],[Stock_Quantity]]*tblInventory[[#This Row],[Unit_Price]]</f>
        <v>160</v>
      </c>
      <c r="W724" s="1" t="str">
        <f>IF(tblInventory[[#This Row],[Status]]="Discontinued","INACTIVE",
IF(tblInventory[[#This Row],[Stock_Quantity]] &lt; tblInventory[[#This Row],[Reorder_Level]],"REORDER","OK"))</f>
        <v>OK</v>
      </c>
      <c r="X724" s="1" t="str">
        <f t="shared" ca="1" si="23"/>
        <v>Valid</v>
      </c>
    </row>
    <row r="725" spans="1:24">
      <c r="A725" s="1">
        <v>724</v>
      </c>
      <c r="B725" s="1" t="s">
        <v>2893</v>
      </c>
      <c r="C725" s="1" t="s">
        <v>843</v>
      </c>
      <c r="D725" s="1" t="s">
        <v>17</v>
      </c>
      <c r="E725" s="1" t="s">
        <v>2894</v>
      </c>
      <c r="F725" s="1" t="s">
        <v>1489</v>
      </c>
      <c r="G725" s="6">
        <v>63</v>
      </c>
      <c r="H725" s="8">
        <f>tblInventory[[#This Row],[Stock_Quantity]] * tblInventory[[#This Row],[Unit_Price]]</f>
        <v>157.5</v>
      </c>
      <c r="I725" s="1">
        <v>4</v>
      </c>
      <c r="J725" s="1">
        <v>46</v>
      </c>
      <c r="K725" s="8">
        <f>tblInventory[[#This Row],[Reorder_Quantity]]*M725</f>
        <v>115</v>
      </c>
      <c r="L725" s="10">
        <f>tblInventory[[#This Row],[Stock_Quantity]] / tblInventory[[#This Row],[Reorder_Quantity]]</f>
        <v>1.3695652173913044</v>
      </c>
      <c r="M725" s="3">
        <v>2.5</v>
      </c>
      <c r="N725" s="10">
        <f t="shared" si="22"/>
        <v>1.069609507640068</v>
      </c>
      <c r="O725" s="1" t="s">
        <v>158</v>
      </c>
      <c r="P725" s="1" t="s">
        <v>519</v>
      </c>
      <c r="Q725" s="2">
        <v>46287</v>
      </c>
      <c r="R725" s="1" t="s">
        <v>2895</v>
      </c>
      <c r="S725" s="1">
        <v>40</v>
      </c>
      <c r="T725" s="1">
        <v>69</v>
      </c>
      <c r="U725" s="1" t="s">
        <v>24</v>
      </c>
      <c r="V725" s="3">
        <f>tblInventory[[#This Row],[Stock_Quantity]]*tblInventory[[#This Row],[Unit_Price]]</f>
        <v>157.5</v>
      </c>
      <c r="W725" s="1" t="str">
        <f>IF(tblInventory[[#This Row],[Status]]="Discontinued","INACTIVE",
IF(tblInventory[[#This Row],[Stock_Quantity]] &lt; tblInventory[[#This Row],[Reorder_Level]],"REORDER","OK"))</f>
        <v>INACTIVE</v>
      </c>
      <c r="X725" s="1" t="str">
        <f t="shared" ca="1" si="23"/>
        <v>Valid</v>
      </c>
    </row>
    <row r="726" spans="1:24">
      <c r="A726" s="1">
        <v>725</v>
      </c>
      <c r="B726" s="1" t="s">
        <v>3442</v>
      </c>
      <c r="C726" s="1" t="s">
        <v>843</v>
      </c>
      <c r="D726" s="1" t="s">
        <v>17</v>
      </c>
      <c r="E726" s="1" t="s">
        <v>3443</v>
      </c>
      <c r="F726" s="1" t="s">
        <v>1070</v>
      </c>
      <c r="G726" s="6">
        <v>66</v>
      </c>
      <c r="H726" s="8">
        <f>tblInventory[[#This Row],[Stock_Quantity]] * tblInventory[[#This Row],[Unit_Price]]</f>
        <v>158.4</v>
      </c>
      <c r="I726" s="1">
        <v>19</v>
      </c>
      <c r="J726" s="1">
        <v>20</v>
      </c>
      <c r="K726" s="8">
        <f>tblInventory[[#This Row],[Reorder_Quantity]]*M726</f>
        <v>48</v>
      </c>
      <c r="L726" s="10">
        <f>tblInventory[[#This Row],[Stock_Quantity]] / tblInventory[[#This Row],[Reorder_Quantity]]</f>
        <v>3.3</v>
      </c>
      <c r="M726" s="3">
        <v>2.4</v>
      </c>
      <c r="N726" s="10">
        <f t="shared" si="22"/>
        <v>1.1205432937181663</v>
      </c>
      <c r="O726" s="1" t="s">
        <v>485</v>
      </c>
      <c r="P726" s="2">
        <v>45482</v>
      </c>
      <c r="Q726" s="2">
        <v>46464</v>
      </c>
      <c r="R726" s="1" t="s">
        <v>3444</v>
      </c>
      <c r="S726" s="1">
        <v>30</v>
      </c>
      <c r="T726" s="1">
        <v>49</v>
      </c>
      <c r="U726" s="1" t="s">
        <v>46</v>
      </c>
      <c r="V726" s="3">
        <f>tblInventory[[#This Row],[Stock_Quantity]]*tblInventory[[#This Row],[Unit_Price]]</f>
        <v>158.4</v>
      </c>
      <c r="W726" s="1" t="str">
        <f>IF(tblInventory[[#This Row],[Status]]="Discontinued","INACTIVE",
IF(tblInventory[[#This Row],[Stock_Quantity]] &lt; tblInventory[[#This Row],[Reorder_Level]],"REORDER","OK"))</f>
        <v>OK</v>
      </c>
      <c r="X726" s="1" t="str">
        <f t="shared" ca="1" si="23"/>
        <v>Valid</v>
      </c>
    </row>
    <row r="727" spans="1:24">
      <c r="A727" s="1">
        <v>726</v>
      </c>
      <c r="B727" s="1" t="s">
        <v>3500</v>
      </c>
      <c r="C727" s="1" t="s">
        <v>843</v>
      </c>
      <c r="D727" s="1" t="s">
        <v>17</v>
      </c>
      <c r="E727" s="1" t="s">
        <v>3501</v>
      </c>
      <c r="F727" s="1" t="s">
        <v>719</v>
      </c>
      <c r="G727" s="6">
        <v>47</v>
      </c>
      <c r="H727" s="8">
        <f>tblInventory[[#This Row],[Stock_Quantity]] * tblInventory[[#This Row],[Unit_Price]]</f>
        <v>117.5</v>
      </c>
      <c r="I727" s="1">
        <v>30</v>
      </c>
      <c r="J727" s="1">
        <v>16</v>
      </c>
      <c r="K727" s="8">
        <f>tblInventory[[#This Row],[Reorder_Quantity]]*M727</f>
        <v>40</v>
      </c>
      <c r="L727" s="10">
        <f>tblInventory[[#This Row],[Stock_Quantity]] / tblInventory[[#This Row],[Reorder_Quantity]]</f>
        <v>2.9375</v>
      </c>
      <c r="M727" s="3">
        <v>2.5</v>
      </c>
      <c r="N727" s="10">
        <f t="shared" si="22"/>
        <v>0.79796264855687604</v>
      </c>
      <c r="O727" s="2">
        <v>45568</v>
      </c>
      <c r="P727" s="2">
        <v>45603</v>
      </c>
      <c r="Q727" s="2">
        <v>46542</v>
      </c>
      <c r="R727" s="1" t="s">
        <v>3502</v>
      </c>
      <c r="S727" s="1">
        <v>22</v>
      </c>
      <c r="T727" s="1">
        <v>81</v>
      </c>
      <c r="U727" s="1" t="s">
        <v>46</v>
      </c>
      <c r="V727" s="3">
        <f>tblInventory[[#This Row],[Stock_Quantity]]*tblInventory[[#This Row],[Unit_Price]]</f>
        <v>117.5</v>
      </c>
      <c r="W727" s="1" t="str">
        <f>IF(tblInventory[[#This Row],[Status]]="Discontinued","INACTIVE",
IF(tblInventory[[#This Row],[Stock_Quantity]] &lt; tblInventory[[#This Row],[Reorder_Level]],"REORDER","OK"))</f>
        <v>OK</v>
      </c>
      <c r="X727" s="1" t="str">
        <f t="shared" ca="1" si="23"/>
        <v>Valid</v>
      </c>
    </row>
    <row r="728" spans="1:24">
      <c r="A728" s="1">
        <v>727</v>
      </c>
      <c r="B728" s="1" t="s">
        <v>3665</v>
      </c>
      <c r="C728" s="1" t="s">
        <v>843</v>
      </c>
      <c r="D728" s="1" t="s">
        <v>17</v>
      </c>
      <c r="E728" s="1" t="s">
        <v>3666</v>
      </c>
      <c r="F728" s="1" t="s">
        <v>804</v>
      </c>
      <c r="G728" s="6">
        <v>88</v>
      </c>
      <c r="H728" s="8">
        <f>tblInventory[[#This Row],[Stock_Quantity]] * tblInventory[[#This Row],[Unit_Price]]</f>
        <v>211.2</v>
      </c>
      <c r="I728" s="1">
        <v>34</v>
      </c>
      <c r="J728" s="1">
        <v>94</v>
      </c>
      <c r="K728" s="8">
        <f>tblInventory[[#This Row],[Reorder_Quantity]]*M728</f>
        <v>225.6</v>
      </c>
      <c r="L728" s="10">
        <f>tblInventory[[#This Row],[Stock_Quantity]] / tblInventory[[#This Row],[Reorder_Quantity]]</f>
        <v>0.93617021276595747</v>
      </c>
      <c r="M728" s="3">
        <v>2.4</v>
      </c>
      <c r="N728" s="10">
        <f t="shared" si="22"/>
        <v>1.4940577249575553</v>
      </c>
      <c r="O728" s="1" t="s">
        <v>1444</v>
      </c>
      <c r="P728" s="1" t="s">
        <v>567</v>
      </c>
      <c r="Q728" s="2">
        <v>46537</v>
      </c>
      <c r="R728" s="1" t="s">
        <v>3667</v>
      </c>
      <c r="S728" s="1">
        <v>95</v>
      </c>
      <c r="T728" s="1">
        <v>63</v>
      </c>
      <c r="U728" s="1" t="s">
        <v>46</v>
      </c>
      <c r="V728" s="3">
        <f>tblInventory[[#This Row],[Stock_Quantity]]*tblInventory[[#This Row],[Unit_Price]]</f>
        <v>211.2</v>
      </c>
      <c r="W728" s="1" t="str">
        <f>IF(tblInventory[[#This Row],[Status]]="Discontinued","INACTIVE",
IF(tblInventory[[#This Row],[Stock_Quantity]] &lt; tblInventory[[#This Row],[Reorder_Level]],"REORDER","OK"))</f>
        <v>OK</v>
      </c>
      <c r="X728" s="1" t="str">
        <f t="shared" ca="1" si="23"/>
        <v>Valid</v>
      </c>
    </row>
    <row r="729" spans="1:24">
      <c r="A729" s="1">
        <v>728</v>
      </c>
      <c r="B729" s="1" t="s">
        <v>180</v>
      </c>
      <c r="C729" s="1" t="s">
        <v>181</v>
      </c>
      <c r="D729" s="1" t="s">
        <v>17</v>
      </c>
      <c r="E729" s="1" t="s">
        <v>182</v>
      </c>
      <c r="F729" s="1" t="s">
        <v>183</v>
      </c>
      <c r="G729" s="6">
        <v>31</v>
      </c>
      <c r="H729" s="8">
        <f>tblInventory[[#This Row],[Stock_Quantity]] * tblInventory[[#This Row],[Unit_Price]]</f>
        <v>46.5</v>
      </c>
      <c r="I729" s="1">
        <v>43</v>
      </c>
      <c r="J729" s="1">
        <v>80</v>
      </c>
      <c r="K729" s="8">
        <f>tblInventory[[#This Row],[Reorder_Quantity]]*M729</f>
        <v>120</v>
      </c>
      <c r="L729" s="10">
        <f>tblInventory[[#This Row],[Stock_Quantity]] / tblInventory[[#This Row],[Reorder_Quantity]]</f>
        <v>0.38750000000000001</v>
      </c>
      <c r="M729" s="3">
        <v>1.5</v>
      </c>
      <c r="N729" s="10">
        <f t="shared" si="22"/>
        <v>0.52631578947368418</v>
      </c>
      <c r="O729" s="1" t="s">
        <v>150</v>
      </c>
      <c r="P729" s="1" t="s">
        <v>184</v>
      </c>
      <c r="Q729" s="2">
        <v>45579</v>
      </c>
      <c r="R729" s="1" t="s">
        <v>186</v>
      </c>
      <c r="S729" s="1">
        <v>46</v>
      </c>
      <c r="T729" s="1">
        <v>78</v>
      </c>
      <c r="U729" s="1" t="s">
        <v>38</v>
      </c>
      <c r="V729" s="3">
        <f>tblInventory[[#This Row],[Stock_Quantity]]*tblInventory[[#This Row],[Unit_Price]]</f>
        <v>46.5</v>
      </c>
      <c r="W729" s="1" t="str">
        <f>IF(tblInventory[[#This Row],[Status]]="Discontinued","INACTIVE",
IF(tblInventory[[#This Row],[Stock_Quantity]] &lt; tblInventory[[#This Row],[Reorder_Level]],"REORDER","OK"))</f>
        <v>REORDER</v>
      </c>
      <c r="X729" s="1" t="str">
        <f t="shared" ca="1" si="23"/>
        <v>Expired</v>
      </c>
    </row>
    <row r="730" spans="1:24">
      <c r="A730" s="1">
        <v>729</v>
      </c>
      <c r="B730" s="1" t="s">
        <v>1788</v>
      </c>
      <c r="C730" s="1" t="s">
        <v>181</v>
      </c>
      <c r="D730" s="1" t="s">
        <v>17</v>
      </c>
      <c r="E730" s="1" t="s">
        <v>1789</v>
      </c>
      <c r="F730" s="1" t="s">
        <v>547</v>
      </c>
      <c r="G730" s="6">
        <v>100</v>
      </c>
      <c r="H730" s="8">
        <f>tblInventory[[#This Row],[Stock_Quantity]] * tblInventory[[#This Row],[Unit_Price]]</f>
        <v>150</v>
      </c>
      <c r="I730" s="1">
        <v>10</v>
      </c>
      <c r="J730" s="1">
        <v>89</v>
      </c>
      <c r="K730" s="8">
        <f>tblInventory[[#This Row],[Reorder_Quantity]]*M730</f>
        <v>133.5</v>
      </c>
      <c r="L730" s="10">
        <f>tblInventory[[#This Row],[Stock_Quantity]] / tblInventory[[#This Row],[Reorder_Quantity]]</f>
        <v>1.1235955056179776</v>
      </c>
      <c r="M730" s="3">
        <v>1.5</v>
      </c>
      <c r="N730" s="10">
        <f t="shared" si="22"/>
        <v>1.6977928692699491</v>
      </c>
      <c r="O730" s="1" t="s">
        <v>910</v>
      </c>
      <c r="P730" s="2">
        <v>45658</v>
      </c>
      <c r="Q730" s="2">
        <v>45950</v>
      </c>
      <c r="R730" s="1" t="s">
        <v>1790</v>
      </c>
      <c r="S730" s="1">
        <v>76</v>
      </c>
      <c r="T730" s="1">
        <v>38</v>
      </c>
      <c r="U730" s="1" t="s">
        <v>38</v>
      </c>
      <c r="V730" s="3">
        <f>tblInventory[[#This Row],[Stock_Quantity]]*tblInventory[[#This Row],[Unit_Price]]</f>
        <v>150</v>
      </c>
      <c r="W730" s="1" t="str">
        <f>IF(tblInventory[[#This Row],[Status]]="Discontinued","INACTIVE",
IF(tblInventory[[#This Row],[Stock_Quantity]] &lt; tblInventory[[#This Row],[Reorder_Level]],"REORDER","OK"))</f>
        <v>OK</v>
      </c>
      <c r="X730" s="1" t="str">
        <f t="shared" ca="1" si="23"/>
        <v>Expired</v>
      </c>
    </row>
    <row r="731" spans="1:24">
      <c r="A731" s="1">
        <v>730</v>
      </c>
      <c r="B731" s="1" t="s">
        <v>1965</v>
      </c>
      <c r="C731" s="1" t="s">
        <v>181</v>
      </c>
      <c r="D731" s="1" t="s">
        <v>17</v>
      </c>
      <c r="E731" s="1" t="s">
        <v>1966</v>
      </c>
      <c r="F731" s="1" t="s">
        <v>1399</v>
      </c>
      <c r="G731" s="6">
        <v>19</v>
      </c>
      <c r="H731" s="8">
        <f>tblInventory[[#This Row],[Stock_Quantity]] * tblInventory[[#This Row],[Unit_Price]]</f>
        <v>28.5</v>
      </c>
      <c r="I731" s="1">
        <v>81</v>
      </c>
      <c r="J731" s="1">
        <v>33</v>
      </c>
      <c r="K731" s="8">
        <f>tblInventory[[#This Row],[Reorder_Quantity]]*M731</f>
        <v>49.5</v>
      </c>
      <c r="L731" s="10">
        <f>tblInventory[[#This Row],[Stock_Quantity]] / tblInventory[[#This Row],[Reorder_Quantity]]</f>
        <v>0.5757575757575758</v>
      </c>
      <c r="M731" s="3">
        <v>1.5</v>
      </c>
      <c r="N731" s="10">
        <f t="shared" si="22"/>
        <v>0.32258064516129031</v>
      </c>
      <c r="O731" s="1" t="s">
        <v>21</v>
      </c>
      <c r="P731" s="1" t="s">
        <v>184</v>
      </c>
      <c r="Q731" s="2">
        <v>46003</v>
      </c>
      <c r="R731" s="1" t="s">
        <v>1967</v>
      </c>
      <c r="S731" s="1">
        <v>39</v>
      </c>
      <c r="T731" s="1">
        <v>85</v>
      </c>
      <c r="U731" s="1" t="s">
        <v>38</v>
      </c>
      <c r="V731" s="3">
        <f>tblInventory[[#This Row],[Stock_Quantity]]*tblInventory[[#This Row],[Unit_Price]]</f>
        <v>28.5</v>
      </c>
      <c r="W731" s="1" t="str">
        <f>IF(tblInventory[[#This Row],[Status]]="Discontinued","INACTIVE",
IF(tblInventory[[#This Row],[Stock_Quantity]] &lt; tblInventory[[#This Row],[Reorder_Level]],"REORDER","OK"))</f>
        <v>REORDER</v>
      </c>
      <c r="X731" s="1" t="str">
        <f t="shared" ca="1" si="23"/>
        <v>Valid</v>
      </c>
    </row>
    <row r="732" spans="1:24">
      <c r="A732" s="1">
        <v>731</v>
      </c>
      <c r="B732" s="1" t="s">
        <v>2531</v>
      </c>
      <c r="C732" s="1" t="s">
        <v>181</v>
      </c>
      <c r="D732" s="1" t="s">
        <v>17</v>
      </c>
      <c r="E732" s="1" t="s">
        <v>2532</v>
      </c>
      <c r="F732" s="1" t="s">
        <v>790</v>
      </c>
      <c r="G732" s="6">
        <v>72</v>
      </c>
      <c r="H732" s="8">
        <f>tblInventory[[#This Row],[Stock_Quantity]] * tblInventory[[#This Row],[Unit_Price]]</f>
        <v>108</v>
      </c>
      <c r="I732" s="1">
        <v>72</v>
      </c>
      <c r="J732" s="1">
        <v>68</v>
      </c>
      <c r="K732" s="8">
        <f>tblInventory[[#This Row],[Reorder_Quantity]]*M732</f>
        <v>102</v>
      </c>
      <c r="L732" s="10">
        <f>tblInventory[[#This Row],[Stock_Quantity]] / tblInventory[[#This Row],[Reorder_Quantity]]</f>
        <v>1.0588235294117647</v>
      </c>
      <c r="M732" s="3">
        <v>1.5</v>
      </c>
      <c r="N732" s="10">
        <f t="shared" si="22"/>
        <v>1.2224108658743633</v>
      </c>
      <c r="O732" s="1" t="s">
        <v>800</v>
      </c>
      <c r="P732" s="1" t="s">
        <v>191</v>
      </c>
      <c r="Q732" s="2">
        <v>46118</v>
      </c>
      <c r="R732" s="1" t="s">
        <v>2533</v>
      </c>
      <c r="S732" s="1">
        <v>39</v>
      </c>
      <c r="T732" s="1">
        <v>78</v>
      </c>
      <c r="U732" s="1" t="s">
        <v>46</v>
      </c>
      <c r="V732" s="3">
        <f>tblInventory[[#This Row],[Stock_Quantity]]*tblInventory[[#This Row],[Unit_Price]]</f>
        <v>108</v>
      </c>
      <c r="W732" s="1" t="str">
        <f>IF(tblInventory[[#This Row],[Status]]="Discontinued","INACTIVE",
IF(tblInventory[[#This Row],[Stock_Quantity]] &lt; tblInventory[[#This Row],[Reorder_Level]],"REORDER","OK"))</f>
        <v>OK</v>
      </c>
      <c r="X732" s="1" t="str">
        <f t="shared" ca="1" si="23"/>
        <v>Valid</v>
      </c>
    </row>
    <row r="733" spans="1:24">
      <c r="A733" s="1">
        <v>732</v>
      </c>
      <c r="B733" s="1" t="s">
        <v>3226</v>
      </c>
      <c r="C733" s="1" t="s">
        <v>181</v>
      </c>
      <c r="D733" s="1" t="s">
        <v>17</v>
      </c>
      <c r="E733" s="1" t="s">
        <v>3227</v>
      </c>
      <c r="F733" s="1" t="s">
        <v>2586</v>
      </c>
      <c r="G733" s="6">
        <v>90</v>
      </c>
      <c r="H733" s="8">
        <f>tblInventory[[#This Row],[Stock_Quantity]] * tblInventory[[#This Row],[Unit_Price]]</f>
        <v>135</v>
      </c>
      <c r="I733" s="1">
        <v>75</v>
      </c>
      <c r="J733" s="1">
        <v>43</v>
      </c>
      <c r="K733" s="8">
        <f>tblInventory[[#This Row],[Reorder_Quantity]]*M733</f>
        <v>64.5</v>
      </c>
      <c r="L733" s="10">
        <f>tblInventory[[#This Row],[Stock_Quantity]] / tblInventory[[#This Row],[Reorder_Quantity]]</f>
        <v>2.0930232558139537</v>
      </c>
      <c r="M733" s="3">
        <v>1.5</v>
      </c>
      <c r="N733" s="10">
        <f t="shared" si="22"/>
        <v>1.5280135823429541</v>
      </c>
      <c r="O733" s="1" t="s">
        <v>150</v>
      </c>
      <c r="P733" s="1" t="s">
        <v>485</v>
      </c>
      <c r="Q733" s="2">
        <v>46569</v>
      </c>
      <c r="R733" s="1" t="s">
        <v>3228</v>
      </c>
      <c r="S733" s="1">
        <v>80</v>
      </c>
      <c r="T733" s="1">
        <v>57</v>
      </c>
      <c r="U733" s="1" t="s">
        <v>24</v>
      </c>
      <c r="V733" s="3">
        <f>tblInventory[[#This Row],[Stock_Quantity]]*tblInventory[[#This Row],[Unit_Price]]</f>
        <v>135</v>
      </c>
      <c r="W733" s="1" t="str">
        <f>IF(tblInventory[[#This Row],[Status]]="Discontinued","INACTIVE",
IF(tblInventory[[#This Row],[Stock_Quantity]] &lt; tblInventory[[#This Row],[Reorder_Level]],"REORDER","OK"))</f>
        <v>INACTIVE</v>
      </c>
      <c r="X733" s="1" t="str">
        <f t="shared" ca="1" si="23"/>
        <v>Valid</v>
      </c>
    </row>
    <row r="734" spans="1:24">
      <c r="A734" s="1">
        <v>733</v>
      </c>
      <c r="B734" s="1" t="s">
        <v>593</v>
      </c>
      <c r="C734" s="1" t="s">
        <v>594</v>
      </c>
      <c r="D734" s="1" t="s">
        <v>17</v>
      </c>
      <c r="E734" s="1" t="s">
        <v>595</v>
      </c>
      <c r="F734" s="1" t="s">
        <v>127</v>
      </c>
      <c r="G734" s="6">
        <v>52</v>
      </c>
      <c r="H734" s="8">
        <f>tblInventory[[#This Row],[Stock_Quantity]] * tblInventory[[#This Row],[Unit_Price]]</f>
        <v>104</v>
      </c>
      <c r="I734" s="1">
        <v>81</v>
      </c>
      <c r="J734" s="1">
        <v>53</v>
      </c>
      <c r="K734" s="8">
        <f>tblInventory[[#This Row],[Reorder_Quantity]]*M734</f>
        <v>106</v>
      </c>
      <c r="L734" s="10">
        <f>tblInventory[[#This Row],[Stock_Quantity]] / tblInventory[[#This Row],[Reorder_Quantity]]</f>
        <v>0.98113207547169812</v>
      </c>
      <c r="M734" s="3">
        <v>2</v>
      </c>
      <c r="N734" s="10">
        <f t="shared" si="22"/>
        <v>0.88285229202037352</v>
      </c>
      <c r="O734" s="1" t="s">
        <v>596</v>
      </c>
      <c r="P734" s="1" t="s">
        <v>597</v>
      </c>
      <c r="Q734" s="2">
        <v>45651</v>
      </c>
      <c r="R734" s="1" t="s">
        <v>598</v>
      </c>
      <c r="S734" s="1">
        <v>95</v>
      </c>
      <c r="T734" s="1">
        <v>88</v>
      </c>
      <c r="U734" s="1" t="s">
        <v>38</v>
      </c>
      <c r="V734" s="3">
        <f>tblInventory[[#This Row],[Stock_Quantity]]*tblInventory[[#This Row],[Unit_Price]]</f>
        <v>104</v>
      </c>
      <c r="W734" s="1" t="str">
        <f>IF(tblInventory[[#This Row],[Status]]="Discontinued","INACTIVE",
IF(tblInventory[[#This Row],[Stock_Quantity]] &lt; tblInventory[[#This Row],[Reorder_Level]],"REORDER","OK"))</f>
        <v>REORDER</v>
      </c>
      <c r="X734" s="1" t="str">
        <f t="shared" ca="1" si="23"/>
        <v>Expired</v>
      </c>
    </row>
    <row r="735" spans="1:24">
      <c r="A735" s="1">
        <v>734</v>
      </c>
      <c r="B735" s="1" t="s">
        <v>802</v>
      </c>
      <c r="C735" s="1" t="s">
        <v>594</v>
      </c>
      <c r="D735" s="1" t="s">
        <v>17</v>
      </c>
      <c r="E735" s="1" t="s">
        <v>803</v>
      </c>
      <c r="F735" s="1" t="s">
        <v>804</v>
      </c>
      <c r="G735" s="6">
        <v>99</v>
      </c>
      <c r="H735" s="8">
        <f>tblInventory[[#This Row],[Stock_Quantity]] * tblInventory[[#This Row],[Unit_Price]]</f>
        <v>198</v>
      </c>
      <c r="I735" s="1">
        <v>44</v>
      </c>
      <c r="J735" s="1">
        <v>52</v>
      </c>
      <c r="K735" s="8">
        <f>tblInventory[[#This Row],[Reorder_Quantity]]*M735</f>
        <v>104</v>
      </c>
      <c r="L735" s="10">
        <f>tblInventory[[#This Row],[Stock_Quantity]] / tblInventory[[#This Row],[Reorder_Quantity]]</f>
        <v>1.9038461538461537</v>
      </c>
      <c r="M735" s="3">
        <v>2</v>
      </c>
      <c r="N735" s="10">
        <f t="shared" si="22"/>
        <v>1.6808149405772497</v>
      </c>
      <c r="O735" s="1" t="s">
        <v>428</v>
      </c>
      <c r="P735" s="1" t="s">
        <v>699</v>
      </c>
      <c r="Q735" s="2">
        <v>45810</v>
      </c>
      <c r="R735" s="1" t="s">
        <v>805</v>
      </c>
      <c r="S735" s="1">
        <v>36</v>
      </c>
      <c r="T735" s="1">
        <v>2</v>
      </c>
      <c r="U735" s="1" t="s">
        <v>24</v>
      </c>
      <c r="V735" s="3">
        <f>tblInventory[[#This Row],[Stock_Quantity]]*tblInventory[[#This Row],[Unit_Price]]</f>
        <v>198</v>
      </c>
      <c r="W735" s="1" t="str">
        <f>IF(tblInventory[[#This Row],[Status]]="Discontinued","INACTIVE",
IF(tblInventory[[#This Row],[Stock_Quantity]] &lt; tblInventory[[#This Row],[Reorder_Level]],"REORDER","OK"))</f>
        <v>INACTIVE</v>
      </c>
      <c r="X735" s="1" t="str">
        <f t="shared" ca="1" si="23"/>
        <v>Expired</v>
      </c>
    </row>
    <row r="736" spans="1:24">
      <c r="A736" s="1">
        <v>735</v>
      </c>
      <c r="B736" s="1" t="s">
        <v>1283</v>
      </c>
      <c r="C736" s="1" t="s">
        <v>594</v>
      </c>
      <c r="D736" s="1" t="s">
        <v>17</v>
      </c>
      <c r="E736" s="1" t="s">
        <v>1284</v>
      </c>
      <c r="F736" s="1" t="s">
        <v>581</v>
      </c>
      <c r="G736" s="6">
        <v>31</v>
      </c>
      <c r="H736" s="8">
        <f>tblInventory[[#This Row],[Stock_Quantity]] * tblInventory[[#This Row],[Unit_Price]]</f>
        <v>62</v>
      </c>
      <c r="I736" s="1">
        <v>32</v>
      </c>
      <c r="J736" s="1">
        <v>69</v>
      </c>
      <c r="K736" s="8">
        <f>tblInventory[[#This Row],[Reorder_Quantity]]*M736</f>
        <v>138</v>
      </c>
      <c r="L736" s="10">
        <f>tblInventory[[#This Row],[Stock_Quantity]] / tblInventory[[#This Row],[Reorder_Quantity]]</f>
        <v>0.44927536231884058</v>
      </c>
      <c r="M736" s="3">
        <v>2</v>
      </c>
      <c r="N736" s="10">
        <f t="shared" si="22"/>
        <v>0.52631578947368418</v>
      </c>
      <c r="O736" s="1" t="s">
        <v>434</v>
      </c>
      <c r="P736" s="2">
        <v>45388</v>
      </c>
      <c r="Q736" s="2">
        <v>45722</v>
      </c>
      <c r="R736" s="1" t="s">
        <v>1286</v>
      </c>
      <c r="S736" s="1">
        <v>38</v>
      </c>
      <c r="T736" s="1">
        <v>23</v>
      </c>
      <c r="U736" s="1" t="s">
        <v>46</v>
      </c>
      <c r="V736" s="3">
        <f>tblInventory[[#This Row],[Stock_Quantity]]*tblInventory[[#This Row],[Unit_Price]]</f>
        <v>62</v>
      </c>
      <c r="W736" s="1" t="str">
        <f>IF(tblInventory[[#This Row],[Status]]="Discontinued","INACTIVE",
IF(tblInventory[[#This Row],[Stock_Quantity]] &lt; tblInventory[[#This Row],[Reorder_Level]],"REORDER","OK"))</f>
        <v>REORDER</v>
      </c>
      <c r="X736" s="1" t="str">
        <f t="shared" ca="1" si="23"/>
        <v>Expired</v>
      </c>
    </row>
    <row r="737" spans="1:24">
      <c r="A737" s="1">
        <v>736</v>
      </c>
      <c r="B737" s="1" t="s">
        <v>1943</v>
      </c>
      <c r="C737" s="1" t="s">
        <v>594</v>
      </c>
      <c r="D737" s="1" t="s">
        <v>17</v>
      </c>
      <c r="E737" s="1" t="s">
        <v>1944</v>
      </c>
      <c r="F737" s="1" t="s">
        <v>1306</v>
      </c>
      <c r="G737" s="6">
        <v>42</v>
      </c>
      <c r="H737" s="8">
        <f>tblInventory[[#This Row],[Stock_Quantity]] * tblInventory[[#This Row],[Unit_Price]]</f>
        <v>84</v>
      </c>
      <c r="I737" s="1">
        <v>3</v>
      </c>
      <c r="J737" s="1">
        <v>21</v>
      </c>
      <c r="K737" s="8">
        <f>tblInventory[[#This Row],[Reorder_Quantity]]*M737</f>
        <v>42</v>
      </c>
      <c r="L737" s="10">
        <f>tblInventory[[#This Row],[Stock_Quantity]] / tblInventory[[#This Row],[Reorder_Quantity]]</f>
        <v>2</v>
      </c>
      <c r="M737" s="3">
        <v>2</v>
      </c>
      <c r="N737" s="10">
        <f t="shared" si="22"/>
        <v>0.71307300509337868</v>
      </c>
      <c r="O737" s="1" t="s">
        <v>22</v>
      </c>
      <c r="P737" s="1" t="s">
        <v>512</v>
      </c>
      <c r="Q737" s="2">
        <v>45789</v>
      </c>
      <c r="R737" s="1" t="s">
        <v>1945</v>
      </c>
      <c r="S737" s="1">
        <v>35</v>
      </c>
      <c r="T737" s="1">
        <v>22</v>
      </c>
      <c r="U737" s="1" t="s">
        <v>46</v>
      </c>
      <c r="V737" s="3">
        <f>tblInventory[[#This Row],[Stock_Quantity]]*tblInventory[[#This Row],[Unit_Price]]</f>
        <v>84</v>
      </c>
      <c r="W737" s="1" t="str">
        <f>IF(tblInventory[[#This Row],[Status]]="Discontinued","INACTIVE",
IF(tblInventory[[#This Row],[Stock_Quantity]] &lt; tblInventory[[#This Row],[Reorder_Level]],"REORDER","OK"))</f>
        <v>OK</v>
      </c>
      <c r="X737" s="1" t="str">
        <f t="shared" ca="1" si="23"/>
        <v>Expired</v>
      </c>
    </row>
    <row r="738" spans="1:24">
      <c r="A738" s="1">
        <v>737</v>
      </c>
      <c r="B738" s="1" t="s">
        <v>2145</v>
      </c>
      <c r="C738" s="1" t="s">
        <v>594</v>
      </c>
      <c r="D738" s="1" t="s">
        <v>17</v>
      </c>
      <c r="E738" s="1" t="s">
        <v>2146</v>
      </c>
      <c r="F738" s="1" t="s">
        <v>614</v>
      </c>
      <c r="G738" s="6">
        <v>15</v>
      </c>
      <c r="H738" s="8">
        <f>tblInventory[[#This Row],[Stock_Quantity]] * tblInventory[[#This Row],[Unit_Price]]</f>
        <v>30</v>
      </c>
      <c r="I738" s="1">
        <v>76</v>
      </c>
      <c r="J738" s="1">
        <v>81</v>
      </c>
      <c r="K738" s="8">
        <f>tblInventory[[#This Row],[Reorder_Quantity]]*M738</f>
        <v>162</v>
      </c>
      <c r="L738" s="10">
        <f>tblInventory[[#This Row],[Stock_Quantity]] / tblInventory[[#This Row],[Reorder_Quantity]]</f>
        <v>0.18518518518518517</v>
      </c>
      <c r="M738" s="3">
        <v>2</v>
      </c>
      <c r="N738" s="10">
        <f t="shared" si="22"/>
        <v>0.25466893039049238</v>
      </c>
      <c r="O738" s="1" t="s">
        <v>128</v>
      </c>
      <c r="P738" s="1" t="s">
        <v>548</v>
      </c>
      <c r="Q738" s="2">
        <v>46175</v>
      </c>
      <c r="R738" s="1" t="s">
        <v>2147</v>
      </c>
      <c r="S738" s="1">
        <v>90</v>
      </c>
      <c r="T738" s="1">
        <v>26</v>
      </c>
      <c r="U738" s="1" t="s">
        <v>38</v>
      </c>
      <c r="V738" s="3">
        <f>tblInventory[[#This Row],[Stock_Quantity]]*tblInventory[[#This Row],[Unit_Price]]</f>
        <v>30</v>
      </c>
      <c r="W738" s="1" t="str">
        <f>IF(tblInventory[[#This Row],[Status]]="Discontinued","INACTIVE",
IF(tblInventory[[#This Row],[Stock_Quantity]] &lt; tblInventory[[#This Row],[Reorder_Level]],"REORDER","OK"))</f>
        <v>REORDER</v>
      </c>
      <c r="X738" s="1" t="str">
        <f t="shared" ca="1" si="23"/>
        <v>Valid</v>
      </c>
    </row>
    <row r="739" spans="1:24">
      <c r="A739" s="1">
        <v>738</v>
      </c>
      <c r="B739" s="1" t="s">
        <v>2884</v>
      </c>
      <c r="C739" s="1" t="s">
        <v>594</v>
      </c>
      <c r="D739" s="1" t="s">
        <v>17</v>
      </c>
      <c r="E739" s="1" t="s">
        <v>2885</v>
      </c>
      <c r="F739" s="1" t="s">
        <v>601</v>
      </c>
      <c r="G739" s="6">
        <v>25</v>
      </c>
      <c r="H739" s="8">
        <f>tblInventory[[#This Row],[Stock_Quantity]] * tblInventory[[#This Row],[Unit_Price]]</f>
        <v>50</v>
      </c>
      <c r="I739" s="1">
        <v>95</v>
      </c>
      <c r="J739" s="1">
        <v>71</v>
      </c>
      <c r="K739" s="8">
        <f>tblInventory[[#This Row],[Reorder_Quantity]]*M739</f>
        <v>142</v>
      </c>
      <c r="L739" s="10">
        <f>tblInventory[[#This Row],[Stock_Quantity]] / tblInventory[[#This Row],[Reorder_Quantity]]</f>
        <v>0.352112676056338</v>
      </c>
      <c r="M739" s="3">
        <v>2</v>
      </c>
      <c r="N739" s="10">
        <f t="shared" si="22"/>
        <v>0.42444821731748728</v>
      </c>
      <c r="O739" s="1" t="s">
        <v>1060</v>
      </c>
      <c r="P739" s="2">
        <v>45542</v>
      </c>
      <c r="Q739" s="2">
        <v>46284</v>
      </c>
      <c r="R739" s="1" t="s">
        <v>2886</v>
      </c>
      <c r="S739" s="1">
        <v>24</v>
      </c>
      <c r="T739" s="1">
        <v>76</v>
      </c>
      <c r="U739" s="1" t="s">
        <v>38</v>
      </c>
      <c r="V739" s="3">
        <f>tblInventory[[#This Row],[Stock_Quantity]]*tblInventory[[#This Row],[Unit_Price]]</f>
        <v>50</v>
      </c>
      <c r="W739" s="1" t="str">
        <f>IF(tblInventory[[#This Row],[Status]]="Discontinued","INACTIVE",
IF(tblInventory[[#This Row],[Stock_Quantity]] &lt; tblInventory[[#This Row],[Reorder_Level]],"REORDER","OK"))</f>
        <v>REORDER</v>
      </c>
      <c r="X739" s="1" t="str">
        <f t="shared" ca="1" si="23"/>
        <v>Valid</v>
      </c>
    </row>
    <row r="740" spans="1:24">
      <c r="A740" s="1">
        <v>739</v>
      </c>
      <c r="B740" s="1" t="s">
        <v>3161</v>
      </c>
      <c r="C740" s="1" t="s">
        <v>594</v>
      </c>
      <c r="D740" s="1" t="s">
        <v>17</v>
      </c>
      <c r="E740" s="1" t="s">
        <v>3162</v>
      </c>
      <c r="F740" s="1" t="s">
        <v>1086</v>
      </c>
      <c r="G740" s="6">
        <v>24</v>
      </c>
      <c r="H740" s="8">
        <f>tblInventory[[#This Row],[Stock_Quantity]] * tblInventory[[#This Row],[Unit_Price]]</f>
        <v>48</v>
      </c>
      <c r="I740" s="1">
        <v>2</v>
      </c>
      <c r="J740" s="1">
        <v>49</v>
      </c>
      <c r="K740" s="8">
        <f>tblInventory[[#This Row],[Reorder_Quantity]]*M740</f>
        <v>98</v>
      </c>
      <c r="L740" s="10">
        <f>tblInventory[[#This Row],[Stock_Quantity]] / tblInventory[[#This Row],[Reorder_Quantity]]</f>
        <v>0.48979591836734693</v>
      </c>
      <c r="M740" s="3">
        <v>2</v>
      </c>
      <c r="N740" s="10">
        <f t="shared" si="22"/>
        <v>0.40747028862478779</v>
      </c>
      <c r="O740" s="2">
        <v>45328</v>
      </c>
      <c r="P740" s="1" t="s">
        <v>264</v>
      </c>
      <c r="Q740" s="2">
        <v>46373</v>
      </c>
      <c r="R740" s="1" t="s">
        <v>3163</v>
      </c>
      <c r="S740" s="1">
        <v>98</v>
      </c>
      <c r="T740" s="1">
        <v>82</v>
      </c>
      <c r="U740" s="1" t="s">
        <v>46</v>
      </c>
      <c r="V740" s="3">
        <f>tblInventory[[#This Row],[Stock_Quantity]]*tblInventory[[#This Row],[Unit_Price]]</f>
        <v>48</v>
      </c>
      <c r="W740" s="1" t="str">
        <f>IF(tblInventory[[#This Row],[Status]]="Discontinued","INACTIVE",
IF(tblInventory[[#This Row],[Stock_Quantity]] &lt; tblInventory[[#This Row],[Reorder_Level]],"REORDER","OK"))</f>
        <v>OK</v>
      </c>
      <c r="X740" s="1" t="str">
        <f t="shared" ca="1" si="23"/>
        <v>Valid</v>
      </c>
    </row>
    <row r="741" spans="1:24">
      <c r="A741" s="1">
        <v>740</v>
      </c>
      <c r="B741" s="1" t="s">
        <v>419</v>
      </c>
      <c r="C741" s="1" t="s">
        <v>420</v>
      </c>
      <c r="D741" s="1" t="s">
        <v>69</v>
      </c>
      <c r="E741" s="1" t="s">
        <v>421</v>
      </c>
      <c r="F741" s="1" t="s">
        <v>422</v>
      </c>
      <c r="G741" s="6">
        <v>51</v>
      </c>
      <c r="H741" s="8">
        <f>tblInventory[[#This Row],[Stock_Quantity]] * tblInventory[[#This Row],[Unit_Price]]</f>
        <v>306</v>
      </c>
      <c r="I741" s="1">
        <v>53</v>
      </c>
      <c r="J741" s="1">
        <v>88</v>
      </c>
      <c r="K741" s="8">
        <f>tblInventory[[#This Row],[Reorder_Quantity]]*M741</f>
        <v>528</v>
      </c>
      <c r="L741" s="10">
        <f>tblInventory[[#This Row],[Stock_Quantity]] / tblInventory[[#This Row],[Reorder_Quantity]]</f>
        <v>0.57954545454545459</v>
      </c>
      <c r="M741" s="3">
        <v>6</v>
      </c>
      <c r="N741" s="10">
        <f t="shared" si="22"/>
        <v>0.86587436332767409</v>
      </c>
      <c r="O741" s="1" t="s">
        <v>423</v>
      </c>
      <c r="P741" s="1" t="s">
        <v>115</v>
      </c>
      <c r="Q741" s="2">
        <v>45618</v>
      </c>
      <c r="R741" s="1" t="s">
        <v>425</v>
      </c>
      <c r="S741" s="1">
        <v>54</v>
      </c>
      <c r="T741" s="1">
        <v>59</v>
      </c>
      <c r="U741" s="1" t="s">
        <v>24</v>
      </c>
      <c r="V741" s="3">
        <f>tblInventory[[#This Row],[Stock_Quantity]]*tblInventory[[#This Row],[Unit_Price]]</f>
        <v>306</v>
      </c>
      <c r="W741" s="1" t="str">
        <f>IF(tblInventory[[#This Row],[Status]]="Discontinued","INACTIVE",
IF(tblInventory[[#This Row],[Stock_Quantity]] &lt; tblInventory[[#This Row],[Reorder_Level]],"REORDER","OK"))</f>
        <v>INACTIVE</v>
      </c>
      <c r="X741" s="1" t="str">
        <f t="shared" ca="1" si="23"/>
        <v>Expired</v>
      </c>
    </row>
    <row r="742" spans="1:24">
      <c r="A742" s="1">
        <v>741</v>
      </c>
      <c r="B742" s="1" t="s">
        <v>612</v>
      </c>
      <c r="C742" s="1" t="s">
        <v>420</v>
      </c>
      <c r="D742" s="1" t="s">
        <v>69</v>
      </c>
      <c r="E742" s="1" t="s">
        <v>613</v>
      </c>
      <c r="F742" s="1" t="s">
        <v>614</v>
      </c>
      <c r="G742" s="6">
        <v>66</v>
      </c>
      <c r="H742" s="8">
        <f>tblInventory[[#This Row],[Stock_Quantity]] * tblInventory[[#This Row],[Unit_Price]]</f>
        <v>396</v>
      </c>
      <c r="I742" s="1">
        <v>40</v>
      </c>
      <c r="J742" s="1">
        <v>8</v>
      </c>
      <c r="K742" s="8">
        <f>tblInventory[[#This Row],[Reorder_Quantity]]*M742</f>
        <v>48</v>
      </c>
      <c r="L742" s="10">
        <f>tblInventory[[#This Row],[Stock_Quantity]] / tblInventory[[#This Row],[Reorder_Quantity]]</f>
        <v>8.25</v>
      </c>
      <c r="M742" s="3">
        <v>6</v>
      </c>
      <c r="N742" s="10">
        <f t="shared" si="22"/>
        <v>1.1205432937181663</v>
      </c>
      <c r="O742" s="1" t="s">
        <v>597</v>
      </c>
      <c r="P742" s="1" t="s">
        <v>615</v>
      </c>
      <c r="Q742" s="2">
        <v>45654</v>
      </c>
      <c r="R742" s="1" t="s">
        <v>616</v>
      </c>
      <c r="S742" s="1">
        <v>43</v>
      </c>
      <c r="T742" s="1">
        <v>49</v>
      </c>
      <c r="U742" s="1" t="s">
        <v>46</v>
      </c>
      <c r="V742" s="3">
        <f>tblInventory[[#This Row],[Stock_Quantity]]*tblInventory[[#This Row],[Unit_Price]]</f>
        <v>396</v>
      </c>
      <c r="W742" s="1" t="str">
        <f>IF(tblInventory[[#This Row],[Status]]="Discontinued","INACTIVE",
IF(tblInventory[[#This Row],[Stock_Quantity]] &lt; tblInventory[[#This Row],[Reorder_Level]],"REORDER","OK"))</f>
        <v>OK</v>
      </c>
      <c r="X742" s="1" t="str">
        <f t="shared" ca="1" si="23"/>
        <v>Expired</v>
      </c>
    </row>
    <row r="743" spans="1:24">
      <c r="A743" s="1">
        <v>742</v>
      </c>
      <c r="B743" s="1" t="s">
        <v>1785</v>
      </c>
      <c r="C743" s="1" t="s">
        <v>420</v>
      </c>
      <c r="D743" s="1" t="s">
        <v>69</v>
      </c>
      <c r="E743" s="1" t="s">
        <v>1786</v>
      </c>
      <c r="F743" s="1" t="s">
        <v>740</v>
      </c>
      <c r="G743" s="6">
        <v>49</v>
      </c>
      <c r="H743" s="8">
        <f>tblInventory[[#This Row],[Stock_Quantity]] * tblInventory[[#This Row],[Unit_Price]]</f>
        <v>294</v>
      </c>
      <c r="I743" s="1">
        <v>94</v>
      </c>
      <c r="J743" s="1">
        <v>18</v>
      </c>
      <c r="K743" s="8">
        <f>tblInventory[[#This Row],[Reorder_Quantity]]*M743</f>
        <v>108</v>
      </c>
      <c r="L743" s="10">
        <f>tblInventory[[#This Row],[Stock_Quantity]] / tblInventory[[#This Row],[Reorder_Quantity]]</f>
        <v>2.7222222222222223</v>
      </c>
      <c r="M743" s="3">
        <v>6</v>
      </c>
      <c r="N743" s="10">
        <f t="shared" si="22"/>
        <v>0.83191850594227501</v>
      </c>
      <c r="O743" s="2">
        <v>45638</v>
      </c>
      <c r="P743" s="2">
        <v>45573</v>
      </c>
      <c r="Q743" s="2">
        <v>45949</v>
      </c>
      <c r="R743" s="1" t="s">
        <v>1787</v>
      </c>
      <c r="S743" s="1">
        <v>38</v>
      </c>
      <c r="T743" s="1">
        <v>11</v>
      </c>
      <c r="U743" s="1" t="s">
        <v>46</v>
      </c>
      <c r="V743" s="3">
        <f>tblInventory[[#This Row],[Stock_Quantity]]*tblInventory[[#This Row],[Unit_Price]]</f>
        <v>294</v>
      </c>
      <c r="W743" s="1" t="str">
        <f>IF(tblInventory[[#This Row],[Status]]="Discontinued","INACTIVE",
IF(tblInventory[[#This Row],[Stock_Quantity]] &lt; tblInventory[[#This Row],[Reorder_Level]],"REORDER","OK"))</f>
        <v>REORDER</v>
      </c>
      <c r="X743" s="1" t="str">
        <f t="shared" ca="1" si="23"/>
        <v>Expired</v>
      </c>
    </row>
    <row r="744" spans="1:24">
      <c r="A744" s="1">
        <v>743</v>
      </c>
      <c r="B744" s="1" t="s">
        <v>1813</v>
      </c>
      <c r="C744" s="1" t="s">
        <v>420</v>
      </c>
      <c r="D744" s="1" t="s">
        <v>69</v>
      </c>
      <c r="E744" s="1" t="s">
        <v>1814</v>
      </c>
      <c r="F744" s="1" t="s">
        <v>1335</v>
      </c>
      <c r="G744" s="6">
        <v>88</v>
      </c>
      <c r="H744" s="8">
        <f>tblInventory[[#This Row],[Stock_Quantity]] * tblInventory[[#This Row],[Unit_Price]]</f>
        <v>528</v>
      </c>
      <c r="I744" s="1">
        <v>4</v>
      </c>
      <c r="J744" s="1">
        <v>79</v>
      </c>
      <c r="K744" s="8">
        <f>tblInventory[[#This Row],[Reorder_Quantity]]*M744</f>
        <v>474</v>
      </c>
      <c r="L744" s="10">
        <f>tblInventory[[#This Row],[Stock_Quantity]] / tblInventory[[#This Row],[Reorder_Quantity]]</f>
        <v>1.1139240506329113</v>
      </c>
      <c r="M744" s="3">
        <v>6</v>
      </c>
      <c r="N744" s="10">
        <f t="shared" si="22"/>
        <v>1.4940577249575553</v>
      </c>
      <c r="O744" s="1" t="s">
        <v>1179</v>
      </c>
      <c r="P744" s="2">
        <v>45328</v>
      </c>
      <c r="Q744" s="2">
        <v>45957</v>
      </c>
      <c r="R744" s="1" t="s">
        <v>1815</v>
      </c>
      <c r="S744" s="1">
        <v>23</v>
      </c>
      <c r="T744" s="1">
        <v>39</v>
      </c>
      <c r="U744" s="1" t="s">
        <v>24</v>
      </c>
      <c r="V744" s="3">
        <f>tblInventory[[#This Row],[Stock_Quantity]]*tblInventory[[#This Row],[Unit_Price]]</f>
        <v>528</v>
      </c>
      <c r="W744" s="1" t="str">
        <f>IF(tblInventory[[#This Row],[Status]]="Discontinued","INACTIVE",
IF(tblInventory[[#This Row],[Stock_Quantity]] &lt; tblInventory[[#This Row],[Reorder_Level]],"REORDER","OK"))</f>
        <v>INACTIVE</v>
      </c>
      <c r="X744" s="1" t="str">
        <f t="shared" ca="1" si="23"/>
        <v>Expired</v>
      </c>
    </row>
    <row r="745" spans="1:24">
      <c r="A745" s="1">
        <v>744</v>
      </c>
      <c r="B745" s="1" t="s">
        <v>1833</v>
      </c>
      <c r="C745" s="1" t="s">
        <v>420</v>
      </c>
      <c r="D745" s="1" t="s">
        <v>69</v>
      </c>
      <c r="E745" s="1" t="s">
        <v>1834</v>
      </c>
      <c r="F745" s="1" t="s">
        <v>760</v>
      </c>
      <c r="G745" s="6">
        <v>91</v>
      </c>
      <c r="H745" s="8">
        <f>tblInventory[[#This Row],[Stock_Quantity]] * tblInventory[[#This Row],[Unit_Price]]</f>
        <v>546</v>
      </c>
      <c r="I745" s="1">
        <v>14</v>
      </c>
      <c r="J745" s="1">
        <v>99</v>
      </c>
      <c r="K745" s="8">
        <f>tblInventory[[#This Row],[Reorder_Quantity]]*M745</f>
        <v>594</v>
      </c>
      <c r="L745" s="10">
        <f>tblInventory[[#This Row],[Stock_Quantity]] / tblInventory[[#This Row],[Reorder_Quantity]]</f>
        <v>0.91919191919191923</v>
      </c>
      <c r="M745" s="3">
        <v>6</v>
      </c>
      <c r="N745" s="10">
        <f t="shared" si="22"/>
        <v>1.5449915110356538</v>
      </c>
      <c r="O745" s="2">
        <v>45932</v>
      </c>
      <c r="P745" s="1" t="s">
        <v>264</v>
      </c>
      <c r="Q745" s="2">
        <v>45699</v>
      </c>
      <c r="R745" s="1" t="s">
        <v>1835</v>
      </c>
      <c r="S745" s="1">
        <v>50</v>
      </c>
      <c r="T745" s="1">
        <v>5</v>
      </c>
      <c r="U745" s="1" t="s">
        <v>38</v>
      </c>
      <c r="V745" s="3">
        <f>tblInventory[[#This Row],[Stock_Quantity]]*tblInventory[[#This Row],[Unit_Price]]</f>
        <v>546</v>
      </c>
      <c r="W745" s="1" t="str">
        <f>IF(tblInventory[[#This Row],[Status]]="Discontinued","INACTIVE",
IF(tblInventory[[#This Row],[Stock_Quantity]] &lt; tblInventory[[#This Row],[Reorder_Level]],"REORDER","OK"))</f>
        <v>OK</v>
      </c>
      <c r="X745" s="1" t="str">
        <f t="shared" ca="1" si="23"/>
        <v>Expired</v>
      </c>
    </row>
    <row r="746" spans="1:24">
      <c r="A746" s="1">
        <v>745</v>
      </c>
      <c r="B746" s="1" t="s">
        <v>1994</v>
      </c>
      <c r="C746" s="1" t="s">
        <v>420</v>
      </c>
      <c r="D746" s="1" t="s">
        <v>69</v>
      </c>
      <c r="E746" s="1" t="s">
        <v>1995</v>
      </c>
      <c r="F746" s="1" t="s">
        <v>1237</v>
      </c>
      <c r="G746" s="6">
        <v>49</v>
      </c>
      <c r="H746" s="8">
        <f>tblInventory[[#This Row],[Stock_Quantity]] * tblInventory[[#This Row],[Unit_Price]]</f>
        <v>294</v>
      </c>
      <c r="I746" s="1">
        <v>28</v>
      </c>
      <c r="J746" s="1">
        <v>74</v>
      </c>
      <c r="K746" s="8">
        <f>tblInventory[[#This Row],[Reorder_Quantity]]*M746</f>
        <v>444</v>
      </c>
      <c r="L746" s="10">
        <f>tblInventory[[#This Row],[Stock_Quantity]] / tblInventory[[#This Row],[Reorder_Quantity]]</f>
        <v>0.66216216216216217</v>
      </c>
      <c r="M746" s="3">
        <v>6</v>
      </c>
      <c r="N746" s="10">
        <f t="shared" si="22"/>
        <v>0.83191850594227501</v>
      </c>
      <c r="O746" s="2">
        <v>45901</v>
      </c>
      <c r="P746" s="1" t="s">
        <v>1162</v>
      </c>
      <c r="Q746" s="2">
        <v>46012</v>
      </c>
      <c r="R746" s="1" t="s">
        <v>1996</v>
      </c>
      <c r="S746" s="1">
        <v>70</v>
      </c>
      <c r="T746" s="1">
        <v>38</v>
      </c>
      <c r="U746" s="1" t="s">
        <v>24</v>
      </c>
      <c r="V746" s="3">
        <f>tblInventory[[#This Row],[Stock_Quantity]]*tblInventory[[#This Row],[Unit_Price]]</f>
        <v>294</v>
      </c>
      <c r="W746" s="1" t="str">
        <f>IF(tblInventory[[#This Row],[Status]]="Discontinued","INACTIVE",
IF(tblInventory[[#This Row],[Stock_Quantity]] &lt; tblInventory[[#This Row],[Reorder_Level]],"REORDER","OK"))</f>
        <v>INACTIVE</v>
      </c>
      <c r="X746" s="1" t="str">
        <f t="shared" ca="1" si="23"/>
        <v>Valid</v>
      </c>
    </row>
    <row r="747" spans="1:24">
      <c r="A747" s="1">
        <v>746</v>
      </c>
      <c r="B747" s="1" t="s">
        <v>2239</v>
      </c>
      <c r="C747" s="1" t="s">
        <v>420</v>
      </c>
      <c r="D747" s="1" t="s">
        <v>69</v>
      </c>
      <c r="E747" s="1" t="s">
        <v>2240</v>
      </c>
      <c r="F747" s="1" t="s">
        <v>816</v>
      </c>
      <c r="G747" s="6">
        <v>50</v>
      </c>
      <c r="H747" s="8">
        <f>tblInventory[[#This Row],[Stock_Quantity]] * tblInventory[[#This Row],[Unit_Price]]</f>
        <v>310</v>
      </c>
      <c r="I747" s="1">
        <v>46</v>
      </c>
      <c r="J747" s="1">
        <v>38</v>
      </c>
      <c r="K747" s="8">
        <f>tblInventory[[#This Row],[Reorder_Quantity]]*M747</f>
        <v>235.6</v>
      </c>
      <c r="L747" s="10">
        <f>tblInventory[[#This Row],[Stock_Quantity]] / tblInventory[[#This Row],[Reorder_Quantity]]</f>
        <v>1.3157894736842106</v>
      </c>
      <c r="M747" s="3">
        <v>6.2</v>
      </c>
      <c r="N747" s="10">
        <f t="shared" si="22"/>
        <v>0.84889643463497455</v>
      </c>
      <c r="O747" s="2">
        <v>45301</v>
      </c>
      <c r="P747" s="2">
        <v>45358</v>
      </c>
      <c r="Q747" s="2">
        <v>46176</v>
      </c>
      <c r="R747" s="1" t="s">
        <v>2241</v>
      </c>
      <c r="S747" s="1">
        <v>88</v>
      </c>
      <c r="T747" s="1">
        <v>70</v>
      </c>
      <c r="U747" s="1" t="s">
        <v>46</v>
      </c>
      <c r="V747" s="3">
        <f>tblInventory[[#This Row],[Stock_Quantity]]*tblInventory[[#This Row],[Unit_Price]]</f>
        <v>310</v>
      </c>
      <c r="W747" s="1" t="str">
        <f>IF(tblInventory[[#This Row],[Status]]="Discontinued","INACTIVE",
IF(tblInventory[[#This Row],[Stock_Quantity]] &lt; tblInventory[[#This Row],[Reorder_Level]],"REORDER","OK"))</f>
        <v>OK</v>
      </c>
      <c r="X747" s="1" t="str">
        <f t="shared" ca="1" si="23"/>
        <v>Valid</v>
      </c>
    </row>
    <row r="748" spans="1:24">
      <c r="A748" s="1">
        <v>747</v>
      </c>
      <c r="B748" s="1" t="s">
        <v>2916</v>
      </c>
      <c r="C748" s="1" t="s">
        <v>420</v>
      </c>
      <c r="D748" s="1" t="s">
        <v>69</v>
      </c>
      <c r="E748" s="1" t="s">
        <v>2917</v>
      </c>
      <c r="F748" s="1" t="s">
        <v>2854</v>
      </c>
      <c r="G748" s="6">
        <v>96</v>
      </c>
      <c r="H748" s="8">
        <f>tblInventory[[#This Row],[Stock_Quantity]] * tblInventory[[#This Row],[Unit_Price]]</f>
        <v>585.59999999999991</v>
      </c>
      <c r="I748" s="1">
        <v>80</v>
      </c>
      <c r="J748" s="1">
        <v>20</v>
      </c>
      <c r="K748" s="8">
        <f>tblInventory[[#This Row],[Reorder_Quantity]]*M748</f>
        <v>122</v>
      </c>
      <c r="L748" s="10">
        <f>tblInventory[[#This Row],[Stock_Quantity]] / tblInventory[[#This Row],[Reorder_Quantity]]</f>
        <v>4.8</v>
      </c>
      <c r="M748" s="3">
        <v>6.1</v>
      </c>
      <c r="N748" s="10">
        <f t="shared" si="22"/>
        <v>1.6298811544991512</v>
      </c>
      <c r="O748" s="1" t="s">
        <v>1008</v>
      </c>
      <c r="P748" s="1" t="s">
        <v>1327</v>
      </c>
      <c r="Q748" s="2">
        <v>46294</v>
      </c>
      <c r="R748" s="1" t="s">
        <v>2918</v>
      </c>
      <c r="S748" s="1">
        <v>94</v>
      </c>
      <c r="T748" s="1">
        <v>49</v>
      </c>
      <c r="U748" s="1" t="s">
        <v>24</v>
      </c>
      <c r="V748" s="3">
        <f>tblInventory[[#This Row],[Stock_Quantity]]*tblInventory[[#This Row],[Unit_Price]]</f>
        <v>585.59999999999991</v>
      </c>
      <c r="W748" s="1" t="str">
        <f>IF(tblInventory[[#This Row],[Status]]="Discontinued","INACTIVE",
IF(tblInventory[[#This Row],[Stock_Quantity]] &lt; tblInventory[[#This Row],[Reorder_Level]],"REORDER","OK"))</f>
        <v>INACTIVE</v>
      </c>
      <c r="X748" s="1" t="str">
        <f t="shared" ca="1" si="23"/>
        <v>Valid</v>
      </c>
    </row>
    <row r="749" spans="1:24">
      <c r="A749" s="1">
        <v>748</v>
      </c>
      <c r="B749" s="1" t="s">
        <v>3296</v>
      </c>
      <c r="C749" s="1" t="s">
        <v>420</v>
      </c>
      <c r="D749" s="1" t="s">
        <v>69</v>
      </c>
      <c r="E749" s="1" t="s">
        <v>3297</v>
      </c>
      <c r="F749" s="1" t="s">
        <v>723</v>
      </c>
      <c r="G749" s="6">
        <v>64</v>
      </c>
      <c r="H749" s="8">
        <f>tblInventory[[#This Row],[Stock_Quantity]] * tblInventory[[#This Row],[Unit_Price]]</f>
        <v>384</v>
      </c>
      <c r="I749" s="1">
        <v>95</v>
      </c>
      <c r="J749" s="1">
        <v>62</v>
      </c>
      <c r="K749" s="8">
        <f>tblInventory[[#This Row],[Reorder_Quantity]]*M749</f>
        <v>372</v>
      </c>
      <c r="L749" s="10">
        <f>tblInventory[[#This Row],[Stock_Quantity]] / tblInventory[[#This Row],[Reorder_Quantity]]</f>
        <v>1.032258064516129</v>
      </c>
      <c r="M749" s="3">
        <v>6</v>
      </c>
      <c r="N749" s="10">
        <f t="shared" si="22"/>
        <v>1.0865874363327674</v>
      </c>
      <c r="O749" s="1" t="s">
        <v>89</v>
      </c>
      <c r="P749" s="1" t="s">
        <v>1119</v>
      </c>
      <c r="Q749" s="2">
        <v>46417</v>
      </c>
      <c r="R749" s="1" t="s">
        <v>3298</v>
      </c>
      <c r="S749" s="1">
        <v>55</v>
      </c>
      <c r="T749" s="1">
        <v>1</v>
      </c>
      <c r="U749" s="1" t="s">
        <v>24</v>
      </c>
      <c r="V749" s="3">
        <f>tblInventory[[#This Row],[Stock_Quantity]]*tblInventory[[#This Row],[Unit_Price]]</f>
        <v>384</v>
      </c>
      <c r="W749" s="1" t="str">
        <f>IF(tblInventory[[#This Row],[Status]]="Discontinued","INACTIVE",
IF(tblInventory[[#This Row],[Stock_Quantity]] &lt; tblInventory[[#This Row],[Reorder_Level]],"REORDER","OK"))</f>
        <v>INACTIVE</v>
      </c>
      <c r="X749" s="1" t="str">
        <f t="shared" ca="1" si="23"/>
        <v>Valid</v>
      </c>
    </row>
    <row r="750" spans="1:24">
      <c r="A750" s="1">
        <v>749</v>
      </c>
      <c r="B750" s="1" t="s">
        <v>940</v>
      </c>
      <c r="C750" s="1" t="s">
        <v>941</v>
      </c>
      <c r="D750" s="1" t="s">
        <v>27</v>
      </c>
      <c r="E750" s="1" t="s">
        <v>942</v>
      </c>
      <c r="F750" s="1" t="s">
        <v>943</v>
      </c>
      <c r="G750" s="6">
        <v>62</v>
      </c>
      <c r="H750" s="8">
        <f>tblInventory[[#This Row],[Stock_Quantity]] * tblInventory[[#This Row],[Unit_Price]]</f>
        <v>620</v>
      </c>
      <c r="I750" s="1">
        <v>78</v>
      </c>
      <c r="J750" s="1">
        <v>97</v>
      </c>
      <c r="K750" s="8">
        <f>tblInventory[[#This Row],[Reorder_Quantity]]*M750</f>
        <v>970</v>
      </c>
      <c r="L750" s="10">
        <f>tblInventory[[#This Row],[Stock_Quantity]] / tblInventory[[#This Row],[Reorder_Quantity]]</f>
        <v>0.63917525773195871</v>
      </c>
      <c r="M750" s="3">
        <v>10</v>
      </c>
      <c r="N750" s="10">
        <f t="shared" si="22"/>
        <v>1.0526315789473684</v>
      </c>
      <c r="O750" s="2">
        <v>45508</v>
      </c>
      <c r="P750" s="1" t="s">
        <v>761</v>
      </c>
      <c r="Q750" s="2">
        <v>45933</v>
      </c>
      <c r="R750" s="1" t="s">
        <v>944</v>
      </c>
      <c r="S750" s="1">
        <v>62</v>
      </c>
      <c r="T750" s="1">
        <v>97</v>
      </c>
      <c r="U750" s="1" t="s">
        <v>24</v>
      </c>
      <c r="V750" s="3">
        <f>tblInventory[[#This Row],[Stock_Quantity]]*tblInventory[[#This Row],[Unit_Price]]</f>
        <v>620</v>
      </c>
      <c r="W750" s="1" t="str">
        <f>IF(tblInventory[[#This Row],[Status]]="Discontinued","INACTIVE",
IF(tblInventory[[#This Row],[Stock_Quantity]] &lt; tblInventory[[#This Row],[Reorder_Level]],"REORDER","OK"))</f>
        <v>INACTIVE</v>
      </c>
      <c r="X750" s="1" t="str">
        <f t="shared" ca="1" si="23"/>
        <v>Expired</v>
      </c>
    </row>
    <row r="751" spans="1:24">
      <c r="A751" s="1">
        <v>750</v>
      </c>
      <c r="B751" s="1" t="s">
        <v>1063</v>
      </c>
      <c r="C751" s="1" t="s">
        <v>941</v>
      </c>
      <c r="D751" s="1" t="s">
        <v>27</v>
      </c>
      <c r="E751" s="1" t="s">
        <v>1064</v>
      </c>
      <c r="F751" s="1" t="s">
        <v>1065</v>
      </c>
      <c r="G751" s="6">
        <v>68</v>
      </c>
      <c r="H751" s="8">
        <f>tblInventory[[#This Row],[Stock_Quantity]] * tblInventory[[#This Row],[Unit_Price]]</f>
        <v>680</v>
      </c>
      <c r="I751" s="1">
        <v>12</v>
      </c>
      <c r="J751" s="1">
        <v>42</v>
      </c>
      <c r="K751" s="8">
        <f>tblInventory[[#This Row],[Reorder_Quantity]]*M751</f>
        <v>420</v>
      </c>
      <c r="L751" s="10">
        <f>tblInventory[[#This Row],[Stock_Quantity]] / tblInventory[[#This Row],[Reorder_Quantity]]</f>
        <v>1.6190476190476191</v>
      </c>
      <c r="M751" s="3">
        <v>10</v>
      </c>
      <c r="N751" s="10">
        <f t="shared" si="22"/>
        <v>1.1544991511035654</v>
      </c>
      <c r="O751" s="2">
        <v>45424</v>
      </c>
      <c r="P751" s="1" t="s">
        <v>1066</v>
      </c>
      <c r="Q751" s="2">
        <v>45904</v>
      </c>
      <c r="R751" s="1" t="s">
        <v>1067</v>
      </c>
      <c r="S751" s="1">
        <v>39</v>
      </c>
      <c r="T751" s="1">
        <v>6</v>
      </c>
      <c r="U751" s="1" t="s">
        <v>38</v>
      </c>
      <c r="V751" s="3">
        <f>tblInventory[[#This Row],[Stock_Quantity]]*tblInventory[[#This Row],[Unit_Price]]</f>
        <v>680</v>
      </c>
      <c r="W751" s="1" t="str">
        <f>IF(tblInventory[[#This Row],[Status]]="Discontinued","INACTIVE",
IF(tblInventory[[#This Row],[Stock_Quantity]] &lt; tblInventory[[#This Row],[Reorder_Level]],"REORDER","OK"))</f>
        <v>OK</v>
      </c>
      <c r="X751" s="1" t="str">
        <f t="shared" ca="1" si="23"/>
        <v>Expired</v>
      </c>
    </row>
    <row r="752" spans="1:24">
      <c r="A752" s="1">
        <v>751</v>
      </c>
      <c r="B752" s="1" t="s">
        <v>1337</v>
      </c>
      <c r="C752" s="1" t="s">
        <v>941</v>
      </c>
      <c r="D752" s="1" t="s">
        <v>27</v>
      </c>
      <c r="E752" s="1" t="s">
        <v>1338</v>
      </c>
      <c r="F752" s="1" t="s">
        <v>1339</v>
      </c>
      <c r="G752" s="6">
        <v>42</v>
      </c>
      <c r="H752" s="8">
        <f>tblInventory[[#This Row],[Stock_Quantity]] * tblInventory[[#This Row],[Unit_Price]]</f>
        <v>441</v>
      </c>
      <c r="I752" s="1">
        <v>88</v>
      </c>
      <c r="J752" s="1">
        <v>17</v>
      </c>
      <c r="K752" s="8">
        <f>tblInventory[[#This Row],[Reorder_Quantity]]*M752</f>
        <v>178.5</v>
      </c>
      <c r="L752" s="10">
        <f>tblInventory[[#This Row],[Stock_Quantity]] / tblInventory[[#This Row],[Reorder_Quantity]]</f>
        <v>2.4705882352941178</v>
      </c>
      <c r="M752" s="3">
        <v>10.5</v>
      </c>
      <c r="N752" s="10">
        <f t="shared" si="22"/>
        <v>0.71307300509337868</v>
      </c>
      <c r="O752" s="1" t="s">
        <v>95</v>
      </c>
      <c r="P752" s="2">
        <v>45455</v>
      </c>
      <c r="Q752" s="2">
        <v>45824</v>
      </c>
      <c r="R752" s="1" t="s">
        <v>1340</v>
      </c>
      <c r="S752" s="1">
        <v>34</v>
      </c>
      <c r="T752" s="1">
        <v>51</v>
      </c>
      <c r="U752" s="1" t="s">
        <v>24</v>
      </c>
      <c r="V752" s="3">
        <f>tblInventory[[#This Row],[Stock_Quantity]]*tblInventory[[#This Row],[Unit_Price]]</f>
        <v>441</v>
      </c>
      <c r="W752" s="1" t="str">
        <f>IF(tblInventory[[#This Row],[Status]]="Discontinued","INACTIVE",
IF(tblInventory[[#This Row],[Stock_Quantity]] &lt; tblInventory[[#This Row],[Reorder_Level]],"REORDER","OK"))</f>
        <v>INACTIVE</v>
      </c>
      <c r="X752" s="1" t="str">
        <f t="shared" ca="1" si="23"/>
        <v>Expired</v>
      </c>
    </row>
    <row r="753" spans="1:24">
      <c r="A753" s="1">
        <v>752</v>
      </c>
      <c r="B753" s="1" t="s">
        <v>1816</v>
      </c>
      <c r="C753" s="1" t="s">
        <v>941</v>
      </c>
      <c r="D753" s="1" t="s">
        <v>27</v>
      </c>
      <c r="E753" s="1" t="s">
        <v>1817</v>
      </c>
      <c r="F753" s="1" t="s">
        <v>1818</v>
      </c>
      <c r="G753" s="6">
        <v>14</v>
      </c>
      <c r="H753" s="8">
        <f>tblInventory[[#This Row],[Stock_Quantity]] * tblInventory[[#This Row],[Unit_Price]]</f>
        <v>140</v>
      </c>
      <c r="I753" s="1">
        <v>77</v>
      </c>
      <c r="J753" s="1">
        <v>78</v>
      </c>
      <c r="K753" s="8">
        <f>tblInventory[[#This Row],[Reorder_Quantity]]*M753</f>
        <v>780</v>
      </c>
      <c r="L753" s="10">
        <f>tblInventory[[#This Row],[Stock_Quantity]] / tblInventory[[#This Row],[Reorder_Quantity]]</f>
        <v>0.17948717948717949</v>
      </c>
      <c r="M753" s="3">
        <v>10</v>
      </c>
      <c r="N753" s="10">
        <f t="shared" si="22"/>
        <v>0.23769100169779286</v>
      </c>
      <c r="O753" s="2">
        <v>45330</v>
      </c>
      <c r="P753" s="1" t="s">
        <v>596</v>
      </c>
      <c r="Q753" s="2">
        <v>45958</v>
      </c>
      <c r="R753" s="1" t="s">
        <v>1819</v>
      </c>
      <c r="S753" s="1">
        <v>32</v>
      </c>
      <c r="T753" s="1">
        <v>24</v>
      </c>
      <c r="U753" s="1" t="s">
        <v>24</v>
      </c>
      <c r="V753" s="3">
        <f>tblInventory[[#This Row],[Stock_Quantity]]*tblInventory[[#This Row],[Unit_Price]]</f>
        <v>140</v>
      </c>
      <c r="W753" s="1" t="str">
        <f>IF(tblInventory[[#This Row],[Status]]="Discontinued","INACTIVE",
IF(tblInventory[[#This Row],[Stock_Quantity]] &lt; tblInventory[[#This Row],[Reorder_Level]],"REORDER","OK"))</f>
        <v>INACTIVE</v>
      </c>
      <c r="X753" s="1" t="str">
        <f t="shared" ca="1" si="23"/>
        <v>Expired</v>
      </c>
    </row>
    <row r="754" spans="1:24">
      <c r="A754" s="1">
        <v>753</v>
      </c>
      <c r="B754" s="1" t="s">
        <v>2329</v>
      </c>
      <c r="C754" s="1" t="s">
        <v>941</v>
      </c>
      <c r="D754" s="1" t="s">
        <v>27</v>
      </c>
      <c r="E754" s="1" t="s">
        <v>2330</v>
      </c>
      <c r="F754" s="1" t="s">
        <v>347</v>
      </c>
      <c r="G754" s="6">
        <v>59</v>
      </c>
      <c r="H754" s="8">
        <f>tblInventory[[#This Row],[Stock_Quantity]] * tblInventory[[#This Row],[Unit_Price]]</f>
        <v>607.70000000000005</v>
      </c>
      <c r="I754" s="1">
        <v>62</v>
      </c>
      <c r="J754" s="1">
        <v>57</v>
      </c>
      <c r="K754" s="8">
        <f>tblInventory[[#This Row],[Reorder_Quantity]]*M754</f>
        <v>587.1</v>
      </c>
      <c r="L754" s="10">
        <f>tblInventory[[#This Row],[Stock_Quantity]] / tblInventory[[#This Row],[Reorder_Quantity]]</f>
        <v>1.0350877192982457</v>
      </c>
      <c r="M754" s="3">
        <v>10.3</v>
      </c>
      <c r="N754" s="10">
        <f t="shared" si="22"/>
        <v>1.0016977928692701</v>
      </c>
      <c r="O754" s="2">
        <v>45605</v>
      </c>
      <c r="P754" s="1" t="s">
        <v>204</v>
      </c>
      <c r="Q754" s="2">
        <v>46116</v>
      </c>
      <c r="R754" s="1" t="s">
        <v>2331</v>
      </c>
      <c r="S754" s="1">
        <v>90</v>
      </c>
      <c r="T754" s="1">
        <v>94</v>
      </c>
      <c r="U754" s="1" t="s">
        <v>38</v>
      </c>
      <c r="V754" s="3">
        <f>tblInventory[[#This Row],[Stock_Quantity]]*tblInventory[[#This Row],[Unit_Price]]</f>
        <v>607.70000000000005</v>
      </c>
      <c r="W754" s="1" t="str">
        <f>IF(tblInventory[[#This Row],[Status]]="Discontinued","INACTIVE",
IF(tblInventory[[#This Row],[Stock_Quantity]] &lt; tblInventory[[#This Row],[Reorder_Level]],"REORDER","OK"))</f>
        <v>REORDER</v>
      </c>
      <c r="X754" s="1" t="str">
        <f t="shared" ca="1" si="23"/>
        <v>Valid</v>
      </c>
    </row>
    <row r="755" spans="1:24">
      <c r="A755" s="1">
        <v>754</v>
      </c>
      <c r="B755" s="1" t="s">
        <v>2711</v>
      </c>
      <c r="C755" s="1" t="s">
        <v>941</v>
      </c>
      <c r="D755" s="1" t="s">
        <v>27</v>
      </c>
      <c r="E755" s="1" t="s">
        <v>2712</v>
      </c>
      <c r="F755" s="1" t="s">
        <v>1646</v>
      </c>
      <c r="G755" s="6">
        <v>59</v>
      </c>
      <c r="H755" s="8">
        <f>tblInventory[[#This Row],[Stock_Quantity]] * tblInventory[[#This Row],[Unit_Price]]</f>
        <v>590</v>
      </c>
      <c r="I755" s="1">
        <v>31</v>
      </c>
      <c r="J755" s="1">
        <v>3</v>
      </c>
      <c r="K755" s="8">
        <f>tblInventory[[#This Row],[Reorder_Quantity]]*M755</f>
        <v>30</v>
      </c>
      <c r="L755" s="10">
        <f>tblInventory[[#This Row],[Stock_Quantity]] / tblInventory[[#This Row],[Reorder_Quantity]]</f>
        <v>19.666666666666668</v>
      </c>
      <c r="M755" s="3">
        <v>10</v>
      </c>
      <c r="N755" s="10">
        <f t="shared" si="22"/>
        <v>1.0016977928692701</v>
      </c>
      <c r="O755" s="1" t="s">
        <v>408</v>
      </c>
      <c r="P755" s="1" t="s">
        <v>277</v>
      </c>
      <c r="Q755" s="2">
        <v>46233</v>
      </c>
      <c r="R755" s="1" t="s">
        <v>2713</v>
      </c>
      <c r="S755" s="1">
        <v>48</v>
      </c>
      <c r="T755" s="1">
        <v>51</v>
      </c>
      <c r="U755" s="1" t="s">
        <v>46</v>
      </c>
      <c r="V755" s="3">
        <f>tblInventory[[#This Row],[Stock_Quantity]]*tblInventory[[#This Row],[Unit_Price]]</f>
        <v>590</v>
      </c>
      <c r="W755" s="1" t="str">
        <f>IF(tblInventory[[#This Row],[Status]]="Discontinued","INACTIVE",
IF(tblInventory[[#This Row],[Stock_Quantity]] &lt; tblInventory[[#This Row],[Reorder_Level]],"REORDER","OK"))</f>
        <v>OK</v>
      </c>
      <c r="X755" s="1" t="str">
        <f t="shared" ca="1" si="23"/>
        <v>Valid</v>
      </c>
    </row>
    <row r="756" spans="1:24">
      <c r="A756" s="1">
        <v>755</v>
      </c>
      <c r="B756" s="1" t="s">
        <v>2800</v>
      </c>
      <c r="C756" s="1" t="s">
        <v>941</v>
      </c>
      <c r="D756" s="1" t="s">
        <v>27</v>
      </c>
      <c r="E756" s="1" t="s">
        <v>2801</v>
      </c>
      <c r="F756" s="1" t="s">
        <v>2130</v>
      </c>
      <c r="G756" s="6">
        <v>20</v>
      </c>
      <c r="H756" s="8">
        <f>tblInventory[[#This Row],[Stock_Quantity]] * tblInventory[[#This Row],[Unit_Price]]</f>
        <v>200</v>
      </c>
      <c r="I756" s="1">
        <v>42</v>
      </c>
      <c r="J756" s="1">
        <v>45</v>
      </c>
      <c r="K756" s="8">
        <f>tblInventory[[#This Row],[Reorder_Quantity]]*M756</f>
        <v>450</v>
      </c>
      <c r="L756" s="10">
        <f>tblInventory[[#This Row],[Stock_Quantity]] / tblInventory[[#This Row],[Reorder_Quantity]]</f>
        <v>0.44444444444444442</v>
      </c>
      <c r="M756" s="3">
        <v>10</v>
      </c>
      <c r="N756" s="10">
        <f t="shared" si="22"/>
        <v>0.3395585738539898</v>
      </c>
      <c r="O756" s="1" t="s">
        <v>1615</v>
      </c>
      <c r="P756" s="1" t="s">
        <v>1060</v>
      </c>
      <c r="Q756" s="2">
        <v>46260</v>
      </c>
      <c r="R756" s="1" t="s">
        <v>2802</v>
      </c>
      <c r="S756" s="1">
        <v>72</v>
      </c>
      <c r="T756" s="1">
        <v>28</v>
      </c>
      <c r="U756" s="1" t="s">
        <v>24</v>
      </c>
      <c r="V756" s="3">
        <f>tblInventory[[#This Row],[Stock_Quantity]]*tblInventory[[#This Row],[Unit_Price]]</f>
        <v>200</v>
      </c>
      <c r="W756" s="1" t="str">
        <f>IF(tblInventory[[#This Row],[Status]]="Discontinued","INACTIVE",
IF(tblInventory[[#This Row],[Stock_Quantity]] &lt; tblInventory[[#This Row],[Reorder_Level]],"REORDER","OK"))</f>
        <v>INACTIVE</v>
      </c>
      <c r="X756" s="1" t="str">
        <f t="shared" ca="1" si="23"/>
        <v>Valid</v>
      </c>
    </row>
    <row r="757" spans="1:24">
      <c r="A757" s="1">
        <v>756</v>
      </c>
      <c r="B757" s="1" t="s">
        <v>2902</v>
      </c>
      <c r="C757" s="1" t="s">
        <v>941</v>
      </c>
      <c r="D757" s="1" t="s">
        <v>27</v>
      </c>
      <c r="E757" s="1" t="s">
        <v>2903</v>
      </c>
      <c r="F757" s="1" t="s">
        <v>2904</v>
      </c>
      <c r="G757" s="6">
        <v>74</v>
      </c>
      <c r="H757" s="8">
        <f>tblInventory[[#This Row],[Stock_Quantity]] * tblInventory[[#This Row],[Unit_Price]]</f>
        <v>740</v>
      </c>
      <c r="I757" s="1">
        <v>2</v>
      </c>
      <c r="J757" s="1">
        <v>45</v>
      </c>
      <c r="K757" s="8">
        <f>tblInventory[[#This Row],[Reorder_Quantity]]*M757</f>
        <v>450</v>
      </c>
      <c r="L757" s="10">
        <f>tblInventory[[#This Row],[Stock_Quantity]] / tblInventory[[#This Row],[Reorder_Quantity]]</f>
        <v>1.6444444444444444</v>
      </c>
      <c r="M757" s="3">
        <v>10</v>
      </c>
      <c r="N757" s="10">
        <f t="shared" si="22"/>
        <v>1.2563667232597624</v>
      </c>
      <c r="O757" s="1" t="s">
        <v>434</v>
      </c>
      <c r="P757" s="2">
        <v>45718</v>
      </c>
      <c r="Q757" s="2">
        <v>46290</v>
      </c>
      <c r="R757" s="1" t="s">
        <v>2905</v>
      </c>
      <c r="S757" s="1">
        <v>37</v>
      </c>
      <c r="T757" s="1">
        <v>99</v>
      </c>
      <c r="U757" s="1" t="s">
        <v>46</v>
      </c>
      <c r="V757" s="3">
        <f>tblInventory[[#This Row],[Stock_Quantity]]*tblInventory[[#This Row],[Unit_Price]]</f>
        <v>740</v>
      </c>
      <c r="W757" s="1" t="str">
        <f>IF(tblInventory[[#This Row],[Status]]="Discontinued","INACTIVE",
IF(tblInventory[[#This Row],[Stock_Quantity]] &lt; tblInventory[[#This Row],[Reorder_Level]],"REORDER","OK"))</f>
        <v>OK</v>
      </c>
      <c r="X757" s="1" t="str">
        <f t="shared" ca="1" si="23"/>
        <v>Valid</v>
      </c>
    </row>
    <row r="758" spans="1:24">
      <c r="A758" s="1">
        <v>757</v>
      </c>
      <c r="B758" s="1" t="s">
        <v>98</v>
      </c>
      <c r="C758" s="1" t="s">
        <v>99</v>
      </c>
      <c r="D758" s="1" t="s">
        <v>100</v>
      </c>
      <c r="E758" s="1" t="s">
        <v>101</v>
      </c>
      <c r="F758" s="1" t="s">
        <v>102</v>
      </c>
      <c r="G758" s="6">
        <v>26</v>
      </c>
      <c r="H758" s="8">
        <f>tblInventory[[#This Row],[Stock_Quantity]] * tblInventory[[#This Row],[Unit_Price]]</f>
        <v>78</v>
      </c>
      <c r="I758" s="1">
        <v>79</v>
      </c>
      <c r="J758" s="1">
        <v>31</v>
      </c>
      <c r="K758" s="8">
        <f>tblInventory[[#This Row],[Reorder_Quantity]]*M758</f>
        <v>93</v>
      </c>
      <c r="L758" s="10">
        <f>tblInventory[[#This Row],[Stock_Quantity]] / tblInventory[[#This Row],[Reorder_Quantity]]</f>
        <v>0.83870967741935487</v>
      </c>
      <c r="M758" s="3">
        <v>3</v>
      </c>
      <c r="N758" s="10">
        <f t="shared" si="22"/>
        <v>0.44142614601018676</v>
      </c>
      <c r="O758" s="1" t="s">
        <v>103</v>
      </c>
      <c r="P758" s="2">
        <v>45902</v>
      </c>
      <c r="Q758" s="2">
        <v>45301</v>
      </c>
      <c r="R758" s="1" t="s">
        <v>105</v>
      </c>
      <c r="S758" s="1">
        <v>47</v>
      </c>
      <c r="T758" s="1">
        <v>41</v>
      </c>
      <c r="U758" s="1" t="s">
        <v>24</v>
      </c>
      <c r="V758" s="3">
        <f>tblInventory[[#This Row],[Stock_Quantity]]*tblInventory[[#This Row],[Unit_Price]]</f>
        <v>78</v>
      </c>
      <c r="W758" s="1" t="str">
        <f>IF(tblInventory[[#This Row],[Status]]="Discontinued","INACTIVE",
IF(tblInventory[[#This Row],[Stock_Quantity]] &lt; tblInventory[[#This Row],[Reorder_Level]],"REORDER","OK"))</f>
        <v>INACTIVE</v>
      </c>
      <c r="X758" s="1" t="str">
        <f t="shared" ca="1" si="23"/>
        <v>Expired</v>
      </c>
    </row>
    <row r="759" spans="1:24">
      <c r="A759" s="1">
        <v>758</v>
      </c>
      <c r="B759" s="1" t="s">
        <v>992</v>
      </c>
      <c r="C759" s="1" t="s">
        <v>99</v>
      </c>
      <c r="D759" s="1" t="s">
        <v>100</v>
      </c>
      <c r="E759" s="1" t="s">
        <v>993</v>
      </c>
      <c r="F759" s="1" t="s">
        <v>994</v>
      </c>
      <c r="G759" s="6">
        <v>69</v>
      </c>
      <c r="H759" s="8">
        <f>tblInventory[[#This Row],[Stock_Quantity]] * tblInventory[[#This Row],[Unit_Price]]</f>
        <v>207</v>
      </c>
      <c r="I759" s="1">
        <v>65</v>
      </c>
      <c r="J759" s="1">
        <v>91</v>
      </c>
      <c r="K759" s="8">
        <f>tblInventory[[#This Row],[Reorder_Quantity]]*M759</f>
        <v>273</v>
      </c>
      <c r="L759" s="10">
        <f>tblInventory[[#This Row],[Stock_Quantity]] / tblInventory[[#This Row],[Reorder_Quantity]]</f>
        <v>0.75824175824175821</v>
      </c>
      <c r="M759" s="3">
        <v>3</v>
      </c>
      <c r="N759" s="10">
        <f t="shared" si="22"/>
        <v>1.1714770797962648</v>
      </c>
      <c r="O759" s="2">
        <v>45419</v>
      </c>
      <c r="P759" s="1" t="s">
        <v>909</v>
      </c>
      <c r="Q759" s="2">
        <v>45738</v>
      </c>
      <c r="R759" s="1" t="s">
        <v>995</v>
      </c>
      <c r="S759" s="1">
        <v>98</v>
      </c>
      <c r="T759" s="1">
        <v>50</v>
      </c>
      <c r="U759" s="1" t="s">
        <v>38</v>
      </c>
      <c r="V759" s="3">
        <f>tblInventory[[#This Row],[Stock_Quantity]]*tblInventory[[#This Row],[Unit_Price]]</f>
        <v>207</v>
      </c>
      <c r="W759" s="1" t="str">
        <f>IF(tblInventory[[#This Row],[Status]]="Discontinued","INACTIVE",
IF(tblInventory[[#This Row],[Stock_Quantity]] &lt; tblInventory[[#This Row],[Reorder_Level]],"REORDER","OK"))</f>
        <v>OK</v>
      </c>
      <c r="X759" s="1" t="str">
        <f t="shared" ca="1" si="23"/>
        <v>Expired</v>
      </c>
    </row>
    <row r="760" spans="1:24">
      <c r="A760" s="1">
        <v>759</v>
      </c>
      <c r="B760" s="1" t="s">
        <v>1050</v>
      </c>
      <c r="C760" s="1" t="s">
        <v>99</v>
      </c>
      <c r="D760" s="1" t="s">
        <v>100</v>
      </c>
      <c r="E760" s="1" t="s">
        <v>1051</v>
      </c>
      <c r="F760" s="1" t="s">
        <v>964</v>
      </c>
      <c r="G760" s="6">
        <v>28</v>
      </c>
      <c r="H760" s="8">
        <f>tblInventory[[#This Row],[Stock_Quantity]] * tblInventory[[#This Row],[Unit_Price]]</f>
        <v>78.399999999999991</v>
      </c>
      <c r="I760" s="1">
        <v>94</v>
      </c>
      <c r="J760" s="1">
        <v>80</v>
      </c>
      <c r="K760" s="8">
        <f>tblInventory[[#This Row],[Reorder_Quantity]]*M760</f>
        <v>224</v>
      </c>
      <c r="L760" s="10">
        <f>tblInventory[[#This Row],[Stock_Quantity]] / tblInventory[[#This Row],[Reorder_Quantity]]</f>
        <v>0.35</v>
      </c>
      <c r="M760" s="3">
        <v>2.8</v>
      </c>
      <c r="N760" s="10">
        <f t="shared" si="22"/>
        <v>0.47538200339558573</v>
      </c>
      <c r="O760" s="1" t="s">
        <v>770</v>
      </c>
      <c r="P760" s="1" t="s">
        <v>417</v>
      </c>
      <c r="Q760" s="2">
        <v>45812</v>
      </c>
      <c r="R760" s="1" t="s">
        <v>1052</v>
      </c>
      <c r="S760" s="1">
        <v>31</v>
      </c>
      <c r="T760" s="1">
        <v>1</v>
      </c>
      <c r="U760" s="1" t="s">
        <v>38</v>
      </c>
      <c r="V760" s="3">
        <f>tblInventory[[#This Row],[Stock_Quantity]]*tblInventory[[#This Row],[Unit_Price]]</f>
        <v>78.399999999999991</v>
      </c>
      <c r="W760" s="1" t="str">
        <f>IF(tblInventory[[#This Row],[Status]]="Discontinued","INACTIVE",
IF(tblInventory[[#This Row],[Stock_Quantity]] &lt; tblInventory[[#This Row],[Reorder_Level]],"REORDER","OK"))</f>
        <v>REORDER</v>
      </c>
      <c r="X760" s="1" t="str">
        <f t="shared" ca="1" si="23"/>
        <v>Expired</v>
      </c>
    </row>
    <row r="761" spans="1:24">
      <c r="A761" s="1">
        <v>760</v>
      </c>
      <c r="B761" s="1" t="s">
        <v>1603</v>
      </c>
      <c r="C761" s="1" t="s">
        <v>99</v>
      </c>
      <c r="D761" s="1" t="s">
        <v>100</v>
      </c>
      <c r="E761" s="1" t="s">
        <v>1604</v>
      </c>
      <c r="F761" s="1" t="s">
        <v>1605</v>
      </c>
      <c r="G761" s="6">
        <v>50</v>
      </c>
      <c r="H761" s="8">
        <f>tblInventory[[#This Row],[Stock_Quantity]] * tblInventory[[#This Row],[Unit_Price]]</f>
        <v>150</v>
      </c>
      <c r="I761" s="1">
        <v>56</v>
      </c>
      <c r="J761" s="1">
        <v>63</v>
      </c>
      <c r="K761" s="8">
        <f>tblInventory[[#This Row],[Reorder_Quantity]]*M761</f>
        <v>189</v>
      </c>
      <c r="L761" s="10">
        <f>tblInventory[[#This Row],[Stock_Quantity]] / tblInventory[[#This Row],[Reorder_Quantity]]</f>
        <v>0.79365079365079361</v>
      </c>
      <c r="M761" s="3">
        <v>3</v>
      </c>
      <c r="N761" s="10">
        <f t="shared" si="22"/>
        <v>0.84889643463497455</v>
      </c>
      <c r="O761" s="1" t="s">
        <v>866</v>
      </c>
      <c r="P761" s="1" t="s">
        <v>323</v>
      </c>
      <c r="Q761" s="2">
        <v>45896</v>
      </c>
      <c r="R761" s="1" t="s">
        <v>1606</v>
      </c>
      <c r="S761" s="1">
        <v>70</v>
      </c>
      <c r="T761" s="1">
        <v>100</v>
      </c>
      <c r="U761" s="1" t="s">
        <v>24</v>
      </c>
      <c r="V761" s="3">
        <f>tblInventory[[#This Row],[Stock_Quantity]]*tblInventory[[#This Row],[Unit_Price]]</f>
        <v>150</v>
      </c>
      <c r="W761" s="1" t="str">
        <f>IF(tblInventory[[#This Row],[Status]]="Discontinued","INACTIVE",
IF(tblInventory[[#This Row],[Stock_Quantity]] &lt; tblInventory[[#This Row],[Reorder_Level]],"REORDER","OK"))</f>
        <v>INACTIVE</v>
      </c>
      <c r="X761" s="1" t="str">
        <f t="shared" ca="1" si="23"/>
        <v>Expired</v>
      </c>
    </row>
    <row r="762" spans="1:24">
      <c r="A762" s="1">
        <v>761</v>
      </c>
      <c r="B762" s="1" t="s">
        <v>2065</v>
      </c>
      <c r="C762" s="1" t="s">
        <v>99</v>
      </c>
      <c r="D762" s="1" t="s">
        <v>100</v>
      </c>
      <c r="E762" s="1" t="s">
        <v>2066</v>
      </c>
      <c r="F762" s="1" t="s">
        <v>1605</v>
      </c>
      <c r="G762" s="6">
        <v>50</v>
      </c>
      <c r="H762" s="8">
        <f>tblInventory[[#This Row],[Stock_Quantity]] * tblInventory[[#This Row],[Unit_Price]]</f>
        <v>150</v>
      </c>
      <c r="I762" s="1">
        <v>58</v>
      </c>
      <c r="J762" s="1">
        <v>78</v>
      </c>
      <c r="K762" s="8">
        <f>tblInventory[[#This Row],[Reorder_Quantity]]*M762</f>
        <v>234</v>
      </c>
      <c r="L762" s="10">
        <f>tblInventory[[#This Row],[Stock_Quantity]] / tblInventory[[#This Row],[Reorder_Quantity]]</f>
        <v>0.64102564102564108</v>
      </c>
      <c r="M762" s="3">
        <v>3</v>
      </c>
      <c r="N762" s="10">
        <f t="shared" si="22"/>
        <v>0.84889643463497455</v>
      </c>
      <c r="O762" s="1" t="s">
        <v>96</v>
      </c>
      <c r="P762" s="1" t="s">
        <v>44</v>
      </c>
      <c r="Q762" s="2">
        <v>46357</v>
      </c>
      <c r="R762" s="1" t="s">
        <v>2067</v>
      </c>
      <c r="S762" s="1">
        <v>83</v>
      </c>
      <c r="T762" s="1">
        <v>49</v>
      </c>
      <c r="U762" s="1" t="s">
        <v>46</v>
      </c>
      <c r="V762" s="3">
        <f>tblInventory[[#This Row],[Stock_Quantity]]*tblInventory[[#This Row],[Unit_Price]]</f>
        <v>150</v>
      </c>
      <c r="W762" s="1" t="str">
        <f>IF(tblInventory[[#This Row],[Status]]="Discontinued","INACTIVE",
IF(tblInventory[[#This Row],[Stock_Quantity]] &lt; tblInventory[[#This Row],[Reorder_Level]],"REORDER","OK"))</f>
        <v>REORDER</v>
      </c>
      <c r="X762" s="1" t="str">
        <f t="shared" ca="1" si="23"/>
        <v>Valid</v>
      </c>
    </row>
    <row r="763" spans="1:24">
      <c r="A763" s="1">
        <v>762</v>
      </c>
      <c r="B763" s="1" t="s">
        <v>2314</v>
      </c>
      <c r="C763" s="1" t="s">
        <v>99</v>
      </c>
      <c r="D763" s="1" t="s">
        <v>100</v>
      </c>
      <c r="E763" s="1" t="s">
        <v>2315</v>
      </c>
      <c r="F763" s="1" t="s">
        <v>449</v>
      </c>
      <c r="G763" s="6">
        <v>48</v>
      </c>
      <c r="H763" s="8">
        <f>tblInventory[[#This Row],[Stock_Quantity]] * tblInventory[[#This Row],[Unit_Price]]</f>
        <v>134.39999999999998</v>
      </c>
      <c r="I763" s="1">
        <v>2</v>
      </c>
      <c r="J763" s="1">
        <v>16</v>
      </c>
      <c r="K763" s="8">
        <f>tblInventory[[#This Row],[Reorder_Quantity]]*M763</f>
        <v>44.8</v>
      </c>
      <c r="L763" s="10">
        <f>tblInventory[[#This Row],[Stock_Quantity]] / tblInventory[[#This Row],[Reorder_Quantity]]</f>
        <v>3</v>
      </c>
      <c r="M763" s="3">
        <v>2.8</v>
      </c>
      <c r="N763" s="10">
        <f t="shared" si="22"/>
        <v>0.81494057724957558</v>
      </c>
      <c r="O763" s="1" t="s">
        <v>336</v>
      </c>
      <c r="P763" s="1" t="s">
        <v>456</v>
      </c>
      <c r="Q763" s="2">
        <v>46111</v>
      </c>
      <c r="R763" s="1" t="s">
        <v>2316</v>
      </c>
      <c r="S763" s="1">
        <v>27</v>
      </c>
      <c r="T763" s="1">
        <v>1</v>
      </c>
      <c r="U763" s="1" t="s">
        <v>24</v>
      </c>
      <c r="V763" s="3">
        <f>tblInventory[[#This Row],[Stock_Quantity]]*tblInventory[[#This Row],[Unit_Price]]</f>
        <v>134.39999999999998</v>
      </c>
      <c r="W763" s="1" t="str">
        <f>IF(tblInventory[[#This Row],[Status]]="Discontinued","INACTIVE",
IF(tblInventory[[#This Row],[Stock_Quantity]] &lt; tblInventory[[#This Row],[Reorder_Level]],"REORDER","OK"))</f>
        <v>INACTIVE</v>
      </c>
      <c r="X763" s="1" t="str">
        <f t="shared" ca="1" si="23"/>
        <v>Valid</v>
      </c>
    </row>
    <row r="764" spans="1:24">
      <c r="A764" s="1">
        <v>763</v>
      </c>
      <c r="B764" s="1" t="s">
        <v>2572</v>
      </c>
      <c r="C764" s="1" t="s">
        <v>99</v>
      </c>
      <c r="D764" s="1" t="s">
        <v>100</v>
      </c>
      <c r="E764" s="1" t="s">
        <v>2573</v>
      </c>
      <c r="F764" s="1" t="s">
        <v>1065</v>
      </c>
      <c r="G764" s="6">
        <v>99</v>
      </c>
      <c r="H764" s="8">
        <f>tblInventory[[#This Row],[Stock_Quantity]] * tblInventory[[#This Row],[Unit_Price]]</f>
        <v>297</v>
      </c>
      <c r="I764" s="1">
        <v>6</v>
      </c>
      <c r="J764" s="1">
        <v>88</v>
      </c>
      <c r="K764" s="8">
        <f>tblInventory[[#This Row],[Reorder_Quantity]]*M764</f>
        <v>264</v>
      </c>
      <c r="L764" s="10">
        <f>tblInventory[[#This Row],[Stock_Quantity]] / tblInventory[[#This Row],[Reorder_Quantity]]</f>
        <v>1.125</v>
      </c>
      <c r="M764" s="3">
        <v>3</v>
      </c>
      <c r="N764" s="10">
        <f t="shared" si="22"/>
        <v>1.6808149405772497</v>
      </c>
      <c r="O764" s="1" t="s">
        <v>348</v>
      </c>
      <c r="P764" s="1" t="s">
        <v>204</v>
      </c>
      <c r="Q764" s="2">
        <v>46189</v>
      </c>
      <c r="R764" s="1" t="s">
        <v>2574</v>
      </c>
      <c r="S764" s="1">
        <v>49</v>
      </c>
      <c r="T764" s="1">
        <v>9</v>
      </c>
      <c r="U764" s="1" t="s">
        <v>46</v>
      </c>
      <c r="V764" s="3">
        <f>tblInventory[[#This Row],[Stock_Quantity]]*tblInventory[[#This Row],[Unit_Price]]</f>
        <v>297</v>
      </c>
      <c r="W764" s="1" t="str">
        <f>IF(tblInventory[[#This Row],[Status]]="Discontinued","INACTIVE",
IF(tblInventory[[#This Row],[Stock_Quantity]] &lt; tblInventory[[#This Row],[Reorder_Level]],"REORDER","OK"))</f>
        <v>OK</v>
      </c>
      <c r="X764" s="1" t="str">
        <f t="shared" ca="1" si="23"/>
        <v>Valid</v>
      </c>
    </row>
    <row r="765" spans="1:24">
      <c r="A765" s="1">
        <v>764</v>
      </c>
      <c r="B765" s="1" t="s">
        <v>2852</v>
      </c>
      <c r="C765" s="1" t="s">
        <v>99</v>
      </c>
      <c r="D765" s="1" t="s">
        <v>100</v>
      </c>
      <c r="E765" s="1" t="s">
        <v>2853</v>
      </c>
      <c r="F765" s="1" t="s">
        <v>2854</v>
      </c>
      <c r="G765" s="6">
        <v>61</v>
      </c>
      <c r="H765" s="8">
        <f>tblInventory[[#This Row],[Stock_Quantity]] * tblInventory[[#This Row],[Unit_Price]]</f>
        <v>183</v>
      </c>
      <c r="I765" s="1">
        <v>20</v>
      </c>
      <c r="J765" s="1">
        <v>29</v>
      </c>
      <c r="K765" s="8">
        <f>tblInventory[[#This Row],[Reorder_Quantity]]*M765</f>
        <v>87</v>
      </c>
      <c r="L765" s="10">
        <f>tblInventory[[#This Row],[Stock_Quantity]] / tblInventory[[#This Row],[Reorder_Quantity]]</f>
        <v>2.103448275862069</v>
      </c>
      <c r="M765" s="3">
        <v>3</v>
      </c>
      <c r="N765" s="10">
        <f t="shared" si="22"/>
        <v>1.0356536502546689</v>
      </c>
      <c r="O765" s="1" t="s">
        <v>604</v>
      </c>
      <c r="P765" s="1" t="s">
        <v>1563</v>
      </c>
      <c r="Q765" s="2">
        <v>46304</v>
      </c>
      <c r="R765" s="1" t="s">
        <v>2855</v>
      </c>
      <c r="S765" s="1">
        <v>71</v>
      </c>
      <c r="T765" s="1">
        <v>97</v>
      </c>
      <c r="U765" s="1" t="s">
        <v>38</v>
      </c>
      <c r="V765" s="3">
        <f>tblInventory[[#This Row],[Stock_Quantity]]*tblInventory[[#This Row],[Unit_Price]]</f>
        <v>183</v>
      </c>
      <c r="W765" s="1" t="str">
        <f>IF(tblInventory[[#This Row],[Status]]="Discontinued","INACTIVE",
IF(tblInventory[[#This Row],[Stock_Quantity]] &lt; tblInventory[[#This Row],[Reorder_Level]],"REORDER","OK"))</f>
        <v>OK</v>
      </c>
      <c r="X765" s="1" t="str">
        <f t="shared" ca="1" si="23"/>
        <v>Valid</v>
      </c>
    </row>
    <row r="766" spans="1:24">
      <c r="A766" s="1">
        <v>765</v>
      </c>
      <c r="B766" s="1" t="s">
        <v>1690</v>
      </c>
      <c r="C766" s="1" t="s">
        <v>1691</v>
      </c>
      <c r="D766" s="1" t="s">
        <v>155</v>
      </c>
      <c r="E766" s="1" t="s">
        <v>1692</v>
      </c>
      <c r="F766" s="1" t="s">
        <v>1456</v>
      </c>
      <c r="G766" s="6">
        <v>88</v>
      </c>
      <c r="H766" s="8">
        <f>tblInventory[[#This Row],[Stock_Quantity]] * tblInventory[[#This Row],[Unit_Price]]</f>
        <v>1320</v>
      </c>
      <c r="I766" s="1">
        <v>83</v>
      </c>
      <c r="J766" s="1">
        <v>42</v>
      </c>
      <c r="K766" s="8">
        <f>tblInventory[[#This Row],[Reorder_Quantity]]*M766</f>
        <v>630</v>
      </c>
      <c r="L766" s="10">
        <f>tblInventory[[#This Row],[Stock_Quantity]] / tblInventory[[#This Row],[Reorder_Quantity]]</f>
        <v>2.0952380952380953</v>
      </c>
      <c r="M766" s="3">
        <v>15</v>
      </c>
      <c r="N766" s="10">
        <f t="shared" si="22"/>
        <v>1.4940577249575553</v>
      </c>
      <c r="O766" s="1" t="s">
        <v>30</v>
      </c>
      <c r="P766" s="2">
        <v>45544</v>
      </c>
      <c r="Q766" s="2">
        <v>45920</v>
      </c>
      <c r="R766" s="1" t="s">
        <v>1693</v>
      </c>
      <c r="S766" s="1">
        <v>61</v>
      </c>
      <c r="T766" s="1">
        <v>59</v>
      </c>
      <c r="U766" s="1" t="s">
        <v>24</v>
      </c>
      <c r="V766" s="3">
        <f>tblInventory[[#This Row],[Stock_Quantity]]*tblInventory[[#This Row],[Unit_Price]]</f>
        <v>1320</v>
      </c>
      <c r="W766" s="1" t="str">
        <f>IF(tblInventory[[#This Row],[Status]]="Discontinued","INACTIVE",
IF(tblInventory[[#This Row],[Stock_Quantity]] &lt; tblInventory[[#This Row],[Reorder_Level]],"REORDER","OK"))</f>
        <v>INACTIVE</v>
      </c>
      <c r="X766" s="1" t="str">
        <f t="shared" ca="1" si="23"/>
        <v>Expired</v>
      </c>
    </row>
    <row r="767" spans="1:24">
      <c r="A767" s="1">
        <v>766</v>
      </c>
      <c r="B767" s="1" t="s">
        <v>2011</v>
      </c>
      <c r="C767" s="1" t="s">
        <v>1691</v>
      </c>
      <c r="D767" s="1" t="s">
        <v>155</v>
      </c>
      <c r="E767" s="1" t="s">
        <v>2012</v>
      </c>
      <c r="F767" s="1" t="s">
        <v>1074</v>
      </c>
      <c r="G767" s="6">
        <v>49</v>
      </c>
      <c r="H767" s="8">
        <f>tblInventory[[#This Row],[Stock_Quantity]] * tblInventory[[#This Row],[Unit_Price]]</f>
        <v>735</v>
      </c>
      <c r="I767" s="1">
        <v>48</v>
      </c>
      <c r="J767" s="1">
        <v>62</v>
      </c>
      <c r="K767" s="8">
        <f>tblInventory[[#This Row],[Reorder_Quantity]]*M767</f>
        <v>930</v>
      </c>
      <c r="L767" s="10">
        <f>tblInventory[[#This Row],[Stock_Quantity]] / tblInventory[[#This Row],[Reorder_Quantity]]</f>
        <v>0.79032258064516125</v>
      </c>
      <c r="M767" s="3">
        <v>15</v>
      </c>
      <c r="N767" s="10">
        <f t="shared" si="22"/>
        <v>0.83191850594227501</v>
      </c>
      <c r="O767" s="1" t="s">
        <v>1031</v>
      </c>
      <c r="P767" s="1" t="s">
        <v>622</v>
      </c>
      <c r="Q767" s="2">
        <v>46017</v>
      </c>
      <c r="R767" s="1" t="s">
        <v>2013</v>
      </c>
      <c r="S767" s="1">
        <v>96</v>
      </c>
      <c r="T767" s="1">
        <v>37</v>
      </c>
      <c r="U767" s="1" t="s">
        <v>46</v>
      </c>
      <c r="V767" s="3">
        <f>tblInventory[[#This Row],[Stock_Quantity]]*tblInventory[[#This Row],[Unit_Price]]</f>
        <v>735</v>
      </c>
      <c r="W767" s="1" t="str">
        <f>IF(tblInventory[[#This Row],[Status]]="Discontinued","INACTIVE",
IF(tblInventory[[#This Row],[Stock_Quantity]] &lt; tblInventory[[#This Row],[Reorder_Level]],"REORDER","OK"))</f>
        <v>OK</v>
      </c>
      <c r="X767" s="1" t="str">
        <f t="shared" ca="1" si="23"/>
        <v>Valid</v>
      </c>
    </row>
    <row r="768" spans="1:24">
      <c r="A768" s="1">
        <v>767</v>
      </c>
      <c r="B768" s="1" t="s">
        <v>2490</v>
      </c>
      <c r="C768" s="1" t="s">
        <v>1691</v>
      </c>
      <c r="D768" s="1" t="s">
        <v>155</v>
      </c>
      <c r="E768" s="1" t="s">
        <v>2491</v>
      </c>
      <c r="F768" s="1" t="s">
        <v>2492</v>
      </c>
      <c r="G768" s="6">
        <v>79</v>
      </c>
      <c r="H768" s="8">
        <f>tblInventory[[#This Row],[Stock_Quantity]] * tblInventory[[#This Row],[Unit_Price]]</f>
        <v>1185</v>
      </c>
      <c r="I768" s="1">
        <v>28</v>
      </c>
      <c r="J768" s="1">
        <v>4</v>
      </c>
      <c r="K768" s="8">
        <f>tblInventory[[#This Row],[Reorder_Quantity]]*M768</f>
        <v>60</v>
      </c>
      <c r="L768" s="10">
        <f>tblInventory[[#This Row],[Stock_Quantity]] / tblInventory[[#This Row],[Reorder_Quantity]]</f>
        <v>19.75</v>
      </c>
      <c r="M768" s="3">
        <v>15</v>
      </c>
      <c r="N768" s="10">
        <f t="shared" si="22"/>
        <v>1.3412563667232598</v>
      </c>
      <c r="O768" s="2">
        <v>45659</v>
      </c>
      <c r="P768" s="1" t="s">
        <v>536</v>
      </c>
      <c r="Q768" s="2">
        <v>46165</v>
      </c>
      <c r="R768" s="1" t="s">
        <v>2493</v>
      </c>
      <c r="S768" s="1">
        <v>42</v>
      </c>
      <c r="T768" s="1">
        <v>46</v>
      </c>
      <c r="U768" s="1" t="s">
        <v>46</v>
      </c>
      <c r="V768" s="3">
        <f>tblInventory[[#This Row],[Stock_Quantity]]*tblInventory[[#This Row],[Unit_Price]]</f>
        <v>1185</v>
      </c>
      <c r="W768" s="1" t="str">
        <f>IF(tblInventory[[#This Row],[Status]]="Discontinued","INACTIVE",
IF(tblInventory[[#This Row],[Stock_Quantity]] &lt; tblInventory[[#This Row],[Reorder_Level]],"REORDER","OK"))</f>
        <v>OK</v>
      </c>
      <c r="X768" s="1" t="str">
        <f t="shared" ca="1" si="23"/>
        <v>Valid</v>
      </c>
    </row>
    <row r="769" spans="1:24">
      <c r="A769" s="1">
        <v>768</v>
      </c>
      <c r="B769" s="1" t="s">
        <v>2650</v>
      </c>
      <c r="C769" s="1" t="s">
        <v>1691</v>
      </c>
      <c r="D769" s="1" t="s">
        <v>155</v>
      </c>
      <c r="E769" s="1" t="s">
        <v>2651</v>
      </c>
      <c r="F769" s="1" t="s">
        <v>1448</v>
      </c>
      <c r="G769" s="6">
        <v>88</v>
      </c>
      <c r="H769" s="8">
        <f>tblInventory[[#This Row],[Stock_Quantity]] * tblInventory[[#This Row],[Unit_Price]]</f>
        <v>1320</v>
      </c>
      <c r="I769" s="1">
        <v>40</v>
      </c>
      <c r="J769" s="1">
        <v>29</v>
      </c>
      <c r="K769" s="8">
        <f>tblInventory[[#This Row],[Reorder_Quantity]]*M769</f>
        <v>435</v>
      </c>
      <c r="L769" s="10">
        <f>tblInventory[[#This Row],[Stock_Quantity]] / tblInventory[[#This Row],[Reorder_Quantity]]</f>
        <v>3.0344827586206895</v>
      </c>
      <c r="M769" s="3">
        <v>15</v>
      </c>
      <c r="N769" s="10">
        <f t="shared" si="22"/>
        <v>1.4940577249575553</v>
      </c>
      <c r="O769" s="1" t="s">
        <v>198</v>
      </c>
      <c r="P769" s="1" t="s">
        <v>197</v>
      </c>
      <c r="Q769" s="2">
        <v>46333</v>
      </c>
      <c r="R769" s="1" t="s">
        <v>2652</v>
      </c>
      <c r="S769" s="1">
        <v>96</v>
      </c>
      <c r="T769" s="1">
        <v>87</v>
      </c>
      <c r="U769" s="1" t="s">
        <v>24</v>
      </c>
      <c r="V769" s="3">
        <f>tblInventory[[#This Row],[Stock_Quantity]]*tblInventory[[#This Row],[Unit_Price]]</f>
        <v>1320</v>
      </c>
      <c r="W769" s="1" t="str">
        <f>IF(tblInventory[[#This Row],[Status]]="Discontinued","INACTIVE",
IF(tblInventory[[#This Row],[Stock_Quantity]] &lt; tblInventory[[#This Row],[Reorder_Level]],"REORDER","OK"))</f>
        <v>INACTIVE</v>
      </c>
      <c r="X769" s="1" t="str">
        <f t="shared" ca="1" si="23"/>
        <v>Valid</v>
      </c>
    </row>
    <row r="770" spans="1:24">
      <c r="A770" s="1">
        <v>769</v>
      </c>
      <c r="B770" s="1" t="s">
        <v>2811</v>
      </c>
      <c r="C770" s="1" t="s">
        <v>1691</v>
      </c>
      <c r="D770" s="1" t="s">
        <v>155</v>
      </c>
      <c r="E770" s="1" t="s">
        <v>2812</v>
      </c>
      <c r="F770" s="1" t="s">
        <v>2813</v>
      </c>
      <c r="G770" s="6">
        <v>73</v>
      </c>
      <c r="H770" s="8">
        <f>tblInventory[[#This Row],[Stock_Quantity]] * tblInventory[[#This Row],[Unit_Price]]</f>
        <v>1095</v>
      </c>
      <c r="I770" s="1">
        <v>12</v>
      </c>
      <c r="J770" s="1">
        <v>28</v>
      </c>
      <c r="K770" s="8">
        <f>tblInventory[[#This Row],[Reorder_Quantity]]*M770</f>
        <v>420</v>
      </c>
      <c r="L770" s="10">
        <f>tblInventory[[#This Row],[Stock_Quantity]] / tblInventory[[#This Row],[Reorder_Quantity]]</f>
        <v>2.6071428571428572</v>
      </c>
      <c r="M770" s="3">
        <v>15</v>
      </c>
      <c r="N770" s="10">
        <f t="shared" ref="N770:N833" si="24">G770 / 58.9</f>
        <v>1.2393887945670627</v>
      </c>
      <c r="O770" s="1" t="s">
        <v>408</v>
      </c>
      <c r="P770" s="2">
        <v>45510</v>
      </c>
      <c r="Q770" s="2">
        <v>46263</v>
      </c>
      <c r="R770" s="1" t="s">
        <v>2814</v>
      </c>
      <c r="S770" s="1">
        <v>89</v>
      </c>
      <c r="T770" s="1">
        <v>92</v>
      </c>
      <c r="U770" s="1" t="s">
        <v>46</v>
      </c>
      <c r="V770" s="3">
        <f>tblInventory[[#This Row],[Stock_Quantity]]*tblInventory[[#This Row],[Unit_Price]]</f>
        <v>1095</v>
      </c>
      <c r="W770" s="1" t="str">
        <f>IF(tblInventory[[#This Row],[Status]]="Discontinued","INACTIVE",
IF(tblInventory[[#This Row],[Stock_Quantity]] &lt; tblInventory[[#This Row],[Reorder_Level]],"REORDER","OK"))</f>
        <v>OK</v>
      </c>
      <c r="X770" s="1" t="str">
        <f t="shared" ref="X770:X833" ca="1" si="25">IF(Q770&lt;TODAY(),"Expired","Valid")</f>
        <v>Valid</v>
      </c>
    </row>
    <row r="771" spans="1:24">
      <c r="A771" s="1">
        <v>770</v>
      </c>
      <c r="B771" s="1" t="s">
        <v>2925</v>
      </c>
      <c r="C771" s="1" t="s">
        <v>1691</v>
      </c>
      <c r="D771" s="1" t="s">
        <v>155</v>
      </c>
      <c r="E771" s="1" t="s">
        <v>2926</v>
      </c>
      <c r="F771" s="1" t="s">
        <v>823</v>
      </c>
      <c r="G771" s="6">
        <v>52</v>
      </c>
      <c r="H771" s="8">
        <f>tblInventory[[#This Row],[Stock_Quantity]] * tblInventory[[#This Row],[Unit_Price]]</f>
        <v>780</v>
      </c>
      <c r="I771" s="1">
        <v>46</v>
      </c>
      <c r="J771" s="1">
        <v>12</v>
      </c>
      <c r="K771" s="8">
        <f>tblInventory[[#This Row],[Reorder_Quantity]]*M771</f>
        <v>180</v>
      </c>
      <c r="L771" s="10">
        <f>tblInventory[[#This Row],[Stock_Quantity]] / tblInventory[[#This Row],[Reorder_Quantity]]</f>
        <v>4.333333333333333</v>
      </c>
      <c r="M771" s="3">
        <v>15</v>
      </c>
      <c r="N771" s="10">
        <f t="shared" si="24"/>
        <v>0.88285229202037352</v>
      </c>
      <c r="O771" s="1" t="s">
        <v>88</v>
      </c>
      <c r="P771" s="2">
        <v>45388</v>
      </c>
      <c r="Q771" s="2">
        <v>46063</v>
      </c>
      <c r="R771" s="1" t="s">
        <v>2927</v>
      </c>
      <c r="S771" s="1">
        <v>43</v>
      </c>
      <c r="T771" s="1">
        <v>34</v>
      </c>
      <c r="U771" s="1" t="s">
        <v>38</v>
      </c>
      <c r="V771" s="3">
        <f>tblInventory[[#This Row],[Stock_Quantity]]*tblInventory[[#This Row],[Unit_Price]]</f>
        <v>780</v>
      </c>
      <c r="W771" s="1" t="str">
        <f>IF(tblInventory[[#This Row],[Status]]="Discontinued","INACTIVE",
IF(tblInventory[[#This Row],[Stock_Quantity]] &lt; tblInventory[[#This Row],[Reorder_Level]],"REORDER","OK"))</f>
        <v>OK</v>
      </c>
      <c r="X771" s="1" t="str">
        <f t="shared" ca="1" si="25"/>
        <v>Valid</v>
      </c>
    </row>
    <row r="772" spans="1:24">
      <c r="A772" s="1">
        <v>771</v>
      </c>
      <c r="B772" s="1" t="s">
        <v>2974</v>
      </c>
      <c r="C772" s="1" t="s">
        <v>1691</v>
      </c>
      <c r="D772" s="1" t="s">
        <v>155</v>
      </c>
      <c r="E772" s="1" t="s">
        <v>2975</v>
      </c>
      <c r="F772" s="1" t="s">
        <v>231</v>
      </c>
      <c r="G772" s="6">
        <v>98</v>
      </c>
      <c r="H772" s="8">
        <f>tblInventory[[#This Row],[Stock_Quantity]] * tblInventory[[#This Row],[Unit_Price]]</f>
        <v>1470</v>
      </c>
      <c r="I772" s="1">
        <v>67</v>
      </c>
      <c r="J772" s="1">
        <v>49</v>
      </c>
      <c r="K772" s="8">
        <f>tblInventory[[#This Row],[Reorder_Quantity]]*M772</f>
        <v>735</v>
      </c>
      <c r="L772" s="10">
        <f>tblInventory[[#This Row],[Stock_Quantity]] / tblInventory[[#This Row],[Reorder_Quantity]]</f>
        <v>2</v>
      </c>
      <c r="M772" s="3">
        <v>15</v>
      </c>
      <c r="N772" s="10">
        <f t="shared" si="24"/>
        <v>1.66383701188455</v>
      </c>
      <c r="O772" s="2">
        <v>45543</v>
      </c>
      <c r="P772" s="1" t="s">
        <v>621</v>
      </c>
      <c r="Q772" s="2">
        <v>46313</v>
      </c>
      <c r="R772" s="1" t="s">
        <v>2976</v>
      </c>
      <c r="S772" s="1">
        <v>21</v>
      </c>
      <c r="T772" s="1">
        <v>61</v>
      </c>
      <c r="U772" s="1" t="s">
        <v>46</v>
      </c>
      <c r="V772" s="3">
        <f>tblInventory[[#This Row],[Stock_Quantity]]*tblInventory[[#This Row],[Unit_Price]]</f>
        <v>1470</v>
      </c>
      <c r="W772" s="1" t="str">
        <f>IF(tblInventory[[#This Row],[Status]]="Discontinued","INACTIVE",
IF(tblInventory[[#This Row],[Stock_Quantity]] &lt; tblInventory[[#This Row],[Reorder_Level]],"REORDER","OK"))</f>
        <v>OK</v>
      </c>
      <c r="X772" s="1" t="str">
        <f t="shared" ca="1" si="25"/>
        <v>Valid</v>
      </c>
    </row>
    <row r="773" spans="1:24">
      <c r="A773" s="1">
        <v>772</v>
      </c>
      <c r="B773" s="1" t="s">
        <v>3098</v>
      </c>
      <c r="C773" s="1" t="s">
        <v>1691</v>
      </c>
      <c r="D773" s="1" t="s">
        <v>155</v>
      </c>
      <c r="E773" s="1" t="s">
        <v>3099</v>
      </c>
      <c r="F773" s="1" t="s">
        <v>1948</v>
      </c>
      <c r="G773" s="6">
        <v>78</v>
      </c>
      <c r="H773" s="8">
        <f>tblInventory[[#This Row],[Stock_Quantity]] * tblInventory[[#This Row],[Unit_Price]]</f>
        <v>1170</v>
      </c>
      <c r="I773" s="1">
        <v>68</v>
      </c>
      <c r="J773" s="1">
        <v>86</v>
      </c>
      <c r="K773" s="8">
        <f>tblInventory[[#This Row],[Reorder_Quantity]]*M773</f>
        <v>1290</v>
      </c>
      <c r="L773" s="10">
        <f>tblInventory[[#This Row],[Stock_Quantity]] / tblInventory[[#This Row],[Reorder_Quantity]]</f>
        <v>0.90697674418604646</v>
      </c>
      <c r="M773" s="3">
        <v>15</v>
      </c>
      <c r="N773" s="10">
        <f t="shared" si="24"/>
        <v>1.3242784380305603</v>
      </c>
      <c r="O773" s="1" t="s">
        <v>681</v>
      </c>
      <c r="P773" s="1" t="s">
        <v>278</v>
      </c>
      <c r="Q773" s="2">
        <v>46353</v>
      </c>
      <c r="R773" s="1" t="s">
        <v>3100</v>
      </c>
      <c r="S773" s="1">
        <v>47</v>
      </c>
      <c r="T773" s="1">
        <v>95</v>
      </c>
      <c r="U773" s="1" t="s">
        <v>24</v>
      </c>
      <c r="V773" s="3">
        <f>tblInventory[[#This Row],[Stock_Quantity]]*tblInventory[[#This Row],[Unit_Price]]</f>
        <v>1170</v>
      </c>
      <c r="W773" s="1" t="str">
        <f>IF(tblInventory[[#This Row],[Status]]="Discontinued","INACTIVE",
IF(tblInventory[[#This Row],[Stock_Quantity]] &lt; tblInventory[[#This Row],[Reorder_Level]],"REORDER","OK"))</f>
        <v>INACTIVE</v>
      </c>
      <c r="X773" s="1" t="str">
        <f t="shared" ca="1" si="25"/>
        <v>Valid</v>
      </c>
    </row>
    <row r="774" spans="1:24">
      <c r="A774" s="1">
        <v>773</v>
      </c>
      <c r="B774" s="1" t="s">
        <v>385</v>
      </c>
      <c r="C774" s="1" t="s">
        <v>386</v>
      </c>
      <c r="D774" s="1" t="s">
        <v>155</v>
      </c>
      <c r="E774" s="1" t="s">
        <v>387</v>
      </c>
      <c r="F774" s="1" t="s">
        <v>388</v>
      </c>
      <c r="G774" s="6">
        <v>91</v>
      </c>
      <c r="H774" s="8">
        <f>tblInventory[[#This Row],[Stock_Quantity]] * tblInventory[[#This Row],[Unit_Price]]</f>
        <v>546</v>
      </c>
      <c r="I774" s="1">
        <v>59</v>
      </c>
      <c r="J774" s="1">
        <v>49</v>
      </c>
      <c r="K774" s="8">
        <f>tblInventory[[#This Row],[Reorder_Quantity]]*M774</f>
        <v>294</v>
      </c>
      <c r="L774" s="10">
        <f>tblInventory[[#This Row],[Stock_Quantity]] / tblInventory[[#This Row],[Reorder_Quantity]]</f>
        <v>1.8571428571428572</v>
      </c>
      <c r="M774" s="3">
        <v>6</v>
      </c>
      <c r="N774" s="10">
        <f t="shared" si="24"/>
        <v>1.5449915110356538</v>
      </c>
      <c r="O774" s="1" t="s">
        <v>389</v>
      </c>
      <c r="P774" s="2">
        <v>45416</v>
      </c>
      <c r="Q774" s="2">
        <v>45612</v>
      </c>
      <c r="R774" s="1" t="s">
        <v>390</v>
      </c>
      <c r="S774" s="1">
        <v>30</v>
      </c>
      <c r="T774" s="1">
        <v>63</v>
      </c>
      <c r="U774" s="1" t="s">
        <v>46</v>
      </c>
      <c r="V774" s="3">
        <f>tblInventory[[#This Row],[Stock_Quantity]]*tblInventory[[#This Row],[Unit_Price]]</f>
        <v>546</v>
      </c>
      <c r="W774" s="1" t="str">
        <f>IF(tblInventory[[#This Row],[Status]]="Discontinued","INACTIVE",
IF(tblInventory[[#This Row],[Stock_Quantity]] &lt; tblInventory[[#This Row],[Reorder_Level]],"REORDER","OK"))</f>
        <v>OK</v>
      </c>
      <c r="X774" s="1" t="str">
        <f t="shared" ca="1" si="25"/>
        <v>Expired</v>
      </c>
    </row>
    <row r="775" spans="1:24">
      <c r="A775" s="1">
        <v>774</v>
      </c>
      <c r="B775" s="1" t="s">
        <v>477</v>
      </c>
      <c r="C775" s="1" t="s">
        <v>386</v>
      </c>
      <c r="D775" s="1" t="s">
        <v>155</v>
      </c>
      <c r="E775" s="1" t="s">
        <v>478</v>
      </c>
      <c r="F775" s="1" t="s">
        <v>479</v>
      </c>
      <c r="G775" s="6">
        <v>89</v>
      </c>
      <c r="H775" s="8">
        <f>tblInventory[[#This Row],[Stock_Quantity]] * tblInventory[[#This Row],[Unit_Price]]</f>
        <v>534</v>
      </c>
      <c r="I775" s="1">
        <v>34</v>
      </c>
      <c r="J775" s="1">
        <v>15</v>
      </c>
      <c r="K775" s="8">
        <f>tblInventory[[#This Row],[Reorder_Quantity]]*M775</f>
        <v>90</v>
      </c>
      <c r="L775" s="10">
        <f>tblInventory[[#This Row],[Stock_Quantity]] / tblInventory[[#This Row],[Reorder_Quantity]]</f>
        <v>5.9333333333333336</v>
      </c>
      <c r="M775" s="3">
        <v>6</v>
      </c>
      <c r="N775" s="10">
        <f t="shared" si="24"/>
        <v>1.5110356536502547</v>
      </c>
      <c r="O775" s="1" t="s">
        <v>480</v>
      </c>
      <c r="P775" s="2">
        <v>45507</v>
      </c>
      <c r="Q775" s="2">
        <v>45363</v>
      </c>
      <c r="R775" s="1" t="s">
        <v>481</v>
      </c>
      <c r="S775" s="1">
        <v>60</v>
      </c>
      <c r="T775" s="1">
        <v>2</v>
      </c>
      <c r="U775" s="1" t="s">
        <v>24</v>
      </c>
      <c r="V775" s="3">
        <f>tblInventory[[#This Row],[Stock_Quantity]]*tblInventory[[#This Row],[Unit_Price]]</f>
        <v>534</v>
      </c>
      <c r="W775" s="1" t="str">
        <f>IF(tblInventory[[#This Row],[Status]]="Discontinued","INACTIVE",
IF(tblInventory[[#This Row],[Stock_Quantity]] &lt; tblInventory[[#This Row],[Reorder_Level]],"REORDER","OK"))</f>
        <v>INACTIVE</v>
      </c>
      <c r="X775" s="1" t="str">
        <f t="shared" ca="1" si="25"/>
        <v>Expired</v>
      </c>
    </row>
    <row r="776" spans="1:24">
      <c r="A776" s="1">
        <v>775</v>
      </c>
      <c r="B776" s="1" t="s">
        <v>527</v>
      </c>
      <c r="C776" s="1" t="s">
        <v>386</v>
      </c>
      <c r="D776" s="1" t="s">
        <v>155</v>
      </c>
      <c r="E776" s="1" t="s">
        <v>528</v>
      </c>
      <c r="F776" s="1" t="s">
        <v>529</v>
      </c>
      <c r="G776" s="6">
        <v>44</v>
      </c>
      <c r="H776" s="8">
        <f>tblInventory[[#This Row],[Stock_Quantity]] * tblInventory[[#This Row],[Unit_Price]]</f>
        <v>264</v>
      </c>
      <c r="I776" s="1">
        <v>67</v>
      </c>
      <c r="J776" s="1">
        <v>48</v>
      </c>
      <c r="K776" s="8">
        <f>tblInventory[[#This Row],[Reorder_Quantity]]*M776</f>
        <v>288</v>
      </c>
      <c r="L776" s="10">
        <f>tblInventory[[#This Row],[Stock_Quantity]] / tblInventory[[#This Row],[Reorder_Quantity]]</f>
        <v>0.91666666666666663</v>
      </c>
      <c r="M776" s="3">
        <v>6</v>
      </c>
      <c r="N776" s="10">
        <f t="shared" si="24"/>
        <v>0.74702886247877764</v>
      </c>
      <c r="O776" s="2">
        <v>45421</v>
      </c>
      <c r="P776" s="1" t="s">
        <v>109</v>
      </c>
      <c r="Q776" s="2">
        <v>45638</v>
      </c>
      <c r="R776" s="1" t="s">
        <v>531</v>
      </c>
      <c r="S776" s="1">
        <v>90</v>
      </c>
      <c r="T776" s="1">
        <v>11</v>
      </c>
      <c r="U776" s="1" t="s">
        <v>46</v>
      </c>
      <c r="V776" s="3">
        <f>tblInventory[[#This Row],[Stock_Quantity]]*tblInventory[[#This Row],[Unit_Price]]</f>
        <v>264</v>
      </c>
      <c r="W776" s="1" t="str">
        <f>IF(tblInventory[[#This Row],[Status]]="Discontinued","INACTIVE",
IF(tblInventory[[#This Row],[Stock_Quantity]] &lt; tblInventory[[#This Row],[Reorder_Level]],"REORDER","OK"))</f>
        <v>REORDER</v>
      </c>
      <c r="X776" s="1" t="str">
        <f t="shared" ca="1" si="25"/>
        <v>Expired</v>
      </c>
    </row>
    <row r="777" spans="1:24">
      <c r="A777" s="1">
        <v>776</v>
      </c>
      <c r="B777" s="1" t="s">
        <v>655</v>
      </c>
      <c r="C777" s="1" t="s">
        <v>386</v>
      </c>
      <c r="D777" s="1" t="s">
        <v>155</v>
      </c>
      <c r="E777" s="1" t="s">
        <v>656</v>
      </c>
      <c r="F777" s="1" t="s">
        <v>657</v>
      </c>
      <c r="G777" s="6">
        <v>33</v>
      </c>
      <c r="H777" s="8">
        <f>tblInventory[[#This Row],[Stock_Quantity]] * tblInventory[[#This Row],[Unit_Price]]</f>
        <v>198</v>
      </c>
      <c r="I777" s="1">
        <v>18</v>
      </c>
      <c r="J777" s="1">
        <v>92</v>
      </c>
      <c r="K777" s="8">
        <f>tblInventory[[#This Row],[Reorder_Quantity]]*M777</f>
        <v>552</v>
      </c>
      <c r="L777" s="10">
        <f>tblInventory[[#This Row],[Stock_Quantity]] / tblInventory[[#This Row],[Reorder_Quantity]]</f>
        <v>0.35869565217391303</v>
      </c>
      <c r="M777" s="3">
        <v>6</v>
      </c>
      <c r="N777" s="10">
        <f t="shared" si="24"/>
        <v>0.56027164685908315</v>
      </c>
      <c r="O777" s="2">
        <v>45357</v>
      </c>
      <c r="P777" s="1" t="s">
        <v>402</v>
      </c>
      <c r="Q777" s="2">
        <v>45809</v>
      </c>
      <c r="R777" s="1" t="s">
        <v>658</v>
      </c>
      <c r="S777" s="1">
        <v>98</v>
      </c>
      <c r="T777" s="1">
        <v>56</v>
      </c>
      <c r="U777" s="1" t="s">
        <v>24</v>
      </c>
      <c r="V777" s="3">
        <f>tblInventory[[#This Row],[Stock_Quantity]]*tblInventory[[#This Row],[Unit_Price]]</f>
        <v>198</v>
      </c>
      <c r="W777" s="1" t="str">
        <f>IF(tblInventory[[#This Row],[Status]]="Discontinued","INACTIVE",
IF(tblInventory[[#This Row],[Stock_Quantity]] &lt; tblInventory[[#This Row],[Reorder_Level]],"REORDER","OK"))</f>
        <v>INACTIVE</v>
      </c>
      <c r="X777" s="1" t="str">
        <f t="shared" ca="1" si="25"/>
        <v>Expired</v>
      </c>
    </row>
    <row r="778" spans="1:24">
      <c r="A778" s="1">
        <v>777</v>
      </c>
      <c r="B778" s="1" t="s">
        <v>831</v>
      </c>
      <c r="C778" s="1" t="s">
        <v>386</v>
      </c>
      <c r="D778" s="1" t="s">
        <v>155</v>
      </c>
      <c r="E778" s="1" t="s">
        <v>832</v>
      </c>
      <c r="F778" s="1" t="s">
        <v>740</v>
      </c>
      <c r="G778" s="6">
        <v>73</v>
      </c>
      <c r="H778" s="8">
        <f>tblInventory[[#This Row],[Stock_Quantity]] * tblInventory[[#This Row],[Unit_Price]]</f>
        <v>438</v>
      </c>
      <c r="I778" s="1">
        <v>31</v>
      </c>
      <c r="J778" s="1">
        <v>49</v>
      </c>
      <c r="K778" s="8">
        <f>tblInventory[[#This Row],[Reorder_Quantity]]*M778</f>
        <v>294</v>
      </c>
      <c r="L778" s="10">
        <f>tblInventory[[#This Row],[Stock_Quantity]] / tblInventory[[#This Row],[Reorder_Quantity]]</f>
        <v>1.489795918367347</v>
      </c>
      <c r="M778" s="3">
        <v>6</v>
      </c>
      <c r="N778" s="10">
        <f t="shared" si="24"/>
        <v>1.2393887945670627</v>
      </c>
      <c r="O778" s="1" t="s">
        <v>297</v>
      </c>
      <c r="P778" s="2">
        <v>45325</v>
      </c>
      <c r="Q778" s="2">
        <v>45701</v>
      </c>
      <c r="R778" s="1" t="s">
        <v>833</v>
      </c>
      <c r="S778" s="1">
        <v>22</v>
      </c>
      <c r="T778" s="1">
        <v>47</v>
      </c>
      <c r="U778" s="1" t="s">
        <v>24</v>
      </c>
      <c r="V778" s="3">
        <f>tblInventory[[#This Row],[Stock_Quantity]]*tblInventory[[#This Row],[Unit_Price]]</f>
        <v>438</v>
      </c>
      <c r="W778" s="1" t="str">
        <f>IF(tblInventory[[#This Row],[Status]]="Discontinued","INACTIVE",
IF(tblInventory[[#This Row],[Stock_Quantity]] &lt; tblInventory[[#This Row],[Reorder_Level]],"REORDER","OK"))</f>
        <v>INACTIVE</v>
      </c>
      <c r="X778" s="1" t="str">
        <f t="shared" ca="1" si="25"/>
        <v>Expired</v>
      </c>
    </row>
    <row r="779" spans="1:24">
      <c r="A779" s="1">
        <v>778</v>
      </c>
      <c r="B779" s="1" t="s">
        <v>2280</v>
      </c>
      <c r="C779" s="1" t="s">
        <v>386</v>
      </c>
      <c r="D779" s="1" t="s">
        <v>155</v>
      </c>
      <c r="E779" s="1" t="s">
        <v>2281</v>
      </c>
      <c r="F779" s="1" t="s">
        <v>257</v>
      </c>
      <c r="G779" s="6">
        <v>30</v>
      </c>
      <c r="H779" s="8">
        <f>tblInventory[[#This Row],[Stock_Quantity]] * tblInventory[[#This Row],[Unit_Price]]</f>
        <v>180</v>
      </c>
      <c r="I779" s="1">
        <v>55</v>
      </c>
      <c r="J779" s="1">
        <v>4</v>
      </c>
      <c r="K779" s="8">
        <f>tblInventory[[#This Row],[Reorder_Quantity]]*M779</f>
        <v>24</v>
      </c>
      <c r="L779" s="10">
        <f>tblInventory[[#This Row],[Stock_Quantity]] / tblInventory[[#This Row],[Reorder_Quantity]]</f>
        <v>7.5</v>
      </c>
      <c r="M779" s="3">
        <v>6</v>
      </c>
      <c r="N779" s="10">
        <f t="shared" si="24"/>
        <v>0.50933786078098475</v>
      </c>
      <c r="O779" s="1" t="s">
        <v>1273</v>
      </c>
      <c r="P779" s="1" t="s">
        <v>334</v>
      </c>
      <c r="Q779" s="2">
        <v>46100</v>
      </c>
      <c r="R779" s="1" t="s">
        <v>2282</v>
      </c>
      <c r="S779" s="1">
        <v>56</v>
      </c>
      <c r="T779" s="1">
        <v>31</v>
      </c>
      <c r="U779" s="1" t="s">
        <v>46</v>
      </c>
      <c r="V779" s="3">
        <f>tblInventory[[#This Row],[Stock_Quantity]]*tblInventory[[#This Row],[Unit_Price]]</f>
        <v>180</v>
      </c>
      <c r="W779" s="1" t="str">
        <f>IF(tblInventory[[#This Row],[Status]]="Discontinued","INACTIVE",
IF(tblInventory[[#This Row],[Stock_Quantity]] &lt; tblInventory[[#This Row],[Reorder_Level]],"REORDER","OK"))</f>
        <v>REORDER</v>
      </c>
      <c r="X779" s="1" t="str">
        <f t="shared" ca="1" si="25"/>
        <v>Valid</v>
      </c>
    </row>
    <row r="780" spans="1:24">
      <c r="A780" s="1">
        <v>779</v>
      </c>
      <c r="B780" s="1" t="s">
        <v>2448</v>
      </c>
      <c r="C780" s="1" t="s">
        <v>386</v>
      </c>
      <c r="D780" s="1" t="s">
        <v>155</v>
      </c>
      <c r="E780" s="1" t="s">
        <v>2449</v>
      </c>
      <c r="F780" s="1" t="s">
        <v>35</v>
      </c>
      <c r="G780" s="6">
        <v>11</v>
      </c>
      <c r="H780" s="8">
        <f>tblInventory[[#This Row],[Stock_Quantity]] * tblInventory[[#This Row],[Unit_Price]]</f>
        <v>66</v>
      </c>
      <c r="I780" s="1">
        <v>17</v>
      </c>
      <c r="J780" s="1">
        <v>59</v>
      </c>
      <c r="K780" s="8">
        <f>tblInventory[[#This Row],[Reorder_Quantity]]*M780</f>
        <v>354</v>
      </c>
      <c r="L780" s="10">
        <f>tblInventory[[#This Row],[Stock_Quantity]] / tblInventory[[#This Row],[Reorder_Quantity]]</f>
        <v>0.1864406779661017</v>
      </c>
      <c r="M780" s="3">
        <v>6</v>
      </c>
      <c r="N780" s="10">
        <f t="shared" si="24"/>
        <v>0.18675721561969441</v>
      </c>
      <c r="O780" s="1" t="s">
        <v>1061</v>
      </c>
      <c r="P780" s="1" t="s">
        <v>866</v>
      </c>
      <c r="Q780" s="2">
        <v>46300</v>
      </c>
      <c r="R780" s="1" t="s">
        <v>2450</v>
      </c>
      <c r="S780" s="1">
        <v>69</v>
      </c>
      <c r="T780" s="1">
        <v>100</v>
      </c>
      <c r="U780" s="1" t="s">
        <v>38</v>
      </c>
      <c r="V780" s="3">
        <f>tblInventory[[#This Row],[Stock_Quantity]]*tblInventory[[#This Row],[Unit_Price]]</f>
        <v>66</v>
      </c>
      <c r="W780" s="1" t="str">
        <f>IF(tblInventory[[#This Row],[Status]]="Discontinued","INACTIVE",
IF(tblInventory[[#This Row],[Stock_Quantity]] &lt; tblInventory[[#This Row],[Reorder_Level]],"REORDER","OK"))</f>
        <v>REORDER</v>
      </c>
      <c r="X780" s="1" t="str">
        <f t="shared" ca="1" si="25"/>
        <v>Valid</v>
      </c>
    </row>
    <row r="781" spans="1:24">
      <c r="A781" s="1">
        <v>780</v>
      </c>
      <c r="B781" s="1" t="s">
        <v>898</v>
      </c>
      <c r="C781" s="1" t="s">
        <v>899</v>
      </c>
      <c r="D781" s="1" t="s">
        <v>61</v>
      </c>
      <c r="E781" s="1" t="s">
        <v>900</v>
      </c>
      <c r="F781" s="1" t="s">
        <v>631</v>
      </c>
      <c r="G781" s="6">
        <v>27</v>
      </c>
      <c r="H781" s="8">
        <f>tblInventory[[#This Row],[Stock_Quantity]] * tblInventory[[#This Row],[Unit_Price]]</f>
        <v>175.5</v>
      </c>
      <c r="I781" s="1">
        <v>92</v>
      </c>
      <c r="J781" s="1">
        <v>56</v>
      </c>
      <c r="K781" s="8">
        <f>tblInventory[[#This Row],[Reorder_Quantity]]*M781</f>
        <v>364</v>
      </c>
      <c r="L781" s="10">
        <f>tblInventory[[#This Row],[Stock_Quantity]] / tblInventory[[#This Row],[Reorder_Quantity]]</f>
        <v>0.48214285714285715</v>
      </c>
      <c r="M781" s="3">
        <v>6.5</v>
      </c>
      <c r="N781" s="10">
        <f t="shared" si="24"/>
        <v>0.45840407470288624</v>
      </c>
      <c r="O781" s="1" t="s">
        <v>901</v>
      </c>
      <c r="P781" s="1" t="s">
        <v>95</v>
      </c>
      <c r="Q781" s="2">
        <v>45716</v>
      </c>
      <c r="R781" s="1" t="s">
        <v>902</v>
      </c>
      <c r="S781" s="1">
        <v>29</v>
      </c>
      <c r="T781" s="1">
        <v>32</v>
      </c>
      <c r="U781" s="1" t="s">
        <v>24</v>
      </c>
      <c r="V781" s="3">
        <f>tblInventory[[#This Row],[Stock_Quantity]]*tblInventory[[#This Row],[Unit_Price]]</f>
        <v>175.5</v>
      </c>
      <c r="W781" s="1" t="str">
        <f>IF(tblInventory[[#This Row],[Status]]="Discontinued","INACTIVE",
IF(tblInventory[[#This Row],[Stock_Quantity]] &lt; tblInventory[[#This Row],[Reorder_Level]],"REORDER","OK"))</f>
        <v>INACTIVE</v>
      </c>
      <c r="X781" s="1" t="str">
        <f t="shared" ca="1" si="25"/>
        <v>Expired</v>
      </c>
    </row>
    <row r="782" spans="1:24">
      <c r="A782" s="1">
        <v>781</v>
      </c>
      <c r="B782" s="1" t="s">
        <v>1664</v>
      </c>
      <c r="C782" s="1" t="s">
        <v>899</v>
      </c>
      <c r="D782" s="1" t="s">
        <v>61</v>
      </c>
      <c r="E782" s="1" t="s">
        <v>1665</v>
      </c>
      <c r="F782" s="1" t="s">
        <v>1666</v>
      </c>
      <c r="G782" s="6">
        <v>77</v>
      </c>
      <c r="H782" s="8">
        <f>tblInventory[[#This Row],[Stock_Quantity]] * tblInventory[[#This Row],[Unit_Price]]</f>
        <v>500.5</v>
      </c>
      <c r="I782" s="1">
        <v>95</v>
      </c>
      <c r="J782" s="1">
        <v>82</v>
      </c>
      <c r="K782" s="8">
        <f>tblInventory[[#This Row],[Reorder_Quantity]]*M782</f>
        <v>533</v>
      </c>
      <c r="L782" s="10">
        <f>tblInventory[[#This Row],[Stock_Quantity]] / tblInventory[[#This Row],[Reorder_Quantity]]</f>
        <v>0.93902439024390238</v>
      </c>
      <c r="M782" s="3">
        <v>6.5</v>
      </c>
      <c r="N782" s="10">
        <f t="shared" si="24"/>
        <v>1.3073005093378609</v>
      </c>
      <c r="O782" s="1" t="s">
        <v>44</v>
      </c>
      <c r="P782" s="1" t="s">
        <v>95</v>
      </c>
      <c r="Q782" s="2">
        <v>45913</v>
      </c>
      <c r="R782" s="1" t="s">
        <v>1667</v>
      </c>
      <c r="S782" s="1">
        <v>29</v>
      </c>
      <c r="T782" s="1">
        <v>46</v>
      </c>
      <c r="U782" s="1" t="s">
        <v>38</v>
      </c>
      <c r="V782" s="3">
        <f>tblInventory[[#This Row],[Stock_Quantity]]*tblInventory[[#This Row],[Unit_Price]]</f>
        <v>500.5</v>
      </c>
      <c r="W782" s="1" t="str">
        <f>IF(tblInventory[[#This Row],[Status]]="Discontinued","INACTIVE",
IF(tblInventory[[#This Row],[Stock_Quantity]] &lt; tblInventory[[#This Row],[Reorder_Level]],"REORDER","OK"))</f>
        <v>REORDER</v>
      </c>
      <c r="X782" s="1" t="str">
        <f t="shared" ca="1" si="25"/>
        <v>Expired</v>
      </c>
    </row>
    <row r="783" spans="1:24">
      <c r="A783" s="1">
        <v>782</v>
      </c>
      <c r="B783" s="1" t="s">
        <v>1798</v>
      </c>
      <c r="C783" s="1" t="s">
        <v>899</v>
      </c>
      <c r="D783" s="1" t="s">
        <v>61</v>
      </c>
      <c r="E783" s="1" t="s">
        <v>1799</v>
      </c>
      <c r="F783" s="1" t="s">
        <v>1800</v>
      </c>
      <c r="G783" s="6">
        <v>85</v>
      </c>
      <c r="H783" s="8">
        <f>tblInventory[[#This Row],[Stock_Quantity]] * tblInventory[[#This Row],[Unit_Price]]</f>
        <v>552.5</v>
      </c>
      <c r="I783" s="1">
        <v>15</v>
      </c>
      <c r="J783" s="1">
        <v>16</v>
      </c>
      <c r="K783" s="8">
        <f>tblInventory[[#This Row],[Reorder_Quantity]]*M783</f>
        <v>104</v>
      </c>
      <c r="L783" s="10">
        <f>tblInventory[[#This Row],[Stock_Quantity]] / tblInventory[[#This Row],[Reorder_Quantity]]</f>
        <v>5.3125</v>
      </c>
      <c r="M783" s="3">
        <v>6.5</v>
      </c>
      <c r="N783" s="10">
        <f t="shared" si="24"/>
        <v>1.4431239388794568</v>
      </c>
      <c r="O783" s="1" t="s">
        <v>688</v>
      </c>
      <c r="P783" s="1" t="s">
        <v>43</v>
      </c>
      <c r="Q783" s="2">
        <v>45953</v>
      </c>
      <c r="R783" s="1" t="s">
        <v>1801</v>
      </c>
      <c r="S783" s="1">
        <v>46</v>
      </c>
      <c r="T783" s="1">
        <v>24</v>
      </c>
      <c r="U783" s="1" t="s">
        <v>24</v>
      </c>
      <c r="V783" s="3">
        <f>tblInventory[[#This Row],[Stock_Quantity]]*tblInventory[[#This Row],[Unit_Price]]</f>
        <v>552.5</v>
      </c>
      <c r="W783" s="1" t="str">
        <f>IF(tblInventory[[#This Row],[Status]]="Discontinued","INACTIVE",
IF(tblInventory[[#This Row],[Stock_Quantity]] &lt; tblInventory[[#This Row],[Reorder_Level]],"REORDER","OK"))</f>
        <v>INACTIVE</v>
      </c>
      <c r="X783" s="1" t="str">
        <f t="shared" ca="1" si="25"/>
        <v>Expired</v>
      </c>
    </row>
    <row r="784" spans="1:24">
      <c r="A784" s="1">
        <v>783</v>
      </c>
      <c r="B784" s="1" t="s">
        <v>2113</v>
      </c>
      <c r="C784" s="1" t="s">
        <v>899</v>
      </c>
      <c r="D784" s="1" t="s">
        <v>61</v>
      </c>
      <c r="E784" s="1" t="s">
        <v>2114</v>
      </c>
      <c r="F784" s="1" t="s">
        <v>1423</v>
      </c>
      <c r="G784" s="6">
        <v>15</v>
      </c>
      <c r="H784" s="8">
        <f>tblInventory[[#This Row],[Stock_Quantity]] * tblInventory[[#This Row],[Unit_Price]]</f>
        <v>97.5</v>
      </c>
      <c r="I784" s="1">
        <v>34</v>
      </c>
      <c r="J784" s="1">
        <v>57</v>
      </c>
      <c r="K784" s="8">
        <f>tblInventory[[#This Row],[Reorder_Quantity]]*M784</f>
        <v>370.5</v>
      </c>
      <c r="L784" s="10">
        <f>tblInventory[[#This Row],[Stock_Quantity]] / tblInventory[[#This Row],[Reorder_Quantity]]</f>
        <v>0.26315789473684209</v>
      </c>
      <c r="M784" s="3">
        <v>6.5</v>
      </c>
      <c r="N784" s="10">
        <f t="shared" si="24"/>
        <v>0.25466893039049238</v>
      </c>
      <c r="O784" s="1" t="s">
        <v>1119</v>
      </c>
      <c r="P784" s="2">
        <v>45992</v>
      </c>
      <c r="Q784" s="2">
        <v>46049</v>
      </c>
      <c r="R784" s="1" t="s">
        <v>2115</v>
      </c>
      <c r="S784" s="1">
        <v>49</v>
      </c>
      <c r="T784" s="1">
        <v>96</v>
      </c>
      <c r="U784" s="1" t="s">
        <v>24</v>
      </c>
      <c r="V784" s="3">
        <f>tblInventory[[#This Row],[Stock_Quantity]]*tblInventory[[#This Row],[Unit_Price]]</f>
        <v>97.5</v>
      </c>
      <c r="W784" s="1" t="str">
        <f>IF(tblInventory[[#This Row],[Status]]="Discontinued","INACTIVE",
IF(tblInventory[[#This Row],[Stock_Quantity]] &lt; tblInventory[[#This Row],[Reorder_Level]],"REORDER","OK"))</f>
        <v>INACTIVE</v>
      </c>
      <c r="X784" s="1" t="str">
        <f t="shared" ca="1" si="25"/>
        <v>Valid</v>
      </c>
    </row>
    <row r="785" spans="1:24">
      <c r="A785" s="1">
        <v>784</v>
      </c>
      <c r="B785" s="1" t="s">
        <v>2155</v>
      </c>
      <c r="C785" s="1" t="s">
        <v>899</v>
      </c>
      <c r="D785" s="1" t="s">
        <v>61</v>
      </c>
      <c r="E785" s="1" t="s">
        <v>2156</v>
      </c>
      <c r="F785" s="1" t="s">
        <v>1913</v>
      </c>
      <c r="G785" s="6">
        <v>45</v>
      </c>
      <c r="H785" s="8">
        <f>tblInventory[[#This Row],[Stock_Quantity]] * tblInventory[[#This Row],[Unit_Price]]</f>
        <v>292.5</v>
      </c>
      <c r="I785" s="1">
        <v>7</v>
      </c>
      <c r="J785" s="1">
        <v>58</v>
      </c>
      <c r="K785" s="8">
        <f>tblInventory[[#This Row],[Reorder_Quantity]]*M785</f>
        <v>377</v>
      </c>
      <c r="L785" s="10">
        <f>tblInventory[[#This Row],[Stock_Quantity]] / tblInventory[[#This Row],[Reorder_Quantity]]</f>
        <v>0.77586206896551724</v>
      </c>
      <c r="M785" s="3">
        <v>6.5</v>
      </c>
      <c r="N785" s="10">
        <f t="shared" si="24"/>
        <v>0.76400679117147707</v>
      </c>
      <c r="O785" s="2">
        <v>45331</v>
      </c>
      <c r="P785" s="2">
        <v>45416</v>
      </c>
      <c r="Q785" s="2">
        <v>46267</v>
      </c>
      <c r="R785" s="1" t="s">
        <v>2157</v>
      </c>
      <c r="S785" s="1">
        <v>86</v>
      </c>
      <c r="T785" s="1">
        <v>77</v>
      </c>
      <c r="U785" s="1" t="s">
        <v>24</v>
      </c>
      <c r="V785" s="3">
        <f>tblInventory[[#This Row],[Stock_Quantity]]*tblInventory[[#This Row],[Unit_Price]]</f>
        <v>292.5</v>
      </c>
      <c r="W785" s="1" t="str">
        <f>IF(tblInventory[[#This Row],[Status]]="Discontinued","INACTIVE",
IF(tblInventory[[#This Row],[Stock_Quantity]] &lt; tblInventory[[#This Row],[Reorder_Level]],"REORDER","OK"))</f>
        <v>INACTIVE</v>
      </c>
      <c r="X785" s="1" t="str">
        <f t="shared" ca="1" si="25"/>
        <v>Valid</v>
      </c>
    </row>
    <row r="786" spans="1:24">
      <c r="A786" s="1">
        <v>785</v>
      </c>
      <c r="B786" s="1" t="s">
        <v>2207</v>
      </c>
      <c r="C786" s="1" t="s">
        <v>899</v>
      </c>
      <c r="D786" s="1" t="s">
        <v>61</v>
      </c>
      <c r="E786" s="1" t="s">
        <v>2208</v>
      </c>
      <c r="F786" s="1" t="s">
        <v>1549</v>
      </c>
      <c r="G786" s="6">
        <v>100</v>
      </c>
      <c r="H786" s="8">
        <f>tblInventory[[#This Row],[Stock_Quantity]] * tblInventory[[#This Row],[Unit_Price]]</f>
        <v>650</v>
      </c>
      <c r="I786" s="1">
        <v>86</v>
      </c>
      <c r="J786" s="1">
        <v>94</v>
      </c>
      <c r="K786" s="8">
        <f>tblInventory[[#This Row],[Reorder_Quantity]]*M786</f>
        <v>611</v>
      </c>
      <c r="L786" s="10">
        <f>tblInventory[[#This Row],[Stock_Quantity]] / tblInventory[[#This Row],[Reorder_Quantity]]</f>
        <v>1.0638297872340425</v>
      </c>
      <c r="M786" s="3">
        <v>6.5</v>
      </c>
      <c r="N786" s="10">
        <f t="shared" si="24"/>
        <v>1.6977928692699491</v>
      </c>
      <c r="O786" s="2">
        <v>45604</v>
      </c>
      <c r="P786" s="2">
        <v>45630</v>
      </c>
      <c r="Q786" s="2">
        <v>46077</v>
      </c>
      <c r="R786" s="1" t="s">
        <v>2209</v>
      </c>
      <c r="S786" s="1">
        <v>77</v>
      </c>
      <c r="T786" s="1">
        <v>57</v>
      </c>
      <c r="U786" s="1" t="s">
        <v>46</v>
      </c>
      <c r="V786" s="3">
        <f>tblInventory[[#This Row],[Stock_Quantity]]*tblInventory[[#This Row],[Unit_Price]]</f>
        <v>650</v>
      </c>
      <c r="W786" s="1" t="str">
        <f>IF(tblInventory[[#This Row],[Status]]="Discontinued","INACTIVE",
IF(tblInventory[[#This Row],[Stock_Quantity]] &lt; tblInventory[[#This Row],[Reorder_Level]],"REORDER","OK"))</f>
        <v>OK</v>
      </c>
      <c r="X786" s="1" t="str">
        <f t="shared" ca="1" si="25"/>
        <v>Valid</v>
      </c>
    </row>
    <row r="787" spans="1:24">
      <c r="A787" s="1">
        <v>786</v>
      </c>
      <c r="B787" s="1" t="s">
        <v>2283</v>
      </c>
      <c r="C787" s="1" t="s">
        <v>899</v>
      </c>
      <c r="D787" s="1" t="s">
        <v>61</v>
      </c>
      <c r="E787" s="1" t="s">
        <v>2284</v>
      </c>
      <c r="F787" s="1" t="s">
        <v>877</v>
      </c>
      <c r="G787" s="6">
        <v>14</v>
      </c>
      <c r="H787" s="8">
        <f>tblInventory[[#This Row],[Stock_Quantity]] * tblInventory[[#This Row],[Unit_Price]]</f>
        <v>91</v>
      </c>
      <c r="I787" s="1">
        <v>84</v>
      </c>
      <c r="J787" s="1">
        <v>15</v>
      </c>
      <c r="K787" s="8">
        <f>tblInventory[[#This Row],[Reorder_Quantity]]*M787</f>
        <v>97.5</v>
      </c>
      <c r="L787" s="10">
        <f>tblInventory[[#This Row],[Stock_Quantity]] / tblInventory[[#This Row],[Reorder_Quantity]]</f>
        <v>0.93333333333333335</v>
      </c>
      <c r="M787" s="3">
        <v>6.5</v>
      </c>
      <c r="N787" s="10">
        <f t="shared" si="24"/>
        <v>0.23769100169779286</v>
      </c>
      <c r="O787" s="1" t="s">
        <v>342</v>
      </c>
      <c r="P787" s="2">
        <v>45840</v>
      </c>
      <c r="Q787" s="2">
        <v>46101</v>
      </c>
      <c r="R787" s="1" t="s">
        <v>2285</v>
      </c>
      <c r="S787" s="1">
        <v>51</v>
      </c>
      <c r="T787" s="1">
        <v>73</v>
      </c>
      <c r="U787" s="1" t="s">
        <v>46</v>
      </c>
      <c r="V787" s="3">
        <f>tblInventory[[#This Row],[Stock_Quantity]]*tblInventory[[#This Row],[Unit_Price]]</f>
        <v>91</v>
      </c>
      <c r="W787" s="1" t="str">
        <f>IF(tblInventory[[#This Row],[Status]]="Discontinued","INACTIVE",
IF(tblInventory[[#This Row],[Stock_Quantity]] &lt; tblInventory[[#This Row],[Reorder_Level]],"REORDER","OK"))</f>
        <v>REORDER</v>
      </c>
      <c r="X787" s="1" t="str">
        <f t="shared" ca="1" si="25"/>
        <v>Valid</v>
      </c>
    </row>
    <row r="788" spans="1:24">
      <c r="A788" s="1">
        <v>787</v>
      </c>
      <c r="B788" s="1" t="s">
        <v>2441</v>
      </c>
      <c r="C788" s="1" t="s">
        <v>899</v>
      </c>
      <c r="D788" s="1" t="s">
        <v>61</v>
      </c>
      <c r="E788" s="1" t="s">
        <v>2442</v>
      </c>
      <c r="F788" s="1" t="s">
        <v>572</v>
      </c>
      <c r="G788" s="6">
        <v>39</v>
      </c>
      <c r="H788" s="8">
        <f>tblInventory[[#This Row],[Stock_Quantity]] * tblInventory[[#This Row],[Unit_Price]]</f>
        <v>253.5</v>
      </c>
      <c r="I788" s="1">
        <v>78</v>
      </c>
      <c r="J788" s="1">
        <v>97</v>
      </c>
      <c r="K788" s="8">
        <f>tblInventory[[#This Row],[Reorder_Quantity]]*M788</f>
        <v>630.5</v>
      </c>
      <c r="L788" s="10">
        <f>tblInventory[[#This Row],[Stock_Quantity]] / tblInventory[[#This Row],[Reorder_Quantity]]</f>
        <v>0.40206185567010311</v>
      </c>
      <c r="M788" s="3">
        <v>6.5</v>
      </c>
      <c r="N788" s="10">
        <f t="shared" si="24"/>
        <v>0.66213921901528017</v>
      </c>
      <c r="O788" s="1" t="s">
        <v>620</v>
      </c>
      <c r="P788" s="1" t="s">
        <v>95</v>
      </c>
      <c r="Q788" s="2">
        <v>46239</v>
      </c>
      <c r="R788" s="1" t="s">
        <v>2443</v>
      </c>
      <c r="S788" s="1">
        <v>54</v>
      </c>
      <c r="T788" s="1">
        <v>89</v>
      </c>
      <c r="U788" s="1" t="s">
        <v>38</v>
      </c>
      <c r="V788" s="3">
        <f>tblInventory[[#This Row],[Stock_Quantity]]*tblInventory[[#This Row],[Unit_Price]]</f>
        <v>253.5</v>
      </c>
      <c r="W788" s="1" t="str">
        <f>IF(tblInventory[[#This Row],[Status]]="Discontinued","INACTIVE",
IF(tblInventory[[#This Row],[Stock_Quantity]] &lt; tblInventory[[#This Row],[Reorder_Level]],"REORDER","OK"))</f>
        <v>REORDER</v>
      </c>
      <c r="X788" s="1" t="str">
        <f t="shared" ca="1" si="25"/>
        <v>Valid</v>
      </c>
    </row>
    <row r="789" spans="1:24">
      <c r="A789" s="1">
        <v>788</v>
      </c>
      <c r="B789" s="1" t="s">
        <v>2766</v>
      </c>
      <c r="C789" s="1" t="s">
        <v>899</v>
      </c>
      <c r="D789" s="1" t="s">
        <v>61</v>
      </c>
      <c r="E789" s="1" t="s">
        <v>2767</v>
      </c>
      <c r="F789" s="1" t="s">
        <v>2768</v>
      </c>
      <c r="G789" s="6">
        <v>85</v>
      </c>
      <c r="H789" s="8">
        <f>tblInventory[[#This Row],[Stock_Quantity]] * tblInventory[[#This Row],[Unit_Price]]</f>
        <v>552.5</v>
      </c>
      <c r="I789" s="1">
        <v>86</v>
      </c>
      <c r="J789" s="1">
        <v>21</v>
      </c>
      <c r="K789" s="8">
        <f>tblInventory[[#This Row],[Reorder_Quantity]]*M789</f>
        <v>136.5</v>
      </c>
      <c r="L789" s="10">
        <f>tblInventory[[#This Row],[Stock_Quantity]] / tblInventory[[#This Row],[Reorder_Quantity]]</f>
        <v>4.0476190476190474</v>
      </c>
      <c r="M789" s="3">
        <v>6.5</v>
      </c>
      <c r="N789" s="10">
        <f t="shared" si="24"/>
        <v>1.4431239388794568</v>
      </c>
      <c r="O789" s="1" t="s">
        <v>115</v>
      </c>
      <c r="P789" s="1" t="s">
        <v>1000</v>
      </c>
      <c r="Q789" s="2">
        <v>46250</v>
      </c>
      <c r="R789" s="1" t="s">
        <v>2769</v>
      </c>
      <c r="S789" s="1">
        <v>78</v>
      </c>
      <c r="T789" s="1">
        <v>53</v>
      </c>
      <c r="U789" s="1" t="s">
        <v>38</v>
      </c>
      <c r="V789" s="3">
        <f>tblInventory[[#This Row],[Stock_Quantity]]*tblInventory[[#This Row],[Unit_Price]]</f>
        <v>552.5</v>
      </c>
      <c r="W789" s="1" t="str">
        <f>IF(tblInventory[[#This Row],[Status]]="Discontinued","INACTIVE",
IF(tblInventory[[#This Row],[Stock_Quantity]] &lt; tblInventory[[#This Row],[Reorder_Level]],"REORDER","OK"))</f>
        <v>REORDER</v>
      </c>
      <c r="X789" s="1" t="str">
        <f t="shared" ca="1" si="25"/>
        <v>Valid</v>
      </c>
    </row>
    <row r="790" spans="1:24">
      <c r="A790" s="1">
        <v>789</v>
      </c>
      <c r="B790" s="1" t="s">
        <v>2986</v>
      </c>
      <c r="C790" s="1" t="s">
        <v>899</v>
      </c>
      <c r="D790" s="1" t="s">
        <v>61</v>
      </c>
      <c r="E790" s="1" t="s">
        <v>2987</v>
      </c>
      <c r="F790" s="1" t="s">
        <v>1133</v>
      </c>
      <c r="G790" s="6">
        <v>89</v>
      </c>
      <c r="H790" s="8">
        <f>tblInventory[[#This Row],[Stock_Quantity]] * tblInventory[[#This Row],[Unit_Price]]</f>
        <v>578.5</v>
      </c>
      <c r="I790" s="1">
        <v>66</v>
      </c>
      <c r="J790" s="1">
        <v>28</v>
      </c>
      <c r="K790" s="8">
        <f>tblInventory[[#This Row],[Reorder_Quantity]]*M790</f>
        <v>182</v>
      </c>
      <c r="L790" s="10">
        <f>tblInventory[[#This Row],[Stock_Quantity]] / tblInventory[[#This Row],[Reorder_Quantity]]</f>
        <v>3.1785714285714284</v>
      </c>
      <c r="M790" s="3">
        <v>6.5</v>
      </c>
      <c r="N790" s="10">
        <f t="shared" si="24"/>
        <v>1.5110356536502547</v>
      </c>
      <c r="O790" s="1" t="s">
        <v>178</v>
      </c>
      <c r="P790" s="1" t="s">
        <v>212</v>
      </c>
      <c r="Q790" s="2">
        <v>46317</v>
      </c>
      <c r="R790" s="1" t="s">
        <v>2988</v>
      </c>
      <c r="S790" s="1">
        <v>39</v>
      </c>
      <c r="T790" s="1">
        <v>25</v>
      </c>
      <c r="U790" s="1" t="s">
        <v>46</v>
      </c>
      <c r="V790" s="3">
        <f>tblInventory[[#This Row],[Stock_Quantity]]*tblInventory[[#This Row],[Unit_Price]]</f>
        <v>578.5</v>
      </c>
      <c r="W790" s="1" t="str">
        <f>IF(tblInventory[[#This Row],[Status]]="Discontinued","INACTIVE",
IF(tblInventory[[#This Row],[Stock_Quantity]] &lt; tblInventory[[#This Row],[Reorder_Level]],"REORDER","OK"))</f>
        <v>OK</v>
      </c>
      <c r="X790" s="1" t="str">
        <f t="shared" ca="1" si="25"/>
        <v>Valid</v>
      </c>
    </row>
    <row r="791" spans="1:24">
      <c r="A791" s="1">
        <v>790</v>
      </c>
      <c r="B791" s="1" t="s">
        <v>3389</v>
      </c>
      <c r="C791" s="1" t="s">
        <v>899</v>
      </c>
      <c r="D791" s="1" t="s">
        <v>61</v>
      </c>
      <c r="E791" s="1" t="s">
        <v>3390</v>
      </c>
      <c r="F791" s="1" t="s">
        <v>2809</v>
      </c>
      <c r="G791" s="6">
        <v>50</v>
      </c>
      <c r="H791" s="8">
        <f>tblInventory[[#This Row],[Stock_Quantity]] * tblInventory[[#This Row],[Unit_Price]]</f>
        <v>325</v>
      </c>
      <c r="I791" s="1">
        <v>36</v>
      </c>
      <c r="J791" s="1">
        <v>96</v>
      </c>
      <c r="K791" s="8">
        <f>tblInventory[[#This Row],[Reorder_Quantity]]*M791</f>
        <v>624</v>
      </c>
      <c r="L791" s="10">
        <f>tblInventory[[#This Row],[Stock_Quantity]] / tblInventory[[#This Row],[Reorder_Quantity]]</f>
        <v>0.52083333333333337</v>
      </c>
      <c r="M791" s="3">
        <v>6.5</v>
      </c>
      <c r="N791" s="10">
        <f t="shared" si="24"/>
        <v>0.84889643463497455</v>
      </c>
      <c r="O791" s="2">
        <v>45638</v>
      </c>
      <c r="P791" s="2">
        <v>45634</v>
      </c>
      <c r="Q791" s="2">
        <v>46390</v>
      </c>
      <c r="R791" s="1" t="s">
        <v>3391</v>
      </c>
      <c r="S791" s="1">
        <v>53</v>
      </c>
      <c r="T791" s="1">
        <v>73</v>
      </c>
      <c r="U791" s="1" t="s">
        <v>38</v>
      </c>
      <c r="V791" s="3">
        <f>tblInventory[[#This Row],[Stock_Quantity]]*tblInventory[[#This Row],[Unit_Price]]</f>
        <v>325</v>
      </c>
      <c r="W791" s="1" t="str">
        <f>IF(tblInventory[[#This Row],[Status]]="Discontinued","INACTIVE",
IF(tblInventory[[#This Row],[Stock_Quantity]] &lt; tblInventory[[#This Row],[Reorder_Level]],"REORDER","OK"))</f>
        <v>OK</v>
      </c>
      <c r="X791" s="1" t="str">
        <f t="shared" ca="1" si="25"/>
        <v>Valid</v>
      </c>
    </row>
    <row r="792" spans="1:24">
      <c r="A792" s="1">
        <v>791</v>
      </c>
      <c r="B792" s="1" t="s">
        <v>3408</v>
      </c>
      <c r="C792" s="1" t="s">
        <v>899</v>
      </c>
      <c r="D792" s="1" t="s">
        <v>61</v>
      </c>
      <c r="E792" s="1" t="s">
        <v>3409</v>
      </c>
      <c r="F792" s="1" t="s">
        <v>1899</v>
      </c>
      <c r="G792" s="6">
        <v>97</v>
      </c>
      <c r="H792" s="8">
        <f>tblInventory[[#This Row],[Stock_Quantity]] * tblInventory[[#This Row],[Unit_Price]]</f>
        <v>630.5</v>
      </c>
      <c r="I792" s="1">
        <v>20</v>
      </c>
      <c r="J792" s="1">
        <v>8</v>
      </c>
      <c r="K792" s="8">
        <f>tblInventory[[#This Row],[Reorder_Quantity]]*M792</f>
        <v>52</v>
      </c>
      <c r="L792" s="10">
        <f>tblInventory[[#This Row],[Stock_Quantity]] / tblInventory[[#This Row],[Reorder_Quantity]]</f>
        <v>12.125</v>
      </c>
      <c r="M792" s="3">
        <v>6.5</v>
      </c>
      <c r="N792" s="10">
        <f t="shared" si="24"/>
        <v>1.6468590831918506</v>
      </c>
      <c r="O792" s="1" t="s">
        <v>653</v>
      </c>
      <c r="P792" s="2">
        <v>45454</v>
      </c>
      <c r="Q792" s="2">
        <v>46571</v>
      </c>
      <c r="R792" s="1" t="s">
        <v>3410</v>
      </c>
      <c r="S792" s="1">
        <v>51</v>
      </c>
      <c r="T792" s="1">
        <v>51</v>
      </c>
      <c r="U792" s="1" t="s">
        <v>46</v>
      </c>
      <c r="V792" s="3">
        <f>tblInventory[[#This Row],[Stock_Quantity]]*tblInventory[[#This Row],[Unit_Price]]</f>
        <v>630.5</v>
      </c>
      <c r="W792" s="1" t="str">
        <f>IF(tblInventory[[#This Row],[Status]]="Discontinued","INACTIVE",
IF(tblInventory[[#This Row],[Stock_Quantity]] &lt; tblInventory[[#This Row],[Reorder_Level]],"REORDER","OK"))</f>
        <v>OK</v>
      </c>
      <c r="X792" s="1" t="str">
        <f t="shared" ca="1" si="25"/>
        <v>Valid</v>
      </c>
    </row>
    <row r="793" spans="1:24">
      <c r="A793" s="1">
        <v>792</v>
      </c>
      <c r="B793" s="1" t="s">
        <v>273</v>
      </c>
      <c r="C793" s="1" t="s">
        <v>274</v>
      </c>
      <c r="D793" s="1" t="s">
        <v>17</v>
      </c>
      <c r="E793" s="1" t="s">
        <v>275</v>
      </c>
      <c r="F793" s="1" t="s">
        <v>276</v>
      </c>
      <c r="G793" s="6">
        <v>60</v>
      </c>
      <c r="H793" s="8">
        <f>tblInventory[[#This Row],[Stock_Quantity]] * tblInventory[[#This Row],[Unit_Price]]</f>
        <v>180</v>
      </c>
      <c r="I793" s="1">
        <v>90</v>
      </c>
      <c r="J793" s="1">
        <v>85</v>
      </c>
      <c r="K793" s="8">
        <f>tblInventory[[#This Row],[Reorder_Quantity]]*M793</f>
        <v>255</v>
      </c>
      <c r="L793" s="10">
        <f>tblInventory[[#This Row],[Stock_Quantity]] / tblInventory[[#This Row],[Reorder_Quantity]]</f>
        <v>0.70588235294117652</v>
      </c>
      <c r="M793" s="3">
        <v>3</v>
      </c>
      <c r="N793" s="10">
        <f t="shared" si="24"/>
        <v>1.0186757215619695</v>
      </c>
      <c r="O793" s="1" t="s">
        <v>277</v>
      </c>
      <c r="P793" s="1" t="s">
        <v>278</v>
      </c>
      <c r="Q793" s="2">
        <v>45593</v>
      </c>
      <c r="R793" s="1" t="s">
        <v>280</v>
      </c>
      <c r="S793" s="1">
        <v>47</v>
      </c>
      <c r="T793" s="1">
        <v>9</v>
      </c>
      <c r="U793" s="1" t="s">
        <v>24</v>
      </c>
      <c r="V793" s="3">
        <f>tblInventory[[#This Row],[Stock_Quantity]]*tblInventory[[#This Row],[Unit_Price]]</f>
        <v>180</v>
      </c>
      <c r="W793" s="1" t="str">
        <f>IF(tblInventory[[#This Row],[Status]]="Discontinued","INACTIVE",
IF(tblInventory[[#This Row],[Stock_Quantity]] &lt; tblInventory[[#This Row],[Reorder_Level]],"REORDER","OK"))</f>
        <v>INACTIVE</v>
      </c>
      <c r="X793" s="1" t="str">
        <f t="shared" ca="1" si="25"/>
        <v>Expired</v>
      </c>
    </row>
    <row r="794" spans="1:24">
      <c r="A794" s="1">
        <v>793</v>
      </c>
      <c r="B794" s="1" t="s">
        <v>345</v>
      </c>
      <c r="C794" s="1" t="s">
        <v>274</v>
      </c>
      <c r="D794" s="1" t="s">
        <v>17</v>
      </c>
      <c r="E794" s="1" t="s">
        <v>346</v>
      </c>
      <c r="F794" s="1" t="s">
        <v>347</v>
      </c>
      <c r="G794" s="6">
        <v>41</v>
      </c>
      <c r="H794" s="8">
        <f>tblInventory[[#This Row],[Stock_Quantity]] * tblInventory[[#This Row],[Unit_Price]]</f>
        <v>184.5</v>
      </c>
      <c r="I794" s="1">
        <v>36</v>
      </c>
      <c r="J794" s="1">
        <v>78</v>
      </c>
      <c r="K794" s="8">
        <f>tblInventory[[#This Row],[Reorder_Quantity]]*M794</f>
        <v>351</v>
      </c>
      <c r="L794" s="10">
        <f>tblInventory[[#This Row],[Stock_Quantity]] / tblInventory[[#This Row],[Reorder_Quantity]]</f>
        <v>0.52564102564102566</v>
      </c>
      <c r="M794" s="3">
        <v>4.5</v>
      </c>
      <c r="N794" s="10">
        <f t="shared" si="24"/>
        <v>0.69609507640067914</v>
      </c>
      <c r="O794" s="2">
        <v>45389</v>
      </c>
      <c r="P794" s="2">
        <v>45392</v>
      </c>
      <c r="Q794" s="2">
        <v>45515</v>
      </c>
      <c r="R794" s="1" t="s">
        <v>349</v>
      </c>
      <c r="S794" s="1">
        <v>38</v>
      </c>
      <c r="T794" s="1">
        <v>75</v>
      </c>
      <c r="U794" s="1" t="s">
        <v>38</v>
      </c>
      <c r="V794" s="3">
        <f>tblInventory[[#This Row],[Stock_Quantity]]*tblInventory[[#This Row],[Unit_Price]]</f>
        <v>184.5</v>
      </c>
      <c r="W794" s="1" t="str">
        <f>IF(tblInventory[[#This Row],[Status]]="Discontinued","INACTIVE",
IF(tblInventory[[#This Row],[Stock_Quantity]] &lt; tblInventory[[#This Row],[Reorder_Level]],"REORDER","OK"))</f>
        <v>OK</v>
      </c>
      <c r="X794" s="1" t="str">
        <f t="shared" ca="1" si="25"/>
        <v>Expired</v>
      </c>
    </row>
    <row r="795" spans="1:24">
      <c r="A795" s="1">
        <v>794</v>
      </c>
      <c r="B795" s="1" t="s">
        <v>837</v>
      </c>
      <c r="C795" s="1" t="s">
        <v>274</v>
      </c>
      <c r="D795" s="1" t="s">
        <v>17</v>
      </c>
      <c r="E795" s="1" t="s">
        <v>838</v>
      </c>
      <c r="F795" s="1" t="s">
        <v>839</v>
      </c>
      <c r="G795" s="6">
        <v>53</v>
      </c>
      <c r="H795" s="8">
        <f>tblInventory[[#This Row],[Stock_Quantity]] * tblInventory[[#This Row],[Unit_Price]]</f>
        <v>159</v>
      </c>
      <c r="I795" s="1">
        <v>86</v>
      </c>
      <c r="J795" s="1">
        <v>54</v>
      </c>
      <c r="K795" s="8">
        <f>tblInventory[[#This Row],[Reorder_Quantity]]*M795</f>
        <v>162</v>
      </c>
      <c r="L795" s="10">
        <f>tblInventory[[#This Row],[Stock_Quantity]] / tblInventory[[#This Row],[Reorder_Quantity]]</f>
        <v>0.98148148148148151</v>
      </c>
      <c r="M795" s="3">
        <v>3</v>
      </c>
      <c r="N795" s="10">
        <f t="shared" si="24"/>
        <v>0.89983022071307306</v>
      </c>
      <c r="O795" s="1" t="s">
        <v>840</v>
      </c>
      <c r="P795" s="2">
        <v>45749</v>
      </c>
      <c r="Q795" s="2">
        <v>45703</v>
      </c>
      <c r="R795" s="1" t="s">
        <v>841</v>
      </c>
      <c r="S795" s="1">
        <v>44</v>
      </c>
      <c r="T795" s="1">
        <v>3</v>
      </c>
      <c r="U795" s="1" t="s">
        <v>24</v>
      </c>
      <c r="V795" s="3">
        <f>tblInventory[[#This Row],[Stock_Quantity]]*tblInventory[[#This Row],[Unit_Price]]</f>
        <v>159</v>
      </c>
      <c r="W795" s="1" t="str">
        <f>IF(tblInventory[[#This Row],[Status]]="Discontinued","INACTIVE",
IF(tblInventory[[#This Row],[Stock_Quantity]] &lt; tblInventory[[#This Row],[Reorder_Level]],"REORDER","OK"))</f>
        <v>INACTIVE</v>
      </c>
      <c r="X795" s="1" t="str">
        <f t="shared" ca="1" si="25"/>
        <v>Expired</v>
      </c>
    </row>
    <row r="796" spans="1:24">
      <c r="A796" s="1">
        <v>795</v>
      </c>
      <c r="B796" s="1" t="s">
        <v>1316</v>
      </c>
      <c r="C796" s="1" t="s">
        <v>274</v>
      </c>
      <c r="D796" s="1" t="s">
        <v>17</v>
      </c>
      <c r="E796" s="1" t="s">
        <v>1317</v>
      </c>
      <c r="F796" s="1" t="s">
        <v>534</v>
      </c>
      <c r="G796" s="6">
        <v>18</v>
      </c>
      <c r="H796" s="8">
        <f>tblInventory[[#This Row],[Stock_Quantity]] * tblInventory[[#This Row],[Unit_Price]]</f>
        <v>54</v>
      </c>
      <c r="I796" s="1">
        <v>62</v>
      </c>
      <c r="J796" s="1">
        <v>2</v>
      </c>
      <c r="K796" s="8">
        <f>tblInventory[[#This Row],[Reorder_Quantity]]*M796</f>
        <v>6</v>
      </c>
      <c r="L796" s="10">
        <f>tblInventory[[#This Row],[Stock_Quantity]] / tblInventory[[#This Row],[Reorder_Quantity]]</f>
        <v>9</v>
      </c>
      <c r="M796" s="3">
        <v>3</v>
      </c>
      <c r="N796" s="10">
        <f t="shared" si="24"/>
        <v>0.30560271646859083</v>
      </c>
      <c r="O796" s="1" t="s">
        <v>336</v>
      </c>
      <c r="P796" s="1" t="s">
        <v>786</v>
      </c>
      <c r="Q796" s="2">
        <v>45967</v>
      </c>
      <c r="R796" s="1" t="s">
        <v>1318</v>
      </c>
      <c r="S796" s="1">
        <v>61</v>
      </c>
      <c r="T796" s="1">
        <v>78</v>
      </c>
      <c r="U796" s="1" t="s">
        <v>24</v>
      </c>
      <c r="V796" s="3">
        <f>tblInventory[[#This Row],[Stock_Quantity]]*tblInventory[[#This Row],[Unit_Price]]</f>
        <v>54</v>
      </c>
      <c r="W796" s="1" t="str">
        <f>IF(tblInventory[[#This Row],[Status]]="Discontinued","INACTIVE",
IF(tblInventory[[#This Row],[Stock_Quantity]] &lt; tblInventory[[#This Row],[Reorder_Level]],"REORDER","OK"))</f>
        <v>INACTIVE</v>
      </c>
      <c r="X796" s="1" t="str">
        <f t="shared" ca="1" si="25"/>
        <v>Expired</v>
      </c>
    </row>
    <row r="797" spans="1:24">
      <c r="A797" s="1">
        <v>796</v>
      </c>
      <c r="B797" s="1" t="s">
        <v>2559</v>
      </c>
      <c r="C797" s="1" t="s">
        <v>274</v>
      </c>
      <c r="D797" s="1" t="s">
        <v>17</v>
      </c>
      <c r="E797" s="1" t="s">
        <v>2560</v>
      </c>
      <c r="F797" s="1" t="s">
        <v>964</v>
      </c>
      <c r="G797" s="6">
        <v>56</v>
      </c>
      <c r="H797" s="8">
        <f>tblInventory[[#This Row],[Stock_Quantity]] * tblInventory[[#This Row],[Unit_Price]]</f>
        <v>168</v>
      </c>
      <c r="I797" s="1">
        <v>28</v>
      </c>
      <c r="J797" s="1">
        <v>76</v>
      </c>
      <c r="K797" s="8">
        <f>tblInventory[[#This Row],[Reorder_Quantity]]*M797</f>
        <v>228</v>
      </c>
      <c r="L797" s="10">
        <f>tblInventory[[#This Row],[Stock_Quantity]] / tblInventory[[#This Row],[Reorder_Quantity]]</f>
        <v>0.73684210526315785</v>
      </c>
      <c r="M797" s="3">
        <v>3</v>
      </c>
      <c r="N797" s="10">
        <f t="shared" si="24"/>
        <v>0.95076400679117146</v>
      </c>
      <c r="O797" s="1" t="s">
        <v>428</v>
      </c>
      <c r="P797" s="2">
        <v>45749</v>
      </c>
      <c r="Q797" s="2">
        <v>46362</v>
      </c>
      <c r="R797" s="1" t="s">
        <v>2561</v>
      </c>
      <c r="S797" s="1">
        <v>93</v>
      </c>
      <c r="T797" s="1">
        <v>69</v>
      </c>
      <c r="U797" s="1" t="s">
        <v>46</v>
      </c>
      <c r="V797" s="3">
        <f>tblInventory[[#This Row],[Stock_Quantity]]*tblInventory[[#This Row],[Unit_Price]]</f>
        <v>168</v>
      </c>
      <c r="W797" s="1" t="str">
        <f>IF(tblInventory[[#This Row],[Status]]="Discontinued","INACTIVE",
IF(tblInventory[[#This Row],[Stock_Quantity]] &lt; tblInventory[[#This Row],[Reorder_Level]],"REORDER","OK"))</f>
        <v>OK</v>
      </c>
      <c r="X797" s="1" t="str">
        <f t="shared" ca="1" si="25"/>
        <v>Valid</v>
      </c>
    </row>
    <row r="798" spans="1:24">
      <c r="A798" s="1">
        <v>797</v>
      </c>
      <c r="B798" s="1" t="s">
        <v>2614</v>
      </c>
      <c r="C798" s="1" t="s">
        <v>274</v>
      </c>
      <c r="D798" s="1" t="s">
        <v>17</v>
      </c>
      <c r="E798" s="1" t="s">
        <v>2615</v>
      </c>
      <c r="F798" s="1" t="s">
        <v>1086</v>
      </c>
      <c r="G798" s="6">
        <v>64</v>
      </c>
      <c r="H798" s="8">
        <f>tblInventory[[#This Row],[Stock_Quantity]] * tblInventory[[#This Row],[Unit_Price]]</f>
        <v>192</v>
      </c>
      <c r="I798" s="1">
        <v>97</v>
      </c>
      <c r="J798" s="1">
        <v>91</v>
      </c>
      <c r="K798" s="8">
        <f>tblInventory[[#This Row],[Reorder_Quantity]]*M798</f>
        <v>273</v>
      </c>
      <c r="L798" s="10">
        <f>tblInventory[[#This Row],[Stock_Quantity]] / tblInventory[[#This Row],[Reorder_Quantity]]</f>
        <v>0.70329670329670335</v>
      </c>
      <c r="M798" s="3">
        <v>3</v>
      </c>
      <c r="N798" s="10">
        <f t="shared" si="24"/>
        <v>1.0865874363327674</v>
      </c>
      <c r="O798" s="1" t="s">
        <v>286</v>
      </c>
      <c r="P798" s="1" t="s">
        <v>395</v>
      </c>
      <c r="Q798" s="2">
        <v>46202</v>
      </c>
      <c r="R798" s="1" t="s">
        <v>2616</v>
      </c>
      <c r="S798" s="1">
        <v>48</v>
      </c>
      <c r="T798" s="1">
        <v>100</v>
      </c>
      <c r="U798" s="1" t="s">
        <v>46</v>
      </c>
      <c r="V798" s="3">
        <f>tblInventory[[#This Row],[Stock_Quantity]]*tblInventory[[#This Row],[Unit_Price]]</f>
        <v>192</v>
      </c>
      <c r="W798" s="1" t="str">
        <f>IF(tblInventory[[#This Row],[Status]]="Discontinued","INACTIVE",
IF(tblInventory[[#This Row],[Stock_Quantity]] &lt; tblInventory[[#This Row],[Reorder_Level]],"REORDER","OK"))</f>
        <v>REORDER</v>
      </c>
      <c r="X798" s="1" t="str">
        <f t="shared" ca="1" si="25"/>
        <v>Valid</v>
      </c>
    </row>
    <row r="799" spans="1:24">
      <c r="A799" s="1">
        <v>798</v>
      </c>
      <c r="B799" s="1" t="s">
        <v>3614</v>
      </c>
      <c r="C799" s="1" t="s">
        <v>274</v>
      </c>
      <c r="D799" s="1" t="s">
        <v>17</v>
      </c>
      <c r="E799" s="1" t="s">
        <v>3615</v>
      </c>
      <c r="F799" s="1" t="s">
        <v>2468</v>
      </c>
      <c r="G799" s="6">
        <v>22</v>
      </c>
      <c r="H799" s="8">
        <f>tblInventory[[#This Row],[Stock_Quantity]] * tblInventory[[#This Row],[Unit_Price]]</f>
        <v>66</v>
      </c>
      <c r="I799" s="1">
        <v>77</v>
      </c>
      <c r="J799" s="1">
        <v>15</v>
      </c>
      <c r="K799" s="8">
        <f>tblInventory[[#This Row],[Reorder_Quantity]]*M799</f>
        <v>45</v>
      </c>
      <c r="L799" s="10">
        <f>tblInventory[[#This Row],[Stock_Quantity]] / tblInventory[[#This Row],[Reorder_Quantity]]</f>
        <v>1.4666666666666666</v>
      </c>
      <c r="M799" s="3">
        <v>3</v>
      </c>
      <c r="N799" s="10">
        <f t="shared" si="24"/>
        <v>0.37351443123938882</v>
      </c>
      <c r="O799" s="2">
        <v>45600</v>
      </c>
      <c r="P799" s="1" t="s">
        <v>30</v>
      </c>
      <c r="Q799" s="2">
        <v>46520</v>
      </c>
      <c r="R799" s="1" t="s">
        <v>3616</v>
      </c>
      <c r="S799" s="1">
        <v>68</v>
      </c>
      <c r="T799" s="1">
        <v>46</v>
      </c>
      <c r="U799" s="1" t="s">
        <v>46</v>
      </c>
      <c r="V799" s="3">
        <f>tblInventory[[#This Row],[Stock_Quantity]]*tblInventory[[#This Row],[Unit_Price]]</f>
        <v>66</v>
      </c>
      <c r="W799" s="1" t="str">
        <f>IF(tblInventory[[#This Row],[Status]]="Discontinued","INACTIVE",
IF(tblInventory[[#This Row],[Stock_Quantity]] &lt; tblInventory[[#This Row],[Reorder_Level]],"REORDER","OK"))</f>
        <v>REORDER</v>
      </c>
      <c r="X799" s="1" t="str">
        <f t="shared" ca="1" si="25"/>
        <v>Valid</v>
      </c>
    </row>
    <row r="800" spans="1:24">
      <c r="A800" s="1">
        <v>799</v>
      </c>
      <c r="B800" s="1" t="s">
        <v>796</v>
      </c>
      <c r="C800" s="1" t="s">
        <v>797</v>
      </c>
      <c r="D800" s="1" t="s">
        <v>69</v>
      </c>
      <c r="E800" s="1" t="s">
        <v>798</v>
      </c>
      <c r="F800" s="1" t="s">
        <v>799</v>
      </c>
      <c r="G800" s="6">
        <v>11</v>
      </c>
      <c r="H800" s="8">
        <f>tblInventory[[#This Row],[Stock_Quantity]] * tblInventory[[#This Row],[Unit_Price]]</f>
        <v>44</v>
      </c>
      <c r="I800" s="1">
        <v>30</v>
      </c>
      <c r="J800" s="1">
        <v>4</v>
      </c>
      <c r="K800" s="8">
        <f>tblInventory[[#This Row],[Reorder_Quantity]]*M800</f>
        <v>16</v>
      </c>
      <c r="L800" s="10">
        <f>tblInventory[[#This Row],[Stock_Quantity]] / tblInventory[[#This Row],[Reorder_Quantity]]</f>
        <v>2.75</v>
      </c>
      <c r="M800" s="3">
        <v>4</v>
      </c>
      <c r="N800" s="10">
        <f t="shared" si="24"/>
        <v>0.18675721561969441</v>
      </c>
      <c r="O800" s="2">
        <v>45330</v>
      </c>
      <c r="P800" s="1" t="s">
        <v>800</v>
      </c>
      <c r="Q800" s="2">
        <v>45779</v>
      </c>
      <c r="R800" s="1" t="s">
        <v>801</v>
      </c>
      <c r="S800" s="1">
        <v>84</v>
      </c>
      <c r="T800" s="1">
        <v>4</v>
      </c>
      <c r="U800" s="1" t="s">
        <v>46</v>
      </c>
      <c r="V800" s="3">
        <f>tblInventory[[#This Row],[Stock_Quantity]]*tblInventory[[#This Row],[Unit_Price]]</f>
        <v>44</v>
      </c>
      <c r="W800" s="1" t="str">
        <f>IF(tblInventory[[#This Row],[Status]]="Discontinued","INACTIVE",
IF(tblInventory[[#This Row],[Stock_Quantity]] &lt; tblInventory[[#This Row],[Reorder_Level]],"REORDER","OK"))</f>
        <v>REORDER</v>
      </c>
      <c r="X800" s="1" t="str">
        <f t="shared" ca="1" si="25"/>
        <v>Expired</v>
      </c>
    </row>
    <row r="801" spans="1:24">
      <c r="A801" s="1">
        <v>800</v>
      </c>
      <c r="B801" s="1" t="s">
        <v>1607</v>
      </c>
      <c r="C801" s="1" t="s">
        <v>797</v>
      </c>
      <c r="D801" s="1" t="s">
        <v>69</v>
      </c>
      <c r="E801" s="1" t="s">
        <v>1608</v>
      </c>
      <c r="F801" s="1" t="s">
        <v>114</v>
      </c>
      <c r="G801" s="6">
        <v>43</v>
      </c>
      <c r="H801" s="8">
        <f>tblInventory[[#This Row],[Stock_Quantity]] * tblInventory[[#This Row],[Unit_Price]]</f>
        <v>172</v>
      </c>
      <c r="I801" s="1">
        <v>73</v>
      </c>
      <c r="J801" s="1">
        <v>14</v>
      </c>
      <c r="K801" s="8">
        <f>tblInventory[[#This Row],[Reorder_Quantity]]*M801</f>
        <v>56</v>
      </c>
      <c r="L801" s="10">
        <f>tblInventory[[#This Row],[Stock_Quantity]] / tblInventory[[#This Row],[Reorder_Quantity]]</f>
        <v>3.0714285714285716</v>
      </c>
      <c r="M801" s="3">
        <v>4</v>
      </c>
      <c r="N801" s="10">
        <f t="shared" si="24"/>
        <v>0.7300509337860781</v>
      </c>
      <c r="O801" s="1" t="s">
        <v>334</v>
      </c>
      <c r="P801" s="2">
        <v>45482</v>
      </c>
      <c r="Q801" s="2">
        <v>45897</v>
      </c>
      <c r="R801" s="1" t="s">
        <v>1609</v>
      </c>
      <c r="S801" s="1">
        <v>59</v>
      </c>
      <c r="T801" s="1">
        <v>65</v>
      </c>
      <c r="U801" s="1" t="s">
        <v>46</v>
      </c>
      <c r="V801" s="3">
        <f>tblInventory[[#This Row],[Stock_Quantity]]*tblInventory[[#This Row],[Unit_Price]]</f>
        <v>172</v>
      </c>
      <c r="W801" s="1" t="str">
        <f>IF(tblInventory[[#This Row],[Status]]="Discontinued","INACTIVE",
IF(tblInventory[[#This Row],[Stock_Quantity]] &lt; tblInventory[[#This Row],[Reorder_Level]],"REORDER","OK"))</f>
        <v>REORDER</v>
      </c>
      <c r="X801" s="1" t="str">
        <f t="shared" ca="1" si="25"/>
        <v>Expired</v>
      </c>
    </row>
    <row r="802" spans="1:24">
      <c r="A802" s="1">
        <v>801</v>
      </c>
      <c r="B802" s="1" t="s">
        <v>1924</v>
      </c>
      <c r="C802" s="1" t="s">
        <v>797</v>
      </c>
      <c r="D802" s="1" t="s">
        <v>69</v>
      </c>
      <c r="E802" s="1" t="s">
        <v>1925</v>
      </c>
      <c r="F802" s="1" t="s">
        <v>171</v>
      </c>
      <c r="G802" s="6">
        <v>92</v>
      </c>
      <c r="H802" s="8">
        <f>tblInventory[[#This Row],[Stock_Quantity]] * tblInventory[[#This Row],[Unit_Price]]</f>
        <v>368</v>
      </c>
      <c r="I802" s="1">
        <v>67</v>
      </c>
      <c r="J802" s="1">
        <v>51</v>
      </c>
      <c r="K802" s="8">
        <f>tblInventory[[#This Row],[Reorder_Quantity]]*M802</f>
        <v>204</v>
      </c>
      <c r="L802" s="10">
        <f>tblInventory[[#This Row],[Stock_Quantity]] / tblInventory[[#This Row],[Reorder_Quantity]]</f>
        <v>1.803921568627451</v>
      </c>
      <c r="M802" s="3">
        <v>4</v>
      </c>
      <c r="N802" s="10">
        <f t="shared" si="24"/>
        <v>1.5619694397283532</v>
      </c>
      <c r="O802" s="2">
        <v>45416</v>
      </c>
      <c r="P802" s="2">
        <v>45547</v>
      </c>
      <c r="Q802" s="2">
        <v>45990</v>
      </c>
      <c r="R802" s="1" t="s">
        <v>1926</v>
      </c>
      <c r="S802" s="1">
        <v>23</v>
      </c>
      <c r="T802" s="1">
        <v>78</v>
      </c>
      <c r="U802" s="1" t="s">
        <v>24</v>
      </c>
      <c r="V802" s="3">
        <f>tblInventory[[#This Row],[Stock_Quantity]]*tblInventory[[#This Row],[Unit_Price]]</f>
        <v>368</v>
      </c>
      <c r="W802" s="1" t="str">
        <f>IF(tblInventory[[#This Row],[Status]]="Discontinued","INACTIVE",
IF(tblInventory[[#This Row],[Stock_Quantity]] &lt; tblInventory[[#This Row],[Reorder_Level]],"REORDER","OK"))</f>
        <v>INACTIVE</v>
      </c>
      <c r="X802" s="1" t="str">
        <f t="shared" ca="1" si="25"/>
        <v>Valid</v>
      </c>
    </row>
    <row r="803" spans="1:24">
      <c r="A803" s="1">
        <v>802</v>
      </c>
      <c r="B803" s="1" t="s">
        <v>2736</v>
      </c>
      <c r="C803" s="1" t="s">
        <v>797</v>
      </c>
      <c r="D803" s="1" t="s">
        <v>69</v>
      </c>
      <c r="E803" s="1" t="s">
        <v>2737</v>
      </c>
      <c r="F803" s="1" t="s">
        <v>2738</v>
      </c>
      <c r="G803" s="6">
        <v>22</v>
      </c>
      <c r="H803" s="8">
        <f>tblInventory[[#This Row],[Stock_Quantity]] * tblInventory[[#This Row],[Unit_Price]]</f>
        <v>90.199999999999989</v>
      </c>
      <c r="I803" s="1">
        <v>43</v>
      </c>
      <c r="J803" s="1">
        <v>3</v>
      </c>
      <c r="K803" s="8">
        <f>tblInventory[[#This Row],[Reorder_Quantity]]*M803</f>
        <v>12.299999999999999</v>
      </c>
      <c r="L803" s="10">
        <f>tblInventory[[#This Row],[Stock_Quantity]] / tblInventory[[#This Row],[Reorder_Quantity]]</f>
        <v>7.333333333333333</v>
      </c>
      <c r="M803" s="3">
        <v>4.0999999999999996</v>
      </c>
      <c r="N803" s="10">
        <f t="shared" si="24"/>
        <v>0.37351443123938882</v>
      </c>
      <c r="O803" s="2">
        <v>45659</v>
      </c>
      <c r="P803" s="1" t="s">
        <v>909</v>
      </c>
      <c r="Q803" s="2">
        <v>46211</v>
      </c>
      <c r="R803" s="1" t="s">
        <v>2739</v>
      </c>
      <c r="S803" s="1">
        <v>45</v>
      </c>
      <c r="T803" s="1">
        <v>87</v>
      </c>
      <c r="U803" s="1" t="s">
        <v>38</v>
      </c>
      <c r="V803" s="3">
        <f>tblInventory[[#This Row],[Stock_Quantity]]*tblInventory[[#This Row],[Unit_Price]]</f>
        <v>90.199999999999989</v>
      </c>
      <c r="W803" s="1" t="str">
        <f>IF(tblInventory[[#This Row],[Status]]="Discontinued","INACTIVE",
IF(tblInventory[[#This Row],[Stock_Quantity]] &lt; tblInventory[[#This Row],[Reorder_Level]],"REORDER","OK"))</f>
        <v>REORDER</v>
      </c>
      <c r="X803" s="1" t="str">
        <f t="shared" ca="1" si="25"/>
        <v>Valid</v>
      </c>
    </row>
    <row r="804" spans="1:24">
      <c r="A804" s="1">
        <v>803</v>
      </c>
      <c r="B804" s="1" t="s">
        <v>3092</v>
      </c>
      <c r="C804" s="1" t="s">
        <v>797</v>
      </c>
      <c r="D804" s="1" t="s">
        <v>69</v>
      </c>
      <c r="E804" s="1" t="s">
        <v>3093</v>
      </c>
      <c r="F804" s="1" t="s">
        <v>449</v>
      </c>
      <c r="G804" s="6">
        <v>81</v>
      </c>
      <c r="H804" s="8">
        <f>tblInventory[[#This Row],[Stock_Quantity]] * tblInventory[[#This Row],[Unit_Price]]</f>
        <v>324</v>
      </c>
      <c r="I804" s="1">
        <v>76</v>
      </c>
      <c r="J804" s="1">
        <v>10</v>
      </c>
      <c r="K804" s="8">
        <f>tblInventory[[#This Row],[Reorder_Quantity]]*M804</f>
        <v>40</v>
      </c>
      <c r="L804" s="10">
        <f>tblInventory[[#This Row],[Stock_Quantity]] / tblInventory[[#This Row],[Reorder_Quantity]]</f>
        <v>8.1</v>
      </c>
      <c r="M804" s="3">
        <v>4</v>
      </c>
      <c r="N804" s="10">
        <f t="shared" si="24"/>
        <v>1.3752122241086588</v>
      </c>
      <c r="O804" s="1" t="s">
        <v>688</v>
      </c>
      <c r="P804" s="1" t="s">
        <v>1079</v>
      </c>
      <c r="Q804" s="2">
        <v>46351</v>
      </c>
      <c r="R804" s="1" t="s">
        <v>3094</v>
      </c>
      <c r="S804" s="1">
        <v>68</v>
      </c>
      <c r="T804" s="1">
        <v>100</v>
      </c>
      <c r="U804" s="1" t="s">
        <v>38</v>
      </c>
      <c r="V804" s="3">
        <f>tblInventory[[#This Row],[Stock_Quantity]]*tblInventory[[#This Row],[Unit_Price]]</f>
        <v>324</v>
      </c>
      <c r="W804" s="1" t="str">
        <f>IF(tblInventory[[#This Row],[Status]]="Discontinued","INACTIVE",
IF(tblInventory[[#This Row],[Stock_Quantity]] &lt; tblInventory[[#This Row],[Reorder_Level]],"REORDER","OK"))</f>
        <v>OK</v>
      </c>
      <c r="X804" s="1" t="str">
        <f t="shared" ca="1" si="25"/>
        <v>Valid</v>
      </c>
    </row>
    <row r="805" spans="1:24">
      <c r="A805" s="1">
        <v>804</v>
      </c>
      <c r="B805" s="1" t="s">
        <v>3602</v>
      </c>
      <c r="C805" s="1" t="s">
        <v>797</v>
      </c>
      <c r="D805" s="1" t="s">
        <v>69</v>
      </c>
      <c r="E805" s="1" t="s">
        <v>3603</v>
      </c>
      <c r="F805" s="1" t="s">
        <v>2678</v>
      </c>
      <c r="G805" s="6">
        <v>29</v>
      </c>
      <c r="H805" s="8">
        <f>tblInventory[[#This Row],[Stock_Quantity]] * tblInventory[[#This Row],[Unit_Price]]</f>
        <v>116</v>
      </c>
      <c r="I805" s="1">
        <v>39</v>
      </c>
      <c r="J805" s="1">
        <v>80</v>
      </c>
      <c r="K805" s="8">
        <f>tblInventory[[#This Row],[Reorder_Quantity]]*M805</f>
        <v>320</v>
      </c>
      <c r="L805" s="10">
        <f>tblInventory[[#This Row],[Stock_Quantity]] / tblInventory[[#This Row],[Reorder_Quantity]]</f>
        <v>0.36249999999999999</v>
      </c>
      <c r="M805" s="3">
        <v>4</v>
      </c>
      <c r="N805" s="10">
        <f t="shared" si="24"/>
        <v>0.49235993208828527</v>
      </c>
      <c r="O805" s="1" t="s">
        <v>30</v>
      </c>
      <c r="P805" s="2">
        <v>45362</v>
      </c>
      <c r="Q805" s="2">
        <v>46635</v>
      </c>
      <c r="R805" s="1" t="s">
        <v>3604</v>
      </c>
      <c r="S805" s="1">
        <v>23</v>
      </c>
      <c r="T805" s="1">
        <v>85</v>
      </c>
      <c r="U805" s="1" t="s">
        <v>38</v>
      </c>
      <c r="V805" s="3">
        <f>tblInventory[[#This Row],[Stock_Quantity]]*tblInventory[[#This Row],[Unit_Price]]</f>
        <v>116</v>
      </c>
      <c r="W805" s="1" t="str">
        <f>IF(tblInventory[[#This Row],[Status]]="Discontinued","INACTIVE",
IF(tblInventory[[#This Row],[Stock_Quantity]] &lt; tblInventory[[#This Row],[Reorder_Level]],"REORDER","OK"))</f>
        <v>REORDER</v>
      </c>
      <c r="X805" s="1" t="str">
        <f t="shared" ca="1" si="25"/>
        <v>Valid</v>
      </c>
    </row>
    <row r="806" spans="1:24">
      <c r="A806" s="1">
        <v>805</v>
      </c>
      <c r="B806" s="1" t="s">
        <v>338</v>
      </c>
      <c r="C806" s="1" t="s">
        <v>339</v>
      </c>
      <c r="D806" s="1" t="s">
        <v>100</v>
      </c>
      <c r="E806" s="1" t="s">
        <v>340</v>
      </c>
      <c r="F806" s="1" t="s">
        <v>341</v>
      </c>
      <c r="G806" s="6">
        <v>41</v>
      </c>
      <c r="H806" s="8">
        <f>tblInventory[[#This Row],[Stock_Quantity]] * tblInventory[[#This Row],[Unit_Price]]</f>
        <v>164</v>
      </c>
      <c r="I806" s="1">
        <v>84</v>
      </c>
      <c r="J806" s="1">
        <v>90</v>
      </c>
      <c r="K806" s="8">
        <f>tblInventory[[#This Row],[Reorder_Quantity]]*M806</f>
        <v>360</v>
      </c>
      <c r="L806" s="10">
        <f>tblInventory[[#This Row],[Stock_Quantity]] / tblInventory[[#This Row],[Reorder_Quantity]]</f>
        <v>0.45555555555555555</v>
      </c>
      <c r="M806" s="3">
        <v>4</v>
      </c>
      <c r="N806" s="10">
        <f t="shared" si="24"/>
        <v>0.69609507640067914</v>
      </c>
      <c r="O806" s="1" t="s">
        <v>342</v>
      </c>
      <c r="P806" s="1" t="s">
        <v>343</v>
      </c>
      <c r="Q806" s="2">
        <v>45484</v>
      </c>
      <c r="R806" s="1" t="s">
        <v>344</v>
      </c>
      <c r="S806" s="1">
        <v>42</v>
      </c>
      <c r="T806" s="1">
        <v>65</v>
      </c>
      <c r="U806" s="1" t="s">
        <v>46</v>
      </c>
      <c r="V806" s="3">
        <f>tblInventory[[#This Row],[Stock_Quantity]]*tblInventory[[#This Row],[Unit_Price]]</f>
        <v>164</v>
      </c>
      <c r="W806" s="1" t="str">
        <f>IF(tblInventory[[#This Row],[Status]]="Discontinued","INACTIVE",
IF(tblInventory[[#This Row],[Stock_Quantity]] &lt; tblInventory[[#This Row],[Reorder_Level]],"REORDER","OK"))</f>
        <v>REORDER</v>
      </c>
      <c r="X806" s="1" t="str">
        <f t="shared" ca="1" si="25"/>
        <v>Expired</v>
      </c>
    </row>
    <row r="807" spans="1:24">
      <c r="A807" s="1">
        <v>806</v>
      </c>
      <c r="B807" s="1" t="s">
        <v>374</v>
      </c>
      <c r="C807" s="1" t="s">
        <v>339</v>
      </c>
      <c r="D807" s="1" t="s">
        <v>100</v>
      </c>
      <c r="E807" s="1" t="s">
        <v>375</v>
      </c>
      <c r="F807" s="1" t="s">
        <v>376</v>
      </c>
      <c r="G807" s="6">
        <v>59</v>
      </c>
      <c r="H807" s="8">
        <f>tblInventory[[#This Row],[Stock_Quantity]] * tblInventory[[#This Row],[Unit_Price]]</f>
        <v>265.5</v>
      </c>
      <c r="I807" s="1">
        <v>78</v>
      </c>
      <c r="J807" s="1">
        <v>6</v>
      </c>
      <c r="K807" s="8">
        <f>tblInventory[[#This Row],[Reorder_Quantity]]*M807</f>
        <v>27</v>
      </c>
      <c r="L807" s="10">
        <f>tblInventory[[#This Row],[Stock_Quantity]] / tblInventory[[#This Row],[Reorder_Quantity]]</f>
        <v>9.8333333333333339</v>
      </c>
      <c r="M807" s="3">
        <v>4.5</v>
      </c>
      <c r="N807" s="10">
        <f t="shared" si="24"/>
        <v>1.0016977928692701</v>
      </c>
      <c r="O807" s="2">
        <v>45362</v>
      </c>
      <c r="P807" s="2">
        <v>45571</v>
      </c>
      <c r="Q807" s="2">
        <v>45610</v>
      </c>
      <c r="R807" s="1" t="s">
        <v>378</v>
      </c>
      <c r="S807" s="1">
        <v>32</v>
      </c>
      <c r="T807" s="1">
        <v>3</v>
      </c>
      <c r="U807" s="1" t="s">
        <v>46</v>
      </c>
      <c r="V807" s="3">
        <f>tblInventory[[#This Row],[Stock_Quantity]]*tblInventory[[#This Row],[Unit_Price]]</f>
        <v>265.5</v>
      </c>
      <c r="W807" s="1" t="str">
        <f>IF(tblInventory[[#This Row],[Status]]="Discontinued","INACTIVE",
IF(tblInventory[[#This Row],[Stock_Quantity]] &lt; tblInventory[[#This Row],[Reorder_Level]],"REORDER","OK"))</f>
        <v>REORDER</v>
      </c>
      <c r="X807" s="1" t="str">
        <f t="shared" ca="1" si="25"/>
        <v>Expired</v>
      </c>
    </row>
    <row r="808" spans="1:24">
      <c r="A808" s="1">
        <v>807</v>
      </c>
      <c r="B808" s="1" t="s">
        <v>721</v>
      </c>
      <c r="C808" s="1" t="s">
        <v>339</v>
      </c>
      <c r="D808" s="1" t="s">
        <v>100</v>
      </c>
      <c r="E808" s="1" t="s">
        <v>722</v>
      </c>
      <c r="F808" s="1" t="s">
        <v>723</v>
      </c>
      <c r="G808" s="6">
        <v>34</v>
      </c>
      <c r="H808" s="8">
        <f>tblInventory[[#This Row],[Stock_Quantity]] * tblInventory[[#This Row],[Unit_Price]]</f>
        <v>136</v>
      </c>
      <c r="I808" s="1">
        <v>42</v>
      </c>
      <c r="J808" s="1">
        <v>86</v>
      </c>
      <c r="K808" s="8">
        <f>tblInventory[[#This Row],[Reorder_Quantity]]*M808</f>
        <v>344</v>
      </c>
      <c r="L808" s="10">
        <f>tblInventory[[#This Row],[Stock_Quantity]] / tblInventory[[#This Row],[Reorder_Quantity]]</f>
        <v>0.39534883720930231</v>
      </c>
      <c r="M808" s="3">
        <v>4</v>
      </c>
      <c r="N808" s="10">
        <f t="shared" si="24"/>
        <v>0.57724957555178269</v>
      </c>
      <c r="O808" s="1" t="s">
        <v>323</v>
      </c>
      <c r="P808" s="2">
        <v>45483</v>
      </c>
      <c r="Q808" s="2">
        <v>45677</v>
      </c>
      <c r="R808" s="1" t="s">
        <v>724</v>
      </c>
      <c r="S808" s="1">
        <v>28</v>
      </c>
      <c r="T808" s="1">
        <v>23</v>
      </c>
      <c r="U808" s="1" t="s">
        <v>24</v>
      </c>
      <c r="V808" s="3">
        <f>tblInventory[[#This Row],[Stock_Quantity]]*tblInventory[[#This Row],[Unit_Price]]</f>
        <v>136</v>
      </c>
      <c r="W808" s="1" t="str">
        <f>IF(tblInventory[[#This Row],[Status]]="Discontinued","INACTIVE",
IF(tblInventory[[#This Row],[Stock_Quantity]] &lt; tblInventory[[#This Row],[Reorder_Level]],"REORDER","OK"))</f>
        <v>INACTIVE</v>
      </c>
      <c r="X808" s="1" t="str">
        <f t="shared" ca="1" si="25"/>
        <v>Expired</v>
      </c>
    </row>
    <row r="809" spans="1:24">
      <c r="A809" s="1">
        <v>808</v>
      </c>
      <c r="B809" s="1" t="s">
        <v>834</v>
      </c>
      <c r="C809" s="1" t="s">
        <v>339</v>
      </c>
      <c r="D809" s="1" t="s">
        <v>100</v>
      </c>
      <c r="E809" s="1" t="s">
        <v>835</v>
      </c>
      <c r="F809" s="1" t="s">
        <v>657</v>
      </c>
      <c r="G809" s="6">
        <v>12</v>
      </c>
      <c r="H809" s="8">
        <f>tblInventory[[#This Row],[Stock_Quantity]] * tblInventory[[#This Row],[Unit_Price]]</f>
        <v>48</v>
      </c>
      <c r="I809" s="1">
        <v>86</v>
      </c>
      <c r="J809" s="1">
        <v>98</v>
      </c>
      <c r="K809" s="8">
        <f>tblInventory[[#This Row],[Reorder_Quantity]]*M809</f>
        <v>392</v>
      </c>
      <c r="L809" s="10">
        <f>tblInventory[[#This Row],[Stock_Quantity]] / tblInventory[[#This Row],[Reorder_Quantity]]</f>
        <v>0.12244897959183673</v>
      </c>
      <c r="M809" s="3">
        <v>4</v>
      </c>
      <c r="N809" s="10">
        <f t="shared" si="24"/>
        <v>0.2037351443123939</v>
      </c>
      <c r="O809" s="2">
        <v>45575</v>
      </c>
      <c r="P809" s="1" t="s">
        <v>21</v>
      </c>
      <c r="Q809" s="2">
        <v>45702</v>
      </c>
      <c r="R809" s="1" t="s">
        <v>836</v>
      </c>
      <c r="S809" s="1">
        <v>75</v>
      </c>
      <c r="T809" s="1">
        <v>86</v>
      </c>
      <c r="U809" s="1" t="s">
        <v>24</v>
      </c>
      <c r="V809" s="3">
        <f>tblInventory[[#This Row],[Stock_Quantity]]*tblInventory[[#This Row],[Unit_Price]]</f>
        <v>48</v>
      </c>
      <c r="W809" s="1" t="str">
        <f>IF(tblInventory[[#This Row],[Status]]="Discontinued","INACTIVE",
IF(tblInventory[[#This Row],[Stock_Quantity]] &lt; tblInventory[[#This Row],[Reorder_Level]],"REORDER","OK"))</f>
        <v>INACTIVE</v>
      </c>
      <c r="X809" s="1" t="str">
        <f t="shared" ca="1" si="25"/>
        <v>Expired</v>
      </c>
    </row>
    <row r="810" spans="1:24">
      <c r="A810" s="1">
        <v>809</v>
      </c>
      <c r="B810" s="1" t="s">
        <v>1006</v>
      </c>
      <c r="C810" s="1" t="s">
        <v>339</v>
      </c>
      <c r="D810" s="1" t="s">
        <v>100</v>
      </c>
      <c r="E810" s="1" t="s">
        <v>1007</v>
      </c>
      <c r="F810" s="1" t="s">
        <v>76</v>
      </c>
      <c r="G810" s="6">
        <v>30</v>
      </c>
      <c r="H810" s="8">
        <f>tblInventory[[#This Row],[Stock_Quantity]] * tblInventory[[#This Row],[Unit_Price]]</f>
        <v>135</v>
      </c>
      <c r="I810" s="1">
        <v>85</v>
      </c>
      <c r="J810" s="1">
        <v>21</v>
      </c>
      <c r="K810" s="8">
        <f>tblInventory[[#This Row],[Reorder_Quantity]]*M810</f>
        <v>94.5</v>
      </c>
      <c r="L810" s="10">
        <f>tblInventory[[#This Row],[Stock_Quantity]] / tblInventory[[#This Row],[Reorder_Quantity]]</f>
        <v>1.4285714285714286</v>
      </c>
      <c r="M810" s="3">
        <v>4.5</v>
      </c>
      <c r="N810" s="10">
        <f t="shared" si="24"/>
        <v>0.50933786078098475</v>
      </c>
      <c r="O810" s="1" t="s">
        <v>1008</v>
      </c>
      <c r="P810" s="1" t="s">
        <v>424</v>
      </c>
      <c r="Q810" s="2">
        <v>45741</v>
      </c>
      <c r="R810" s="1" t="s">
        <v>1009</v>
      </c>
      <c r="S810" s="1">
        <v>32</v>
      </c>
      <c r="T810" s="1">
        <v>83</v>
      </c>
      <c r="U810" s="1" t="s">
        <v>24</v>
      </c>
      <c r="V810" s="3">
        <f>tblInventory[[#This Row],[Stock_Quantity]]*tblInventory[[#This Row],[Unit_Price]]</f>
        <v>135</v>
      </c>
      <c r="W810" s="1" t="str">
        <f>IF(tblInventory[[#This Row],[Status]]="Discontinued","INACTIVE",
IF(tblInventory[[#This Row],[Stock_Quantity]] &lt; tblInventory[[#This Row],[Reorder_Level]],"REORDER","OK"))</f>
        <v>INACTIVE</v>
      </c>
      <c r="X810" s="1" t="str">
        <f t="shared" ca="1" si="25"/>
        <v>Expired</v>
      </c>
    </row>
    <row r="811" spans="1:24">
      <c r="A811" s="1">
        <v>810</v>
      </c>
      <c r="B811" s="1" t="s">
        <v>1502</v>
      </c>
      <c r="C811" s="1" t="s">
        <v>339</v>
      </c>
      <c r="D811" s="1" t="s">
        <v>100</v>
      </c>
      <c r="E811" s="1" t="s">
        <v>1503</v>
      </c>
      <c r="F811" s="1" t="s">
        <v>1452</v>
      </c>
      <c r="G811" s="6">
        <v>12</v>
      </c>
      <c r="H811" s="8">
        <f>tblInventory[[#This Row],[Stock_Quantity]] * tblInventory[[#This Row],[Unit_Price]]</f>
        <v>54</v>
      </c>
      <c r="I811" s="1">
        <v>59</v>
      </c>
      <c r="J811" s="1">
        <v>62</v>
      </c>
      <c r="K811" s="8">
        <f>tblInventory[[#This Row],[Reorder_Quantity]]*M811</f>
        <v>279</v>
      </c>
      <c r="L811" s="10">
        <f>tblInventory[[#This Row],[Stock_Quantity]] / tblInventory[[#This Row],[Reorder_Quantity]]</f>
        <v>0.19354838709677419</v>
      </c>
      <c r="M811" s="3">
        <v>4.5</v>
      </c>
      <c r="N811" s="10">
        <f t="shared" si="24"/>
        <v>0.2037351443123939</v>
      </c>
      <c r="O811" s="2">
        <v>45357</v>
      </c>
      <c r="P811" s="1" t="s">
        <v>438</v>
      </c>
      <c r="Q811" s="2">
        <v>45867</v>
      </c>
      <c r="R811" s="1" t="s">
        <v>1504</v>
      </c>
      <c r="S811" s="1">
        <v>75</v>
      </c>
      <c r="T811" s="1">
        <v>92</v>
      </c>
      <c r="U811" s="1" t="s">
        <v>38</v>
      </c>
      <c r="V811" s="3">
        <f>tblInventory[[#This Row],[Stock_Quantity]]*tblInventory[[#This Row],[Unit_Price]]</f>
        <v>54</v>
      </c>
      <c r="W811" s="1" t="str">
        <f>IF(tblInventory[[#This Row],[Status]]="Discontinued","INACTIVE",
IF(tblInventory[[#This Row],[Stock_Quantity]] &lt; tblInventory[[#This Row],[Reorder_Level]],"REORDER","OK"))</f>
        <v>REORDER</v>
      </c>
      <c r="X811" s="1" t="str">
        <f t="shared" ca="1" si="25"/>
        <v>Expired</v>
      </c>
    </row>
    <row r="812" spans="1:24">
      <c r="A812" s="1">
        <v>811</v>
      </c>
      <c r="B812" s="1" t="s">
        <v>1805</v>
      </c>
      <c r="C812" s="1" t="s">
        <v>339</v>
      </c>
      <c r="D812" s="1" t="s">
        <v>100</v>
      </c>
      <c r="E812" s="1" t="s">
        <v>1806</v>
      </c>
      <c r="F812" s="1" t="s">
        <v>1807</v>
      </c>
      <c r="G812" s="6">
        <v>65</v>
      </c>
      <c r="H812" s="8">
        <f>tblInventory[[#This Row],[Stock_Quantity]] * tblInventory[[#This Row],[Unit_Price]]</f>
        <v>260</v>
      </c>
      <c r="I812" s="1">
        <v>79</v>
      </c>
      <c r="J812" s="1">
        <v>49</v>
      </c>
      <c r="K812" s="8">
        <f>tblInventory[[#This Row],[Reorder_Quantity]]*M812</f>
        <v>196</v>
      </c>
      <c r="L812" s="10">
        <f>tblInventory[[#This Row],[Stock_Quantity]] / tblInventory[[#This Row],[Reorder_Quantity]]</f>
        <v>1.3265306122448979</v>
      </c>
      <c r="M812" s="3">
        <v>4</v>
      </c>
      <c r="N812" s="10">
        <f t="shared" si="24"/>
        <v>1.1035653650254669</v>
      </c>
      <c r="O812" s="2">
        <v>45326</v>
      </c>
      <c r="P812" s="2">
        <v>45571</v>
      </c>
      <c r="Q812" s="2">
        <v>45955</v>
      </c>
      <c r="R812" s="1" t="s">
        <v>1808</v>
      </c>
      <c r="S812" s="1">
        <v>100</v>
      </c>
      <c r="T812" s="1">
        <v>9</v>
      </c>
      <c r="U812" s="1" t="s">
        <v>24</v>
      </c>
      <c r="V812" s="3">
        <f>tblInventory[[#This Row],[Stock_Quantity]]*tblInventory[[#This Row],[Unit_Price]]</f>
        <v>260</v>
      </c>
      <c r="W812" s="1" t="str">
        <f>IF(tblInventory[[#This Row],[Status]]="Discontinued","INACTIVE",
IF(tblInventory[[#This Row],[Stock_Quantity]] &lt; tblInventory[[#This Row],[Reorder_Level]],"REORDER","OK"))</f>
        <v>INACTIVE</v>
      </c>
      <c r="X812" s="1" t="str">
        <f t="shared" ca="1" si="25"/>
        <v>Expired</v>
      </c>
    </row>
    <row r="813" spans="1:24">
      <c r="A813" s="1">
        <v>812</v>
      </c>
      <c r="B813" s="1" t="s">
        <v>2071</v>
      </c>
      <c r="C813" s="1" t="s">
        <v>339</v>
      </c>
      <c r="D813" s="1" t="s">
        <v>100</v>
      </c>
      <c r="E813" s="1" t="s">
        <v>2072</v>
      </c>
      <c r="F813" s="1" t="s">
        <v>931</v>
      </c>
      <c r="G813" s="6">
        <v>22</v>
      </c>
      <c r="H813" s="8">
        <f>tblInventory[[#This Row],[Stock_Quantity]] * tblInventory[[#This Row],[Unit_Price]]</f>
        <v>92.4</v>
      </c>
      <c r="I813" s="1">
        <v>60</v>
      </c>
      <c r="J813" s="1">
        <v>73</v>
      </c>
      <c r="K813" s="8">
        <f>tblInventory[[#This Row],[Reorder_Quantity]]*M813</f>
        <v>306.60000000000002</v>
      </c>
      <c r="L813" s="10">
        <f>tblInventory[[#This Row],[Stock_Quantity]] / tblInventory[[#This Row],[Reorder_Quantity]]</f>
        <v>0.30136986301369861</v>
      </c>
      <c r="M813" s="3">
        <v>4.2</v>
      </c>
      <c r="N813" s="10">
        <f t="shared" si="24"/>
        <v>0.37351443123938882</v>
      </c>
      <c r="O813" s="2">
        <v>45542</v>
      </c>
      <c r="P813" s="2">
        <v>45515</v>
      </c>
      <c r="Q813" s="2">
        <v>46036</v>
      </c>
      <c r="R813" s="1" t="s">
        <v>2073</v>
      </c>
      <c r="S813" s="1">
        <v>62</v>
      </c>
      <c r="T813" s="1">
        <v>3</v>
      </c>
      <c r="U813" s="1" t="s">
        <v>38</v>
      </c>
      <c r="V813" s="3">
        <f>tblInventory[[#This Row],[Stock_Quantity]]*tblInventory[[#This Row],[Unit_Price]]</f>
        <v>92.4</v>
      </c>
      <c r="W813" s="1" t="str">
        <f>IF(tblInventory[[#This Row],[Status]]="Discontinued","INACTIVE",
IF(tblInventory[[#This Row],[Stock_Quantity]] &lt; tblInventory[[#This Row],[Reorder_Level]],"REORDER","OK"))</f>
        <v>REORDER</v>
      </c>
      <c r="X813" s="1" t="str">
        <f t="shared" ca="1" si="25"/>
        <v>Valid</v>
      </c>
    </row>
    <row r="814" spans="1:24">
      <c r="A814" s="1">
        <v>813</v>
      </c>
      <c r="B814" s="1" t="s">
        <v>2138</v>
      </c>
      <c r="C814" s="1" t="s">
        <v>339</v>
      </c>
      <c r="D814" s="1" t="s">
        <v>100</v>
      </c>
      <c r="E814" s="1" t="s">
        <v>2139</v>
      </c>
      <c r="F814" s="1" t="s">
        <v>2140</v>
      </c>
      <c r="G814" s="6">
        <v>71</v>
      </c>
      <c r="H814" s="8">
        <f>tblInventory[[#This Row],[Stock_Quantity]] * tblInventory[[#This Row],[Unit_Price]]</f>
        <v>284</v>
      </c>
      <c r="I814" s="1">
        <v>97</v>
      </c>
      <c r="J814" s="1">
        <v>44</v>
      </c>
      <c r="K814" s="8">
        <f>tblInventory[[#This Row],[Reorder_Quantity]]*M814</f>
        <v>176</v>
      </c>
      <c r="L814" s="10">
        <f>tblInventory[[#This Row],[Stock_Quantity]] / tblInventory[[#This Row],[Reorder_Quantity]]</f>
        <v>1.6136363636363635</v>
      </c>
      <c r="M814" s="3">
        <v>4</v>
      </c>
      <c r="N814" s="10">
        <f t="shared" si="24"/>
        <v>1.2054329371816639</v>
      </c>
      <c r="O814" s="1" t="s">
        <v>597</v>
      </c>
      <c r="P814" s="1" t="s">
        <v>524</v>
      </c>
      <c r="Q814" s="2">
        <v>46114</v>
      </c>
      <c r="R814" s="1" t="s">
        <v>2141</v>
      </c>
      <c r="S814" s="1">
        <v>58</v>
      </c>
      <c r="T814" s="1">
        <v>14</v>
      </c>
      <c r="U814" s="1" t="s">
        <v>24</v>
      </c>
      <c r="V814" s="3">
        <f>tblInventory[[#This Row],[Stock_Quantity]]*tblInventory[[#This Row],[Unit_Price]]</f>
        <v>284</v>
      </c>
      <c r="W814" s="1" t="str">
        <f>IF(tblInventory[[#This Row],[Status]]="Discontinued","INACTIVE",
IF(tblInventory[[#This Row],[Stock_Quantity]] &lt; tblInventory[[#This Row],[Reorder_Level]],"REORDER","OK"))</f>
        <v>INACTIVE</v>
      </c>
      <c r="X814" s="1" t="str">
        <f t="shared" ca="1" si="25"/>
        <v>Valid</v>
      </c>
    </row>
    <row r="815" spans="1:24">
      <c r="A815" s="1">
        <v>814</v>
      </c>
      <c r="B815" s="1" t="s">
        <v>3145</v>
      </c>
      <c r="C815" s="1" t="s">
        <v>339</v>
      </c>
      <c r="D815" s="1" t="s">
        <v>100</v>
      </c>
      <c r="E815" s="1" t="s">
        <v>3146</v>
      </c>
      <c r="F815" s="1" t="s">
        <v>1289</v>
      </c>
      <c r="G815" s="6">
        <v>94</v>
      </c>
      <c r="H815" s="8">
        <f>tblInventory[[#This Row],[Stock_Quantity]] * tblInventory[[#This Row],[Unit_Price]]</f>
        <v>376</v>
      </c>
      <c r="I815" s="1">
        <v>56</v>
      </c>
      <c r="J815" s="1">
        <v>80</v>
      </c>
      <c r="K815" s="8">
        <f>tblInventory[[#This Row],[Reorder_Quantity]]*M815</f>
        <v>320</v>
      </c>
      <c r="L815" s="10">
        <f>tblInventory[[#This Row],[Stock_Quantity]] / tblInventory[[#This Row],[Reorder_Quantity]]</f>
        <v>1.175</v>
      </c>
      <c r="M815" s="3">
        <v>4</v>
      </c>
      <c r="N815" s="10">
        <f t="shared" si="24"/>
        <v>1.5959252971137521</v>
      </c>
      <c r="O815" s="2">
        <v>45748</v>
      </c>
      <c r="P815" s="2">
        <v>45334</v>
      </c>
      <c r="Q815" s="2">
        <v>46368</v>
      </c>
      <c r="R815" s="1" t="s">
        <v>3147</v>
      </c>
      <c r="S815" s="1">
        <v>47</v>
      </c>
      <c r="T815" s="1">
        <v>96</v>
      </c>
      <c r="U815" s="1" t="s">
        <v>38</v>
      </c>
      <c r="V815" s="3">
        <f>tblInventory[[#This Row],[Stock_Quantity]]*tblInventory[[#This Row],[Unit_Price]]</f>
        <v>376</v>
      </c>
      <c r="W815" s="1" t="str">
        <f>IF(tblInventory[[#This Row],[Status]]="Discontinued","INACTIVE",
IF(tblInventory[[#This Row],[Stock_Quantity]] &lt; tblInventory[[#This Row],[Reorder_Level]],"REORDER","OK"))</f>
        <v>OK</v>
      </c>
      <c r="X815" s="1" t="str">
        <f t="shared" ca="1" si="25"/>
        <v>Valid</v>
      </c>
    </row>
    <row r="816" spans="1:24">
      <c r="A816" s="1">
        <v>815</v>
      </c>
      <c r="B816" s="1" t="s">
        <v>3668</v>
      </c>
      <c r="C816" s="1" t="s">
        <v>339</v>
      </c>
      <c r="D816" s="1" t="s">
        <v>100</v>
      </c>
      <c r="E816" s="1" t="s">
        <v>3669</v>
      </c>
      <c r="F816" s="1" t="s">
        <v>1521</v>
      </c>
      <c r="G816" s="6">
        <v>40</v>
      </c>
      <c r="H816" s="8">
        <f>tblInventory[[#This Row],[Stock_Quantity]] * tblInventory[[#This Row],[Unit_Price]]</f>
        <v>180</v>
      </c>
      <c r="I816" s="1">
        <v>30</v>
      </c>
      <c r="J816" s="1">
        <v>65</v>
      </c>
      <c r="K816" s="8">
        <f>tblInventory[[#This Row],[Reorder_Quantity]]*M816</f>
        <v>292.5</v>
      </c>
      <c r="L816" s="10">
        <f>tblInventory[[#This Row],[Stock_Quantity]] / tblInventory[[#This Row],[Reorder_Quantity]]</f>
        <v>0.61538461538461542</v>
      </c>
      <c r="M816" s="3">
        <v>4.5</v>
      </c>
      <c r="N816" s="10">
        <f t="shared" si="24"/>
        <v>0.6791171477079796</v>
      </c>
      <c r="O816" s="2">
        <v>45329</v>
      </c>
      <c r="P816" s="1" t="s">
        <v>383</v>
      </c>
      <c r="Q816" s="2">
        <v>46538</v>
      </c>
      <c r="R816" s="1" t="s">
        <v>3670</v>
      </c>
      <c r="S816" s="1">
        <v>54</v>
      </c>
      <c r="T816" s="1">
        <v>29</v>
      </c>
      <c r="U816" s="1" t="s">
        <v>46</v>
      </c>
      <c r="V816" s="3">
        <f>tblInventory[[#This Row],[Stock_Quantity]]*tblInventory[[#This Row],[Unit_Price]]</f>
        <v>180</v>
      </c>
      <c r="W816" s="1" t="str">
        <f>IF(tblInventory[[#This Row],[Status]]="Discontinued","INACTIVE",
IF(tblInventory[[#This Row],[Stock_Quantity]] &lt; tblInventory[[#This Row],[Reorder_Level]],"REORDER","OK"))</f>
        <v>OK</v>
      </c>
      <c r="X816" s="1" t="str">
        <f t="shared" ca="1" si="25"/>
        <v>Valid</v>
      </c>
    </row>
    <row r="817" spans="1:24">
      <c r="A817" s="1">
        <v>816</v>
      </c>
      <c r="B817" s="1" t="s">
        <v>146</v>
      </c>
      <c r="C817" s="1" t="s">
        <v>147</v>
      </c>
      <c r="D817" s="1" t="s">
        <v>49</v>
      </c>
      <c r="E817" s="1" t="s">
        <v>148</v>
      </c>
      <c r="F817" s="1" t="s">
        <v>149</v>
      </c>
      <c r="G817" s="6">
        <v>72</v>
      </c>
      <c r="H817" s="8">
        <f>tblInventory[[#This Row],[Stock_Quantity]] * tblInventory[[#This Row],[Unit_Price]]</f>
        <v>180</v>
      </c>
      <c r="I817" s="1">
        <v>70</v>
      </c>
      <c r="J817" s="1">
        <v>99</v>
      </c>
      <c r="K817" s="8">
        <f>tblInventory[[#This Row],[Reorder_Quantity]]*M817</f>
        <v>247.5</v>
      </c>
      <c r="L817" s="10">
        <f>tblInventory[[#This Row],[Stock_Quantity]] / tblInventory[[#This Row],[Reorder_Quantity]]</f>
        <v>0.72727272727272729</v>
      </c>
      <c r="M817" s="3">
        <v>2.5</v>
      </c>
      <c r="N817" s="10">
        <f t="shared" si="24"/>
        <v>1.2224108658743633</v>
      </c>
      <c r="O817" s="2">
        <v>45483</v>
      </c>
      <c r="P817" s="1" t="s">
        <v>150</v>
      </c>
      <c r="Q817" s="2">
        <v>45545</v>
      </c>
      <c r="R817" s="1" t="s">
        <v>152</v>
      </c>
      <c r="S817" s="1">
        <v>82</v>
      </c>
      <c r="T817" s="1">
        <v>32</v>
      </c>
      <c r="U817" s="1" t="s">
        <v>24</v>
      </c>
      <c r="V817" s="3">
        <f>tblInventory[[#This Row],[Stock_Quantity]]*tblInventory[[#This Row],[Unit_Price]]</f>
        <v>180</v>
      </c>
      <c r="W817" s="1" t="str">
        <f>IF(tblInventory[[#This Row],[Status]]="Discontinued","INACTIVE",
IF(tblInventory[[#This Row],[Stock_Quantity]] &lt; tblInventory[[#This Row],[Reorder_Level]],"REORDER","OK"))</f>
        <v>INACTIVE</v>
      </c>
      <c r="X817" s="1" t="str">
        <f t="shared" ca="1" si="25"/>
        <v>Expired</v>
      </c>
    </row>
    <row r="818" spans="1:24">
      <c r="A818" s="1">
        <v>817</v>
      </c>
      <c r="B818" s="1" t="s">
        <v>521</v>
      </c>
      <c r="C818" s="1" t="s">
        <v>147</v>
      </c>
      <c r="D818" s="1" t="s">
        <v>49</v>
      </c>
      <c r="E818" s="1" t="s">
        <v>522</v>
      </c>
      <c r="F818" s="1" t="s">
        <v>523</v>
      </c>
      <c r="G818" s="6">
        <v>41</v>
      </c>
      <c r="H818" s="8">
        <f>tblInventory[[#This Row],[Stock_Quantity]] * tblInventory[[#This Row],[Unit_Price]]</f>
        <v>98.399999999999991</v>
      </c>
      <c r="I818" s="1">
        <v>29</v>
      </c>
      <c r="J818" s="1">
        <v>76</v>
      </c>
      <c r="K818" s="8">
        <f>tblInventory[[#This Row],[Reorder_Quantity]]*M818</f>
        <v>182.4</v>
      </c>
      <c r="L818" s="10">
        <f>tblInventory[[#This Row],[Stock_Quantity]] / tblInventory[[#This Row],[Reorder_Quantity]]</f>
        <v>0.53947368421052633</v>
      </c>
      <c r="M818" s="3">
        <v>2.4</v>
      </c>
      <c r="N818" s="10">
        <f t="shared" si="24"/>
        <v>0.69609507640067914</v>
      </c>
      <c r="O818" s="1" t="s">
        <v>524</v>
      </c>
      <c r="P818" s="1" t="s">
        <v>525</v>
      </c>
      <c r="Q818" s="2">
        <v>45608</v>
      </c>
      <c r="R818" s="1" t="s">
        <v>526</v>
      </c>
      <c r="S818" s="1">
        <v>59</v>
      </c>
      <c r="T818" s="1">
        <v>4</v>
      </c>
      <c r="U818" s="1" t="s">
        <v>24</v>
      </c>
      <c r="V818" s="3">
        <f>tblInventory[[#This Row],[Stock_Quantity]]*tblInventory[[#This Row],[Unit_Price]]</f>
        <v>98.399999999999991</v>
      </c>
      <c r="W818" s="1" t="str">
        <f>IF(tblInventory[[#This Row],[Status]]="Discontinued","INACTIVE",
IF(tblInventory[[#This Row],[Stock_Quantity]] &lt; tblInventory[[#This Row],[Reorder_Level]],"REORDER","OK"))</f>
        <v>INACTIVE</v>
      </c>
      <c r="X818" s="1" t="str">
        <f t="shared" ca="1" si="25"/>
        <v>Expired</v>
      </c>
    </row>
    <row r="819" spans="1:24">
      <c r="A819" s="1">
        <v>818</v>
      </c>
      <c r="B819" s="1" t="s">
        <v>2584</v>
      </c>
      <c r="C819" s="1" t="s">
        <v>147</v>
      </c>
      <c r="D819" s="1" t="s">
        <v>49</v>
      </c>
      <c r="E819" s="1" t="s">
        <v>2585</v>
      </c>
      <c r="F819" s="1" t="s">
        <v>2586</v>
      </c>
      <c r="G819" s="6">
        <v>45</v>
      </c>
      <c r="H819" s="8">
        <f>tblInventory[[#This Row],[Stock_Quantity]] * tblInventory[[#This Row],[Unit_Price]]</f>
        <v>110.25000000000001</v>
      </c>
      <c r="I819" s="1">
        <v>70</v>
      </c>
      <c r="J819" s="1">
        <v>98</v>
      </c>
      <c r="K819" s="8">
        <f>tblInventory[[#This Row],[Reorder_Quantity]]*M819</f>
        <v>240.10000000000002</v>
      </c>
      <c r="L819" s="10">
        <f>tblInventory[[#This Row],[Stock_Quantity]] / tblInventory[[#This Row],[Reorder_Quantity]]</f>
        <v>0.45918367346938777</v>
      </c>
      <c r="M819" s="3">
        <v>2.4500000000000002</v>
      </c>
      <c r="N819" s="10">
        <f t="shared" si="24"/>
        <v>0.76400679117147707</v>
      </c>
      <c r="O819" s="2">
        <v>45573</v>
      </c>
      <c r="P819" s="1" t="s">
        <v>812</v>
      </c>
      <c r="Q819" s="2">
        <v>46193</v>
      </c>
      <c r="R819" s="1" t="s">
        <v>2587</v>
      </c>
      <c r="S819" s="1">
        <v>25</v>
      </c>
      <c r="T819" s="1">
        <v>39</v>
      </c>
      <c r="U819" s="1" t="s">
        <v>38</v>
      </c>
      <c r="V819" s="3">
        <f>tblInventory[[#This Row],[Stock_Quantity]]*tblInventory[[#This Row],[Unit_Price]]</f>
        <v>110.25000000000001</v>
      </c>
      <c r="W819" s="1" t="str">
        <f>IF(tblInventory[[#This Row],[Status]]="Discontinued","INACTIVE",
IF(tblInventory[[#This Row],[Stock_Quantity]] &lt; tblInventory[[#This Row],[Reorder_Level]],"REORDER","OK"))</f>
        <v>REORDER</v>
      </c>
      <c r="X819" s="1" t="str">
        <f t="shared" ca="1" si="25"/>
        <v>Valid</v>
      </c>
    </row>
    <row r="820" spans="1:24">
      <c r="A820" s="1">
        <v>819</v>
      </c>
      <c r="B820" s="1" t="s">
        <v>2705</v>
      </c>
      <c r="C820" s="1" t="s">
        <v>147</v>
      </c>
      <c r="D820" s="1" t="s">
        <v>49</v>
      </c>
      <c r="E820" s="1" t="s">
        <v>2706</v>
      </c>
      <c r="F820" s="1" t="s">
        <v>1456</v>
      </c>
      <c r="G820" s="6">
        <v>23</v>
      </c>
      <c r="H820" s="8">
        <f>tblInventory[[#This Row],[Stock_Quantity]] * tblInventory[[#This Row],[Unit_Price]]</f>
        <v>57.5</v>
      </c>
      <c r="I820" s="1">
        <v>6</v>
      </c>
      <c r="J820" s="1">
        <v>40</v>
      </c>
      <c r="K820" s="8">
        <f>tblInventory[[#This Row],[Reorder_Quantity]]*M820</f>
        <v>100</v>
      </c>
      <c r="L820" s="10">
        <f>tblInventory[[#This Row],[Stock_Quantity]] / tblInventory[[#This Row],[Reorder_Quantity]]</f>
        <v>0.57499999999999996</v>
      </c>
      <c r="M820" s="3">
        <v>2.5</v>
      </c>
      <c r="N820" s="10">
        <f t="shared" si="24"/>
        <v>0.39049235993208831</v>
      </c>
      <c r="O820" s="1" t="s">
        <v>278</v>
      </c>
      <c r="P820" s="1" t="s">
        <v>1008</v>
      </c>
      <c r="Q820" s="2">
        <v>46231</v>
      </c>
      <c r="R820" s="1" t="s">
        <v>2707</v>
      </c>
      <c r="S820" s="1">
        <v>95</v>
      </c>
      <c r="T820" s="1">
        <v>24</v>
      </c>
      <c r="U820" s="1" t="s">
        <v>38</v>
      </c>
      <c r="V820" s="3">
        <f>tblInventory[[#This Row],[Stock_Quantity]]*tblInventory[[#This Row],[Unit_Price]]</f>
        <v>57.5</v>
      </c>
      <c r="W820" s="1" t="str">
        <f>IF(tblInventory[[#This Row],[Status]]="Discontinued","INACTIVE",
IF(tblInventory[[#This Row],[Stock_Quantity]] &lt; tblInventory[[#This Row],[Reorder_Level]],"REORDER","OK"))</f>
        <v>OK</v>
      </c>
      <c r="X820" s="1" t="str">
        <f t="shared" ca="1" si="25"/>
        <v>Valid</v>
      </c>
    </row>
    <row r="821" spans="1:24">
      <c r="A821" s="1">
        <v>820</v>
      </c>
      <c r="B821" s="1" t="s">
        <v>3584</v>
      </c>
      <c r="C821" s="1" t="s">
        <v>147</v>
      </c>
      <c r="D821" s="1" t="s">
        <v>49</v>
      </c>
      <c r="E821" s="1" t="s">
        <v>3585</v>
      </c>
      <c r="F821" s="1" t="s">
        <v>2002</v>
      </c>
      <c r="G821" s="6">
        <v>61</v>
      </c>
      <c r="H821" s="8">
        <f>tblInventory[[#This Row],[Stock_Quantity]] * tblInventory[[#This Row],[Unit_Price]]</f>
        <v>153.72</v>
      </c>
      <c r="I821" s="1">
        <v>17</v>
      </c>
      <c r="J821" s="1">
        <v>69</v>
      </c>
      <c r="K821" s="8">
        <f>tblInventory[[#This Row],[Reorder_Quantity]]*M821</f>
        <v>173.88</v>
      </c>
      <c r="L821" s="10">
        <f>tblInventory[[#This Row],[Stock_Quantity]] / tblInventory[[#This Row],[Reorder_Quantity]]</f>
        <v>0.88405797101449279</v>
      </c>
      <c r="M821" s="3">
        <v>2.52</v>
      </c>
      <c r="N821" s="10">
        <f t="shared" si="24"/>
        <v>1.0356536502546689</v>
      </c>
      <c r="O821" s="1" t="s">
        <v>363</v>
      </c>
      <c r="P821" s="2">
        <v>45478</v>
      </c>
      <c r="Q821" s="2">
        <v>46451</v>
      </c>
      <c r="R821" s="1" t="s">
        <v>3586</v>
      </c>
      <c r="S821" s="1">
        <v>31</v>
      </c>
      <c r="T821" s="1">
        <v>29</v>
      </c>
      <c r="U821" s="1" t="s">
        <v>46</v>
      </c>
      <c r="V821" s="3">
        <f>tblInventory[[#This Row],[Stock_Quantity]]*tblInventory[[#This Row],[Unit_Price]]</f>
        <v>153.72</v>
      </c>
      <c r="W821" s="1" t="str">
        <f>IF(tblInventory[[#This Row],[Status]]="Discontinued","INACTIVE",
IF(tblInventory[[#This Row],[Stock_Quantity]] &lt; tblInventory[[#This Row],[Reorder_Level]],"REORDER","OK"))</f>
        <v>OK</v>
      </c>
      <c r="X821" s="1" t="str">
        <f t="shared" ca="1" si="25"/>
        <v>Valid</v>
      </c>
    </row>
    <row r="822" spans="1:24">
      <c r="A822" s="1">
        <v>821</v>
      </c>
      <c r="B822" s="1" t="s">
        <v>3671</v>
      </c>
      <c r="C822" s="1" t="s">
        <v>147</v>
      </c>
      <c r="D822" s="1" t="s">
        <v>49</v>
      </c>
      <c r="E822" s="1" t="s">
        <v>3672</v>
      </c>
      <c r="F822" s="1" t="s">
        <v>572</v>
      </c>
      <c r="G822" s="6">
        <v>88</v>
      </c>
      <c r="H822" s="8">
        <f>tblInventory[[#This Row],[Stock_Quantity]] * tblInventory[[#This Row],[Unit_Price]]</f>
        <v>220</v>
      </c>
      <c r="I822" s="1">
        <v>78</v>
      </c>
      <c r="J822" s="1">
        <v>17</v>
      </c>
      <c r="K822" s="8">
        <f>tblInventory[[#This Row],[Reorder_Quantity]]*M822</f>
        <v>42.5</v>
      </c>
      <c r="L822" s="10">
        <f>tblInventory[[#This Row],[Stock_Quantity]] / tblInventory[[#This Row],[Reorder_Quantity]]</f>
        <v>5.1764705882352944</v>
      </c>
      <c r="M822" s="3">
        <v>2.5</v>
      </c>
      <c r="N822" s="10">
        <f t="shared" si="24"/>
        <v>1.4940577249575553</v>
      </c>
      <c r="O822" s="2">
        <v>45452</v>
      </c>
      <c r="P822" s="1" t="s">
        <v>144</v>
      </c>
      <c r="Q822" s="2">
        <v>46393</v>
      </c>
      <c r="R822" s="1" t="s">
        <v>3673</v>
      </c>
      <c r="S822" s="1">
        <v>58</v>
      </c>
      <c r="T822" s="1">
        <v>21</v>
      </c>
      <c r="U822" s="1" t="s">
        <v>46</v>
      </c>
      <c r="V822" s="3">
        <f>tblInventory[[#This Row],[Stock_Quantity]]*tblInventory[[#This Row],[Unit_Price]]</f>
        <v>220</v>
      </c>
      <c r="W822" s="1" t="str">
        <f>IF(tblInventory[[#This Row],[Status]]="Discontinued","INACTIVE",
IF(tblInventory[[#This Row],[Stock_Quantity]] &lt; tblInventory[[#This Row],[Reorder_Level]],"REORDER","OK"))</f>
        <v>OK</v>
      </c>
      <c r="X822" s="1" t="str">
        <f t="shared" ca="1" si="25"/>
        <v>Valid</v>
      </c>
    </row>
    <row r="823" spans="1:24">
      <c r="A823" s="1">
        <v>822</v>
      </c>
      <c r="B823" s="1" t="s">
        <v>111</v>
      </c>
      <c r="C823" s="1" t="s">
        <v>112</v>
      </c>
      <c r="D823" s="1" t="s">
        <v>49</v>
      </c>
      <c r="E823" s="1" t="s">
        <v>113</v>
      </c>
      <c r="F823" s="1" t="s">
        <v>114</v>
      </c>
      <c r="G823" s="6">
        <v>54</v>
      </c>
      <c r="H823" s="8">
        <f>tblInventory[[#This Row],[Stock_Quantity]] * tblInventory[[#This Row],[Unit_Price]]</f>
        <v>324</v>
      </c>
      <c r="I823" s="1">
        <v>26</v>
      </c>
      <c r="J823" s="1">
        <v>16</v>
      </c>
      <c r="K823" s="8">
        <f>tblInventory[[#This Row],[Reorder_Quantity]]*M823</f>
        <v>96</v>
      </c>
      <c r="L823" s="10">
        <f>tblInventory[[#This Row],[Stock_Quantity]] / tblInventory[[#This Row],[Reorder_Quantity]]</f>
        <v>3.375</v>
      </c>
      <c r="M823" s="3">
        <v>6</v>
      </c>
      <c r="N823" s="10">
        <f t="shared" si="24"/>
        <v>0.91680814940577249</v>
      </c>
      <c r="O823" s="2">
        <v>45599</v>
      </c>
      <c r="P823" s="1" t="s">
        <v>115</v>
      </c>
      <c r="Q823" s="2">
        <v>45361</v>
      </c>
      <c r="R823" s="1" t="s">
        <v>117</v>
      </c>
      <c r="S823" s="1">
        <v>63</v>
      </c>
      <c r="T823" s="1">
        <v>97</v>
      </c>
      <c r="U823" s="1" t="s">
        <v>46</v>
      </c>
      <c r="V823" s="3">
        <f>tblInventory[[#This Row],[Stock_Quantity]]*tblInventory[[#This Row],[Unit_Price]]</f>
        <v>324</v>
      </c>
      <c r="W823" s="1" t="str">
        <f>IF(tblInventory[[#This Row],[Status]]="Discontinued","INACTIVE",
IF(tblInventory[[#This Row],[Stock_Quantity]] &lt; tblInventory[[#This Row],[Reorder_Level]],"REORDER","OK"))</f>
        <v>OK</v>
      </c>
      <c r="X823" s="1" t="str">
        <f t="shared" ca="1" si="25"/>
        <v>Expired</v>
      </c>
    </row>
    <row r="824" spans="1:24">
      <c r="A824" s="1">
        <v>823</v>
      </c>
      <c r="B824" s="1" t="s">
        <v>1104</v>
      </c>
      <c r="C824" s="1" t="s">
        <v>112</v>
      </c>
      <c r="D824" s="1" t="s">
        <v>49</v>
      </c>
      <c r="E824" s="1" t="s">
        <v>1105</v>
      </c>
      <c r="F824" s="1" t="s">
        <v>1106</v>
      </c>
      <c r="G824" s="6">
        <v>31</v>
      </c>
      <c r="H824" s="8">
        <f>tblInventory[[#This Row],[Stock_Quantity]] * tblInventory[[#This Row],[Unit_Price]]</f>
        <v>182.9</v>
      </c>
      <c r="I824" s="1">
        <v>89</v>
      </c>
      <c r="J824" s="1">
        <v>7</v>
      </c>
      <c r="K824" s="8">
        <f>tblInventory[[#This Row],[Reorder_Quantity]]*M824</f>
        <v>41.300000000000004</v>
      </c>
      <c r="L824" s="10">
        <f>tblInventory[[#This Row],[Stock_Quantity]] / tblInventory[[#This Row],[Reorder_Quantity]]</f>
        <v>4.4285714285714288</v>
      </c>
      <c r="M824" s="3">
        <v>5.9</v>
      </c>
      <c r="N824" s="10">
        <f t="shared" si="24"/>
        <v>0.52631578947368418</v>
      </c>
      <c r="O824" s="1" t="s">
        <v>850</v>
      </c>
      <c r="P824" s="2">
        <v>45485</v>
      </c>
      <c r="Q824" s="2">
        <v>45766</v>
      </c>
      <c r="R824" s="1" t="s">
        <v>1107</v>
      </c>
      <c r="S824" s="1">
        <v>46</v>
      </c>
      <c r="T824" s="1">
        <v>54</v>
      </c>
      <c r="U824" s="1" t="s">
        <v>24</v>
      </c>
      <c r="V824" s="3">
        <f>tblInventory[[#This Row],[Stock_Quantity]]*tblInventory[[#This Row],[Unit_Price]]</f>
        <v>182.9</v>
      </c>
      <c r="W824" s="1" t="str">
        <f>IF(tblInventory[[#This Row],[Status]]="Discontinued","INACTIVE",
IF(tblInventory[[#This Row],[Stock_Quantity]] &lt; tblInventory[[#This Row],[Reorder_Level]],"REORDER","OK"))</f>
        <v>INACTIVE</v>
      </c>
      <c r="X824" s="1" t="str">
        <f t="shared" ca="1" si="25"/>
        <v>Expired</v>
      </c>
    </row>
    <row r="825" spans="1:24">
      <c r="A825" s="1">
        <v>824</v>
      </c>
      <c r="B825" s="1" t="s">
        <v>1461</v>
      </c>
      <c r="C825" s="1" t="s">
        <v>112</v>
      </c>
      <c r="D825" s="1" t="s">
        <v>49</v>
      </c>
      <c r="E825" s="1" t="s">
        <v>1462</v>
      </c>
      <c r="F825" s="1" t="s">
        <v>1463</v>
      </c>
      <c r="G825" s="6">
        <v>94</v>
      </c>
      <c r="H825" s="8">
        <f>tblInventory[[#This Row],[Stock_Quantity]] * tblInventory[[#This Row],[Unit_Price]]</f>
        <v>564</v>
      </c>
      <c r="I825" s="1">
        <v>77</v>
      </c>
      <c r="J825" s="1">
        <v>89</v>
      </c>
      <c r="K825" s="8">
        <f>tblInventory[[#This Row],[Reorder_Quantity]]*M825</f>
        <v>534</v>
      </c>
      <c r="L825" s="10">
        <f>tblInventory[[#This Row],[Stock_Quantity]] / tblInventory[[#This Row],[Reorder_Quantity]]</f>
        <v>1.0561797752808988</v>
      </c>
      <c r="M825" s="3">
        <v>6</v>
      </c>
      <c r="N825" s="10">
        <f t="shared" si="24"/>
        <v>1.5959252971137521</v>
      </c>
      <c r="O825" s="1" t="s">
        <v>164</v>
      </c>
      <c r="P825" s="1" t="s">
        <v>65</v>
      </c>
      <c r="Q825" s="2">
        <v>45856</v>
      </c>
      <c r="R825" s="1" t="s">
        <v>1464</v>
      </c>
      <c r="S825" s="1">
        <v>40</v>
      </c>
      <c r="T825" s="1">
        <v>84</v>
      </c>
      <c r="U825" s="1" t="s">
        <v>24</v>
      </c>
      <c r="V825" s="3">
        <f>tblInventory[[#This Row],[Stock_Quantity]]*tblInventory[[#This Row],[Unit_Price]]</f>
        <v>564</v>
      </c>
      <c r="W825" s="1" t="str">
        <f>IF(tblInventory[[#This Row],[Status]]="Discontinued","INACTIVE",
IF(tblInventory[[#This Row],[Stock_Quantity]] &lt; tblInventory[[#This Row],[Reorder_Level]],"REORDER","OK"))</f>
        <v>INACTIVE</v>
      </c>
      <c r="X825" s="1" t="str">
        <f t="shared" ca="1" si="25"/>
        <v>Expired</v>
      </c>
    </row>
    <row r="826" spans="1:24">
      <c r="A826" s="1">
        <v>825</v>
      </c>
      <c r="B826" s="1" t="s">
        <v>1585</v>
      </c>
      <c r="C826" s="1" t="s">
        <v>112</v>
      </c>
      <c r="D826" s="1" t="s">
        <v>49</v>
      </c>
      <c r="E826" s="1" t="s">
        <v>1586</v>
      </c>
      <c r="F826" s="1" t="s">
        <v>839</v>
      </c>
      <c r="G826" s="6">
        <v>16</v>
      </c>
      <c r="H826" s="8">
        <f>tblInventory[[#This Row],[Stock_Quantity]] * tblInventory[[#This Row],[Unit_Price]]</f>
        <v>97.6</v>
      </c>
      <c r="I826" s="1">
        <v>23</v>
      </c>
      <c r="J826" s="1">
        <v>76</v>
      </c>
      <c r="K826" s="8">
        <f>tblInventory[[#This Row],[Reorder_Quantity]]*M826</f>
        <v>463.59999999999997</v>
      </c>
      <c r="L826" s="10">
        <f>tblInventory[[#This Row],[Stock_Quantity]] / tblInventory[[#This Row],[Reorder_Quantity]]</f>
        <v>0.21052631578947367</v>
      </c>
      <c r="M826" s="3">
        <v>6.1</v>
      </c>
      <c r="N826" s="10">
        <f t="shared" si="24"/>
        <v>0.27164685908319186</v>
      </c>
      <c r="O826" s="1" t="s">
        <v>372</v>
      </c>
      <c r="P826" s="2">
        <v>45902</v>
      </c>
      <c r="Q826" s="2">
        <v>45891</v>
      </c>
      <c r="R826" s="1" t="s">
        <v>1587</v>
      </c>
      <c r="S826" s="1">
        <v>50</v>
      </c>
      <c r="T826" s="1">
        <v>27</v>
      </c>
      <c r="U826" s="1" t="s">
        <v>38</v>
      </c>
      <c r="V826" s="3">
        <f>tblInventory[[#This Row],[Stock_Quantity]]*tblInventory[[#This Row],[Unit_Price]]</f>
        <v>97.6</v>
      </c>
      <c r="W826" s="1" t="str">
        <f>IF(tblInventory[[#This Row],[Status]]="Discontinued","INACTIVE",
IF(tblInventory[[#This Row],[Stock_Quantity]] &lt; tblInventory[[#This Row],[Reorder_Level]],"REORDER","OK"))</f>
        <v>REORDER</v>
      </c>
      <c r="X826" s="1" t="str">
        <f t="shared" ca="1" si="25"/>
        <v>Expired</v>
      </c>
    </row>
    <row r="827" spans="1:24">
      <c r="A827" s="1">
        <v>826</v>
      </c>
      <c r="B827" s="1" t="s">
        <v>2271</v>
      </c>
      <c r="C827" s="1" t="s">
        <v>112</v>
      </c>
      <c r="D827" s="1" t="s">
        <v>49</v>
      </c>
      <c r="E827" s="1" t="s">
        <v>2272</v>
      </c>
      <c r="F827" s="1" t="s">
        <v>931</v>
      </c>
      <c r="G827" s="6">
        <v>58</v>
      </c>
      <c r="H827" s="8">
        <f>tblInventory[[#This Row],[Stock_Quantity]] * tblInventory[[#This Row],[Unit_Price]]</f>
        <v>342.20000000000005</v>
      </c>
      <c r="I827" s="1">
        <v>15</v>
      </c>
      <c r="J827" s="1">
        <v>87</v>
      </c>
      <c r="K827" s="8">
        <f>tblInventory[[#This Row],[Reorder_Quantity]]*M827</f>
        <v>513.30000000000007</v>
      </c>
      <c r="L827" s="10">
        <f>tblInventory[[#This Row],[Stock_Quantity]] / tblInventory[[#This Row],[Reorder_Quantity]]</f>
        <v>0.66666666666666663</v>
      </c>
      <c r="M827" s="3">
        <v>5.9</v>
      </c>
      <c r="N827" s="10">
        <f t="shared" si="24"/>
        <v>0.98471986417657054</v>
      </c>
      <c r="O827" s="2">
        <v>45572</v>
      </c>
      <c r="P827" s="1" t="s">
        <v>115</v>
      </c>
      <c r="Q827" s="2">
        <v>46097</v>
      </c>
      <c r="R827" s="1" t="s">
        <v>2273</v>
      </c>
      <c r="S827" s="1">
        <v>52</v>
      </c>
      <c r="T827" s="1">
        <v>81</v>
      </c>
      <c r="U827" s="1" t="s">
        <v>38</v>
      </c>
      <c r="V827" s="3">
        <f>tblInventory[[#This Row],[Stock_Quantity]]*tblInventory[[#This Row],[Unit_Price]]</f>
        <v>342.20000000000005</v>
      </c>
      <c r="W827" s="1" t="str">
        <f>IF(tblInventory[[#This Row],[Status]]="Discontinued","INACTIVE",
IF(tblInventory[[#This Row],[Stock_Quantity]] &lt; tblInventory[[#This Row],[Reorder_Level]],"REORDER","OK"))</f>
        <v>OK</v>
      </c>
      <c r="X827" s="1" t="str">
        <f t="shared" ca="1" si="25"/>
        <v>Valid</v>
      </c>
    </row>
    <row r="828" spans="1:24">
      <c r="A828" s="1">
        <v>827</v>
      </c>
      <c r="B828" s="1" t="s">
        <v>2964</v>
      </c>
      <c r="C828" s="1" t="s">
        <v>112</v>
      </c>
      <c r="D828" s="1" t="s">
        <v>49</v>
      </c>
      <c r="E828" s="1" t="s">
        <v>2965</v>
      </c>
      <c r="F828" s="1" t="s">
        <v>816</v>
      </c>
      <c r="G828" s="6">
        <v>26</v>
      </c>
      <c r="H828" s="8">
        <f>tblInventory[[#This Row],[Stock_Quantity]] * tblInventory[[#This Row],[Unit_Price]]</f>
        <v>156</v>
      </c>
      <c r="I828" s="1">
        <v>97</v>
      </c>
      <c r="J828" s="1">
        <v>12</v>
      </c>
      <c r="K828" s="8">
        <f>tblInventory[[#This Row],[Reorder_Quantity]]*M828</f>
        <v>72</v>
      </c>
      <c r="L828" s="10">
        <f>tblInventory[[#This Row],[Stock_Quantity]] / tblInventory[[#This Row],[Reorder_Quantity]]</f>
        <v>2.1666666666666665</v>
      </c>
      <c r="M828" s="3">
        <v>6</v>
      </c>
      <c r="N828" s="10">
        <f t="shared" si="24"/>
        <v>0.44142614601018676</v>
      </c>
      <c r="O828" s="1" t="s">
        <v>892</v>
      </c>
      <c r="P828" s="1" t="s">
        <v>343</v>
      </c>
      <c r="Q828" s="2">
        <v>46310</v>
      </c>
      <c r="R828" s="1" t="s">
        <v>2966</v>
      </c>
      <c r="S828" s="1">
        <v>94</v>
      </c>
      <c r="T828" s="1">
        <v>58</v>
      </c>
      <c r="U828" s="1" t="s">
        <v>24</v>
      </c>
      <c r="V828" s="3">
        <f>tblInventory[[#This Row],[Stock_Quantity]]*tblInventory[[#This Row],[Unit_Price]]</f>
        <v>156</v>
      </c>
      <c r="W828" s="1" t="str">
        <f>IF(tblInventory[[#This Row],[Status]]="Discontinued","INACTIVE",
IF(tblInventory[[#This Row],[Stock_Quantity]] &lt; tblInventory[[#This Row],[Reorder_Level]],"REORDER","OK"))</f>
        <v>INACTIVE</v>
      </c>
      <c r="X828" s="1" t="str">
        <f t="shared" ca="1" si="25"/>
        <v>Valid</v>
      </c>
    </row>
    <row r="829" spans="1:24">
      <c r="A829" s="1">
        <v>828</v>
      </c>
      <c r="B829" s="1" t="s">
        <v>1036</v>
      </c>
      <c r="C829" s="1" t="s">
        <v>1037</v>
      </c>
      <c r="D829" s="1" t="s">
        <v>61</v>
      </c>
      <c r="E829" s="1" t="s">
        <v>1038</v>
      </c>
      <c r="F829" s="1" t="s">
        <v>849</v>
      </c>
      <c r="G829" s="6">
        <v>88</v>
      </c>
      <c r="H829" s="8">
        <f>tblInventory[[#This Row],[Stock_Quantity]] * tblInventory[[#This Row],[Unit_Price]]</f>
        <v>220</v>
      </c>
      <c r="I829" s="1">
        <v>100</v>
      </c>
      <c r="J829" s="1">
        <v>17</v>
      </c>
      <c r="K829" s="8">
        <f>tblInventory[[#This Row],[Reorder_Quantity]]*M829</f>
        <v>42.5</v>
      </c>
      <c r="L829" s="10">
        <f>tblInventory[[#This Row],[Stock_Quantity]] / tblInventory[[#This Row],[Reorder_Quantity]]</f>
        <v>5.1764705882352944</v>
      </c>
      <c r="M829" s="3">
        <v>2.5</v>
      </c>
      <c r="N829" s="10">
        <f t="shared" si="24"/>
        <v>1.4940577249575553</v>
      </c>
      <c r="O829" s="2">
        <v>45608</v>
      </c>
      <c r="P829" s="1" t="s">
        <v>246</v>
      </c>
      <c r="Q829" s="2">
        <v>45692</v>
      </c>
      <c r="R829" s="1" t="s">
        <v>1039</v>
      </c>
      <c r="S829" s="1">
        <v>25</v>
      </c>
      <c r="T829" s="1">
        <v>28</v>
      </c>
      <c r="U829" s="1" t="s">
        <v>24</v>
      </c>
      <c r="V829" s="3">
        <f>tblInventory[[#This Row],[Stock_Quantity]]*tblInventory[[#This Row],[Unit_Price]]</f>
        <v>220</v>
      </c>
      <c r="W829" s="1" t="str">
        <f>IF(tblInventory[[#This Row],[Status]]="Discontinued","INACTIVE",
IF(tblInventory[[#This Row],[Stock_Quantity]] &lt; tblInventory[[#This Row],[Reorder_Level]],"REORDER","OK"))</f>
        <v>INACTIVE</v>
      </c>
      <c r="X829" s="1" t="str">
        <f t="shared" ca="1" si="25"/>
        <v>Expired</v>
      </c>
    </row>
    <row r="830" spans="1:24">
      <c r="A830" s="1">
        <v>829</v>
      </c>
      <c r="B830" s="1" t="s">
        <v>1623</v>
      </c>
      <c r="C830" s="1" t="s">
        <v>1037</v>
      </c>
      <c r="D830" s="1" t="s">
        <v>61</v>
      </c>
      <c r="E830" s="1" t="s">
        <v>1624</v>
      </c>
      <c r="F830" s="1" t="s">
        <v>1012</v>
      </c>
      <c r="G830" s="6">
        <v>87</v>
      </c>
      <c r="H830" s="8">
        <f>tblInventory[[#This Row],[Stock_Quantity]] * tblInventory[[#This Row],[Unit_Price]]</f>
        <v>217.5</v>
      </c>
      <c r="I830" s="1">
        <v>24</v>
      </c>
      <c r="J830" s="1">
        <v>19</v>
      </c>
      <c r="K830" s="8">
        <f>tblInventory[[#This Row],[Reorder_Quantity]]*M830</f>
        <v>47.5</v>
      </c>
      <c r="L830" s="10">
        <f>tblInventory[[#This Row],[Stock_Quantity]] / tblInventory[[#This Row],[Reorder_Quantity]]</f>
        <v>4.5789473684210522</v>
      </c>
      <c r="M830" s="3">
        <v>2.5</v>
      </c>
      <c r="N830" s="10">
        <f t="shared" si="24"/>
        <v>1.4770797962648556</v>
      </c>
      <c r="O830" s="2">
        <v>45601</v>
      </c>
      <c r="P830" s="1" t="s">
        <v>103</v>
      </c>
      <c r="Q830" s="2">
        <v>45697</v>
      </c>
      <c r="R830" s="1" t="s">
        <v>1625</v>
      </c>
      <c r="S830" s="1">
        <v>83</v>
      </c>
      <c r="T830" s="1">
        <v>3</v>
      </c>
      <c r="U830" s="1" t="s">
        <v>24</v>
      </c>
      <c r="V830" s="3">
        <f>tblInventory[[#This Row],[Stock_Quantity]]*tblInventory[[#This Row],[Unit_Price]]</f>
        <v>217.5</v>
      </c>
      <c r="W830" s="1" t="str">
        <f>IF(tblInventory[[#This Row],[Status]]="Discontinued","INACTIVE",
IF(tblInventory[[#This Row],[Stock_Quantity]] &lt; tblInventory[[#This Row],[Reorder_Level]],"REORDER","OK"))</f>
        <v>INACTIVE</v>
      </c>
      <c r="X830" s="1" t="str">
        <f t="shared" ca="1" si="25"/>
        <v>Expired</v>
      </c>
    </row>
    <row r="831" spans="1:24">
      <c r="A831" s="1">
        <v>830</v>
      </c>
      <c r="B831" s="1" t="s">
        <v>2104</v>
      </c>
      <c r="C831" s="1" t="s">
        <v>1037</v>
      </c>
      <c r="D831" s="1" t="s">
        <v>61</v>
      </c>
      <c r="E831" s="1" t="s">
        <v>2105</v>
      </c>
      <c r="F831" s="1" t="s">
        <v>943</v>
      </c>
      <c r="G831" s="6">
        <v>24</v>
      </c>
      <c r="H831" s="8">
        <f>tblInventory[[#This Row],[Stock_Quantity]] * tblInventory[[#This Row],[Unit_Price]]</f>
        <v>60</v>
      </c>
      <c r="I831" s="1">
        <v>35</v>
      </c>
      <c r="J831" s="1">
        <v>14</v>
      </c>
      <c r="K831" s="8">
        <f>tblInventory[[#This Row],[Reorder_Quantity]]*M831</f>
        <v>35</v>
      </c>
      <c r="L831" s="10">
        <f>tblInventory[[#This Row],[Stock_Quantity]] / tblInventory[[#This Row],[Reorder_Quantity]]</f>
        <v>1.7142857142857142</v>
      </c>
      <c r="M831" s="3">
        <v>2.5</v>
      </c>
      <c r="N831" s="10">
        <f t="shared" si="24"/>
        <v>0.40747028862478779</v>
      </c>
      <c r="O831" s="2">
        <v>45387</v>
      </c>
      <c r="P831" s="1" t="s">
        <v>197</v>
      </c>
      <c r="Q831" s="2">
        <v>46046</v>
      </c>
      <c r="R831" s="1" t="s">
        <v>2106</v>
      </c>
      <c r="S831" s="1">
        <v>91</v>
      </c>
      <c r="T831" s="1">
        <v>71</v>
      </c>
      <c r="U831" s="1" t="s">
        <v>38</v>
      </c>
      <c r="V831" s="3">
        <f>tblInventory[[#This Row],[Stock_Quantity]]*tblInventory[[#This Row],[Unit_Price]]</f>
        <v>60</v>
      </c>
      <c r="W831" s="1" t="str">
        <f>IF(tblInventory[[#This Row],[Status]]="Discontinued","INACTIVE",
IF(tblInventory[[#This Row],[Stock_Quantity]] &lt; tblInventory[[#This Row],[Reorder_Level]],"REORDER","OK"))</f>
        <v>REORDER</v>
      </c>
      <c r="X831" s="1" t="str">
        <f t="shared" ca="1" si="25"/>
        <v>Valid</v>
      </c>
    </row>
    <row r="832" spans="1:24">
      <c r="A832" s="1">
        <v>831</v>
      </c>
      <c r="B832" s="1" t="s">
        <v>2770</v>
      </c>
      <c r="C832" s="1" t="s">
        <v>1037</v>
      </c>
      <c r="D832" s="1" t="s">
        <v>61</v>
      </c>
      <c r="E832" s="1" t="s">
        <v>2771</v>
      </c>
      <c r="F832" s="1" t="s">
        <v>922</v>
      </c>
      <c r="G832" s="6">
        <v>23</v>
      </c>
      <c r="H832" s="8">
        <f>tblInventory[[#This Row],[Stock_Quantity]] * tblInventory[[#This Row],[Unit_Price]]</f>
        <v>57.5</v>
      </c>
      <c r="I832" s="1">
        <v>43</v>
      </c>
      <c r="J832" s="1">
        <v>75</v>
      </c>
      <c r="K832" s="8">
        <f>tblInventory[[#This Row],[Reorder_Quantity]]*M832</f>
        <v>187.5</v>
      </c>
      <c r="L832" s="10">
        <f>tblInventory[[#This Row],[Stock_Quantity]] / tblInventory[[#This Row],[Reorder_Quantity]]</f>
        <v>0.30666666666666664</v>
      </c>
      <c r="M832" s="3">
        <v>2.5</v>
      </c>
      <c r="N832" s="10">
        <f t="shared" si="24"/>
        <v>0.39049235993208831</v>
      </c>
      <c r="O832" s="2">
        <v>45515</v>
      </c>
      <c r="P832" s="1" t="s">
        <v>923</v>
      </c>
      <c r="Q832" s="2">
        <v>46251</v>
      </c>
      <c r="R832" s="1" t="s">
        <v>2772</v>
      </c>
      <c r="S832" s="1">
        <v>91</v>
      </c>
      <c r="T832" s="1">
        <v>86</v>
      </c>
      <c r="U832" s="1" t="s">
        <v>24</v>
      </c>
      <c r="V832" s="3">
        <f>tblInventory[[#This Row],[Stock_Quantity]]*tblInventory[[#This Row],[Unit_Price]]</f>
        <v>57.5</v>
      </c>
      <c r="W832" s="1" t="str">
        <f>IF(tblInventory[[#This Row],[Status]]="Discontinued","INACTIVE",
IF(tblInventory[[#This Row],[Stock_Quantity]] &lt; tblInventory[[#This Row],[Reorder_Level]],"REORDER","OK"))</f>
        <v>INACTIVE</v>
      </c>
      <c r="X832" s="1" t="str">
        <f t="shared" ca="1" si="25"/>
        <v>Valid</v>
      </c>
    </row>
    <row r="833" spans="1:24">
      <c r="A833" s="1">
        <v>832</v>
      </c>
      <c r="B833" s="1" t="s">
        <v>3114</v>
      </c>
      <c r="C833" s="1" t="s">
        <v>1037</v>
      </c>
      <c r="D833" s="1" t="s">
        <v>61</v>
      </c>
      <c r="E833" s="1" t="s">
        <v>3115</v>
      </c>
      <c r="F833" s="1" t="s">
        <v>1485</v>
      </c>
      <c r="G833" s="6">
        <v>39</v>
      </c>
      <c r="H833" s="8">
        <f>tblInventory[[#This Row],[Stock_Quantity]] * tblInventory[[#This Row],[Unit_Price]]</f>
        <v>97.5</v>
      </c>
      <c r="I833" s="1">
        <v>13</v>
      </c>
      <c r="J833" s="1">
        <v>13</v>
      </c>
      <c r="K833" s="8">
        <f>tblInventory[[#This Row],[Reorder_Quantity]]*M833</f>
        <v>32.5</v>
      </c>
      <c r="L833" s="10">
        <f>tblInventory[[#This Row],[Stock_Quantity]] / tblInventory[[#This Row],[Reorder_Quantity]]</f>
        <v>3</v>
      </c>
      <c r="M833" s="3">
        <v>2.5</v>
      </c>
      <c r="N833" s="10">
        <f t="shared" si="24"/>
        <v>0.66213921901528017</v>
      </c>
      <c r="O833" s="1" t="s">
        <v>525</v>
      </c>
      <c r="P833" s="1" t="s">
        <v>43</v>
      </c>
      <c r="Q833" s="2">
        <v>46065</v>
      </c>
      <c r="R833" s="1" t="s">
        <v>3116</v>
      </c>
      <c r="S833" s="1">
        <v>84</v>
      </c>
      <c r="T833" s="1">
        <v>93</v>
      </c>
      <c r="U833" s="1" t="s">
        <v>46</v>
      </c>
      <c r="V833" s="3">
        <f>tblInventory[[#This Row],[Stock_Quantity]]*tblInventory[[#This Row],[Unit_Price]]</f>
        <v>97.5</v>
      </c>
      <c r="W833" s="1" t="str">
        <f>IF(tblInventory[[#This Row],[Status]]="Discontinued","INACTIVE",
IF(tblInventory[[#This Row],[Stock_Quantity]] &lt; tblInventory[[#This Row],[Reorder_Level]],"REORDER","OK"))</f>
        <v>OK</v>
      </c>
      <c r="X833" s="1" t="str">
        <f t="shared" ca="1" si="25"/>
        <v>Valid</v>
      </c>
    </row>
    <row r="834" spans="1:24">
      <c r="A834" s="1">
        <v>833</v>
      </c>
      <c r="B834" s="1" t="s">
        <v>3509</v>
      </c>
      <c r="C834" s="1" t="s">
        <v>1037</v>
      </c>
      <c r="D834" s="1" t="s">
        <v>61</v>
      </c>
      <c r="E834" s="1" t="s">
        <v>3510</v>
      </c>
      <c r="F834" s="1" t="s">
        <v>3378</v>
      </c>
      <c r="G834" s="6">
        <v>80</v>
      </c>
      <c r="H834" s="8">
        <f>tblInventory[[#This Row],[Stock_Quantity]] * tblInventory[[#This Row],[Unit_Price]]</f>
        <v>200</v>
      </c>
      <c r="I834" s="1">
        <v>24</v>
      </c>
      <c r="J834" s="1">
        <v>60</v>
      </c>
      <c r="K834" s="8">
        <f>tblInventory[[#This Row],[Reorder_Quantity]]*M834</f>
        <v>150</v>
      </c>
      <c r="L834" s="10">
        <f>tblInventory[[#This Row],[Stock_Quantity]] / tblInventory[[#This Row],[Reorder_Quantity]]</f>
        <v>1.3333333333333333</v>
      </c>
      <c r="M834" s="3">
        <v>2.5</v>
      </c>
      <c r="N834" s="10">
        <f t="shared" ref="N834:N897" si="26">G834 / 58.9</f>
        <v>1.3582342954159592</v>
      </c>
      <c r="O834" s="1" t="s">
        <v>277</v>
      </c>
      <c r="P834" s="1" t="s">
        <v>382</v>
      </c>
      <c r="Q834" s="2">
        <v>46634</v>
      </c>
      <c r="R834" s="1" t="s">
        <v>3511</v>
      </c>
      <c r="S834" s="1">
        <v>98</v>
      </c>
      <c r="T834" s="1">
        <v>38</v>
      </c>
      <c r="U834" s="1" t="s">
        <v>46</v>
      </c>
      <c r="V834" s="3">
        <f>tblInventory[[#This Row],[Stock_Quantity]]*tblInventory[[#This Row],[Unit_Price]]</f>
        <v>200</v>
      </c>
      <c r="W834" s="1" t="str">
        <f>IF(tblInventory[[#This Row],[Status]]="Discontinued","INACTIVE",
IF(tblInventory[[#This Row],[Stock_Quantity]] &lt; tblInventory[[#This Row],[Reorder_Level]],"REORDER","OK"))</f>
        <v>OK</v>
      </c>
      <c r="X834" s="1" t="str">
        <f t="shared" ref="X834:X897" ca="1" si="27">IF(Q834&lt;TODAY(),"Expired","Valid")</f>
        <v>Valid</v>
      </c>
    </row>
    <row r="835" spans="1:24">
      <c r="A835" s="1">
        <v>834</v>
      </c>
      <c r="B835" s="1" t="s">
        <v>15</v>
      </c>
      <c r="C835" s="1" t="s">
        <v>16</v>
      </c>
      <c r="D835" s="1" t="s">
        <v>17</v>
      </c>
      <c r="E835" s="1" t="s">
        <v>18</v>
      </c>
      <c r="F835" s="1" t="s">
        <v>19</v>
      </c>
      <c r="G835" s="6">
        <v>22</v>
      </c>
      <c r="H835" s="8">
        <f>tblInventory[[#This Row],[Stock_Quantity]] * tblInventory[[#This Row],[Unit_Price]]</f>
        <v>99</v>
      </c>
      <c r="I835" s="1">
        <v>72</v>
      </c>
      <c r="J835" s="1">
        <v>70</v>
      </c>
      <c r="K835" s="8">
        <f>tblInventory[[#This Row],[Reorder_Quantity]]*M835</f>
        <v>315</v>
      </c>
      <c r="L835" s="10">
        <f>tblInventory[[#This Row],[Stock_Quantity]] / tblInventory[[#This Row],[Reorder_Quantity]]</f>
        <v>0.31428571428571428</v>
      </c>
      <c r="M835" s="3">
        <v>4.5</v>
      </c>
      <c r="N835" s="10">
        <f t="shared" si="26"/>
        <v>0.37351443123938882</v>
      </c>
      <c r="O835" s="1" t="s">
        <v>20</v>
      </c>
      <c r="P835" s="1" t="s">
        <v>21</v>
      </c>
      <c r="Q835" s="2">
        <v>45554</v>
      </c>
      <c r="R835" s="1" t="s">
        <v>23</v>
      </c>
      <c r="S835" s="1">
        <v>32</v>
      </c>
      <c r="T835" s="1">
        <v>19</v>
      </c>
      <c r="U835" s="1" t="s">
        <v>24</v>
      </c>
      <c r="V835" s="3">
        <f>tblInventory[[#This Row],[Stock_Quantity]]*tblInventory[[#This Row],[Unit_Price]]</f>
        <v>99</v>
      </c>
      <c r="W835" s="1" t="str">
        <f>IF(tblInventory[[#This Row],[Status]]="Discontinued","INACTIVE",
IF(tblInventory[[#This Row],[Stock_Quantity]] &lt; tblInventory[[#This Row],[Reorder_Level]],"REORDER","OK"))</f>
        <v>INACTIVE</v>
      </c>
      <c r="X835" s="1" t="str">
        <f t="shared" ca="1" si="27"/>
        <v>Expired</v>
      </c>
    </row>
    <row r="836" spans="1:24">
      <c r="A836" s="1">
        <v>835</v>
      </c>
      <c r="B836" s="1" t="s">
        <v>255</v>
      </c>
      <c r="C836" s="1" t="s">
        <v>16</v>
      </c>
      <c r="D836" s="1" t="s">
        <v>17</v>
      </c>
      <c r="E836" s="1" t="s">
        <v>256</v>
      </c>
      <c r="F836" s="1" t="s">
        <v>257</v>
      </c>
      <c r="G836" s="6">
        <v>75</v>
      </c>
      <c r="H836" s="8">
        <f>tblInventory[[#This Row],[Stock_Quantity]] * tblInventory[[#This Row],[Unit_Price]]</f>
        <v>337.5</v>
      </c>
      <c r="I836" s="1">
        <v>69</v>
      </c>
      <c r="J836" s="1">
        <v>100</v>
      </c>
      <c r="K836" s="8">
        <f>tblInventory[[#This Row],[Reorder_Quantity]]*M836</f>
        <v>450</v>
      </c>
      <c r="L836" s="10">
        <f>tblInventory[[#This Row],[Stock_Quantity]] / tblInventory[[#This Row],[Reorder_Quantity]]</f>
        <v>0.75</v>
      </c>
      <c r="M836" s="3">
        <v>4.5</v>
      </c>
      <c r="N836" s="10">
        <f t="shared" si="26"/>
        <v>1.2733446519524618</v>
      </c>
      <c r="O836" s="2">
        <v>45603</v>
      </c>
      <c r="P836" s="1" t="s">
        <v>258</v>
      </c>
      <c r="Q836" s="2">
        <v>45590</v>
      </c>
      <c r="R836" s="1" t="s">
        <v>260</v>
      </c>
      <c r="S836" s="1">
        <v>43</v>
      </c>
      <c r="T836" s="1">
        <v>18</v>
      </c>
      <c r="U836" s="1" t="s">
        <v>38</v>
      </c>
      <c r="V836" s="3">
        <f>tblInventory[[#This Row],[Stock_Quantity]]*tblInventory[[#This Row],[Unit_Price]]</f>
        <v>337.5</v>
      </c>
      <c r="W836" s="1" t="str">
        <f>IF(tblInventory[[#This Row],[Status]]="Discontinued","INACTIVE",
IF(tblInventory[[#This Row],[Stock_Quantity]] &lt; tblInventory[[#This Row],[Reorder_Level]],"REORDER","OK"))</f>
        <v>OK</v>
      </c>
      <c r="X836" s="1" t="str">
        <f t="shared" ca="1" si="27"/>
        <v>Expired</v>
      </c>
    </row>
    <row r="837" spans="1:24">
      <c r="A837" s="1">
        <v>836</v>
      </c>
      <c r="B837" s="1" t="s">
        <v>709</v>
      </c>
      <c r="C837" s="1" t="s">
        <v>16</v>
      </c>
      <c r="D837" s="1" t="s">
        <v>17</v>
      </c>
      <c r="E837" s="1" t="s">
        <v>710</v>
      </c>
      <c r="F837" s="1" t="s">
        <v>711</v>
      </c>
      <c r="G837" s="6">
        <v>19</v>
      </c>
      <c r="H837" s="8">
        <f>tblInventory[[#This Row],[Stock_Quantity]] * tblInventory[[#This Row],[Unit_Price]]</f>
        <v>81.7</v>
      </c>
      <c r="I837" s="1">
        <v>17</v>
      </c>
      <c r="J837" s="1">
        <v>14</v>
      </c>
      <c r="K837" s="8">
        <f>tblInventory[[#This Row],[Reorder_Quantity]]*M837</f>
        <v>60.199999999999996</v>
      </c>
      <c r="L837" s="10">
        <f>tblInventory[[#This Row],[Stock_Quantity]] / tblInventory[[#This Row],[Reorder_Quantity]]</f>
        <v>1.3571428571428572</v>
      </c>
      <c r="M837" s="3">
        <v>4.3</v>
      </c>
      <c r="N837" s="10">
        <f t="shared" si="26"/>
        <v>0.32258064516129031</v>
      </c>
      <c r="O837" s="1" t="s">
        <v>357</v>
      </c>
      <c r="P837" s="1" t="s">
        <v>21</v>
      </c>
      <c r="Q837" s="2">
        <v>45674</v>
      </c>
      <c r="R837" s="1" t="s">
        <v>712</v>
      </c>
      <c r="S837" s="1">
        <v>58</v>
      </c>
      <c r="T837" s="1">
        <v>23</v>
      </c>
      <c r="U837" s="1" t="s">
        <v>46</v>
      </c>
      <c r="V837" s="3">
        <f>tblInventory[[#This Row],[Stock_Quantity]]*tblInventory[[#This Row],[Unit_Price]]</f>
        <v>81.7</v>
      </c>
      <c r="W837" s="1" t="str">
        <f>IF(tblInventory[[#This Row],[Status]]="Discontinued","INACTIVE",
IF(tblInventory[[#This Row],[Stock_Quantity]] &lt; tblInventory[[#This Row],[Reorder_Level]],"REORDER","OK"))</f>
        <v>OK</v>
      </c>
      <c r="X837" s="1" t="str">
        <f t="shared" ca="1" si="27"/>
        <v>Expired</v>
      </c>
    </row>
    <row r="838" spans="1:24">
      <c r="A838" s="1">
        <v>837</v>
      </c>
      <c r="B838" s="1" t="s">
        <v>1101</v>
      </c>
      <c r="C838" s="1" t="s">
        <v>16</v>
      </c>
      <c r="D838" s="1" t="s">
        <v>17</v>
      </c>
      <c r="E838" s="1" t="s">
        <v>1102</v>
      </c>
      <c r="F838" s="1" t="s">
        <v>347</v>
      </c>
      <c r="G838" s="6">
        <v>77</v>
      </c>
      <c r="H838" s="8">
        <f>tblInventory[[#This Row],[Stock_Quantity]] * tblInventory[[#This Row],[Unit_Price]]</f>
        <v>327.25</v>
      </c>
      <c r="I838" s="1">
        <v>20</v>
      </c>
      <c r="J838" s="1">
        <v>37</v>
      </c>
      <c r="K838" s="8">
        <f>tblInventory[[#This Row],[Reorder_Quantity]]*M838</f>
        <v>157.25</v>
      </c>
      <c r="L838" s="10">
        <f>tblInventory[[#This Row],[Stock_Quantity]] / tblInventory[[#This Row],[Reorder_Quantity]]</f>
        <v>2.0810810810810811</v>
      </c>
      <c r="M838" s="3">
        <v>4.25</v>
      </c>
      <c r="N838" s="10">
        <f t="shared" si="26"/>
        <v>1.3073005093378609</v>
      </c>
      <c r="O838" s="2">
        <v>45358</v>
      </c>
      <c r="P838" s="2">
        <v>45446</v>
      </c>
      <c r="Q838" s="2">
        <v>45765</v>
      </c>
      <c r="R838" s="1" t="s">
        <v>1103</v>
      </c>
      <c r="S838" s="1">
        <v>42</v>
      </c>
      <c r="T838" s="1">
        <v>19</v>
      </c>
      <c r="U838" s="1" t="s">
        <v>38</v>
      </c>
      <c r="V838" s="3">
        <f>tblInventory[[#This Row],[Stock_Quantity]]*tblInventory[[#This Row],[Unit_Price]]</f>
        <v>327.25</v>
      </c>
      <c r="W838" s="1" t="str">
        <f>IF(tblInventory[[#This Row],[Status]]="Discontinued","INACTIVE",
IF(tblInventory[[#This Row],[Stock_Quantity]] &lt; tblInventory[[#This Row],[Reorder_Level]],"REORDER","OK"))</f>
        <v>OK</v>
      </c>
      <c r="X838" s="1" t="str">
        <f t="shared" ca="1" si="27"/>
        <v>Expired</v>
      </c>
    </row>
    <row r="839" spans="1:24">
      <c r="A839" s="1">
        <v>838</v>
      </c>
      <c r="B839" s="1" t="s">
        <v>1279</v>
      </c>
      <c r="C839" s="1" t="s">
        <v>16</v>
      </c>
      <c r="D839" s="1" t="s">
        <v>17</v>
      </c>
      <c r="E839" s="1" t="s">
        <v>1280</v>
      </c>
      <c r="F839" s="1" t="s">
        <v>1281</v>
      </c>
      <c r="G839" s="6">
        <v>84</v>
      </c>
      <c r="H839" s="8">
        <f>tblInventory[[#This Row],[Stock_Quantity]] * tblInventory[[#This Row],[Unit_Price]]</f>
        <v>378</v>
      </c>
      <c r="I839" s="1">
        <v>69</v>
      </c>
      <c r="J839" s="1">
        <v>77</v>
      </c>
      <c r="K839" s="8">
        <f>tblInventory[[#This Row],[Reorder_Quantity]]*M839</f>
        <v>346.5</v>
      </c>
      <c r="L839" s="10">
        <f>tblInventory[[#This Row],[Stock_Quantity]] / tblInventory[[#This Row],[Reorder_Quantity]]</f>
        <v>1.0909090909090908</v>
      </c>
      <c r="M839" s="3">
        <v>4.5</v>
      </c>
      <c r="N839" s="10">
        <f t="shared" si="26"/>
        <v>1.4261460101867574</v>
      </c>
      <c r="O839" s="1" t="s">
        <v>1056</v>
      </c>
      <c r="P839" s="1" t="s">
        <v>144</v>
      </c>
      <c r="Q839" s="2">
        <v>45694</v>
      </c>
      <c r="R839" s="1" t="s">
        <v>1282</v>
      </c>
      <c r="S839" s="1">
        <v>39</v>
      </c>
      <c r="T839" s="1">
        <v>69</v>
      </c>
      <c r="U839" s="1" t="s">
        <v>38</v>
      </c>
      <c r="V839" s="3">
        <f>tblInventory[[#This Row],[Stock_Quantity]]*tblInventory[[#This Row],[Unit_Price]]</f>
        <v>378</v>
      </c>
      <c r="W839" s="1" t="str">
        <f>IF(tblInventory[[#This Row],[Status]]="Discontinued","INACTIVE",
IF(tblInventory[[#This Row],[Stock_Quantity]] &lt; tblInventory[[#This Row],[Reorder_Level]],"REORDER","OK"))</f>
        <v>OK</v>
      </c>
      <c r="X839" s="1" t="str">
        <f t="shared" ca="1" si="27"/>
        <v>Expired</v>
      </c>
    </row>
    <row r="840" spans="1:24">
      <c r="A840" s="1">
        <v>839</v>
      </c>
      <c r="B840" s="1" t="s">
        <v>1766</v>
      </c>
      <c r="C840" s="1" t="s">
        <v>16</v>
      </c>
      <c r="D840" s="1" t="s">
        <v>17</v>
      </c>
      <c r="E840" s="1" t="s">
        <v>1767</v>
      </c>
      <c r="F840" s="1" t="s">
        <v>1467</v>
      </c>
      <c r="G840" s="6">
        <v>36</v>
      </c>
      <c r="H840" s="8">
        <f>tblInventory[[#This Row],[Stock_Quantity]] * tblInventory[[#This Row],[Unit_Price]]</f>
        <v>171</v>
      </c>
      <c r="I840" s="1">
        <v>81</v>
      </c>
      <c r="J840" s="1">
        <v>54</v>
      </c>
      <c r="K840" s="8">
        <f>tblInventory[[#This Row],[Reorder_Quantity]]*M840</f>
        <v>256.5</v>
      </c>
      <c r="L840" s="10">
        <f>tblInventory[[#This Row],[Stock_Quantity]] / tblInventory[[#This Row],[Reorder_Quantity]]</f>
        <v>0.66666666666666663</v>
      </c>
      <c r="M840" s="3">
        <v>4.75</v>
      </c>
      <c r="N840" s="10">
        <f t="shared" si="26"/>
        <v>0.61120543293718166</v>
      </c>
      <c r="O840" s="2">
        <v>45480</v>
      </c>
      <c r="P840" s="1" t="s">
        <v>213</v>
      </c>
      <c r="Q840" s="2">
        <v>45943</v>
      </c>
      <c r="R840" s="1" t="s">
        <v>1768</v>
      </c>
      <c r="S840" s="1">
        <v>73</v>
      </c>
      <c r="T840" s="1">
        <v>60</v>
      </c>
      <c r="U840" s="1" t="s">
        <v>24</v>
      </c>
      <c r="V840" s="3">
        <f>tblInventory[[#This Row],[Stock_Quantity]]*tblInventory[[#This Row],[Unit_Price]]</f>
        <v>171</v>
      </c>
      <c r="W840" s="1" t="str">
        <f>IF(tblInventory[[#This Row],[Status]]="Discontinued","INACTIVE",
IF(tblInventory[[#This Row],[Stock_Quantity]] &lt; tblInventory[[#This Row],[Reorder_Level]],"REORDER","OK"))</f>
        <v>INACTIVE</v>
      </c>
      <c r="X840" s="1" t="str">
        <f t="shared" ca="1" si="27"/>
        <v>Expired</v>
      </c>
    </row>
    <row r="841" spans="1:24">
      <c r="A841" s="1">
        <v>840</v>
      </c>
      <c r="B841" s="1" t="s">
        <v>2308</v>
      </c>
      <c r="C841" s="1" t="s">
        <v>16</v>
      </c>
      <c r="D841" s="1" t="s">
        <v>17</v>
      </c>
      <c r="E841" s="1" t="s">
        <v>2309</v>
      </c>
      <c r="F841" s="1" t="s">
        <v>614</v>
      </c>
      <c r="G841" s="6">
        <v>47</v>
      </c>
      <c r="H841" s="8">
        <f>tblInventory[[#This Row],[Stock_Quantity]] * tblInventory[[#This Row],[Unit_Price]]</f>
        <v>197.4</v>
      </c>
      <c r="I841" s="1">
        <v>1</v>
      </c>
      <c r="J841" s="1">
        <v>60</v>
      </c>
      <c r="K841" s="8">
        <f>tblInventory[[#This Row],[Reorder_Quantity]]*M841</f>
        <v>252</v>
      </c>
      <c r="L841" s="10">
        <f>tblInventory[[#This Row],[Stock_Quantity]] / tblInventory[[#This Row],[Reorder_Quantity]]</f>
        <v>0.78333333333333333</v>
      </c>
      <c r="M841" s="3">
        <v>4.2</v>
      </c>
      <c r="N841" s="10">
        <f t="shared" si="26"/>
        <v>0.79796264855687604</v>
      </c>
      <c r="O841" s="1" t="s">
        <v>1597</v>
      </c>
      <c r="P841" s="1" t="s">
        <v>134</v>
      </c>
      <c r="Q841" s="2">
        <v>46109</v>
      </c>
      <c r="R841" s="1" t="s">
        <v>2310</v>
      </c>
      <c r="S841" s="1">
        <v>32</v>
      </c>
      <c r="T841" s="1">
        <v>87</v>
      </c>
      <c r="U841" s="1" t="s">
        <v>24</v>
      </c>
      <c r="V841" s="3">
        <f>tblInventory[[#This Row],[Stock_Quantity]]*tblInventory[[#This Row],[Unit_Price]]</f>
        <v>197.4</v>
      </c>
      <c r="W841" s="1" t="str">
        <f>IF(tblInventory[[#This Row],[Status]]="Discontinued","INACTIVE",
IF(tblInventory[[#This Row],[Stock_Quantity]] &lt; tblInventory[[#This Row],[Reorder_Level]],"REORDER","OK"))</f>
        <v>INACTIVE</v>
      </c>
      <c r="X841" s="1" t="str">
        <f t="shared" ca="1" si="27"/>
        <v>Valid</v>
      </c>
    </row>
    <row r="842" spans="1:24">
      <c r="A842" s="1">
        <v>841</v>
      </c>
      <c r="B842" s="1" t="s">
        <v>2497</v>
      </c>
      <c r="C842" s="1" t="s">
        <v>16</v>
      </c>
      <c r="D842" s="1" t="s">
        <v>17</v>
      </c>
      <c r="E842" s="1" t="s">
        <v>2498</v>
      </c>
      <c r="F842" s="1" t="s">
        <v>2499</v>
      </c>
      <c r="G842" s="6">
        <v>22</v>
      </c>
      <c r="H842" s="8">
        <f>tblInventory[[#This Row],[Stock_Quantity]] * tblInventory[[#This Row],[Unit_Price]]</f>
        <v>93.5</v>
      </c>
      <c r="I842" s="1">
        <v>10</v>
      </c>
      <c r="J842" s="1">
        <v>53</v>
      </c>
      <c r="K842" s="8">
        <f>tblInventory[[#This Row],[Reorder_Quantity]]*M842</f>
        <v>225.25</v>
      </c>
      <c r="L842" s="10">
        <f>tblInventory[[#This Row],[Stock_Quantity]] / tblInventory[[#This Row],[Reorder_Quantity]]</f>
        <v>0.41509433962264153</v>
      </c>
      <c r="M842" s="3">
        <v>4.25</v>
      </c>
      <c r="N842" s="10">
        <f t="shared" si="26"/>
        <v>0.37351443123938882</v>
      </c>
      <c r="O842" s="2">
        <v>45512</v>
      </c>
      <c r="P842" s="1" t="s">
        <v>1217</v>
      </c>
      <c r="Q842" s="2">
        <v>46167</v>
      </c>
      <c r="R842" s="1" t="s">
        <v>2500</v>
      </c>
      <c r="S842" s="1">
        <v>64</v>
      </c>
      <c r="T842" s="1">
        <v>7</v>
      </c>
      <c r="U842" s="1" t="s">
        <v>46</v>
      </c>
      <c r="V842" s="3">
        <f>tblInventory[[#This Row],[Stock_Quantity]]*tblInventory[[#This Row],[Unit_Price]]</f>
        <v>93.5</v>
      </c>
      <c r="W842" s="1" t="str">
        <f>IF(tblInventory[[#This Row],[Status]]="Discontinued","INACTIVE",
IF(tblInventory[[#This Row],[Stock_Quantity]] &lt; tblInventory[[#This Row],[Reorder_Level]],"REORDER","OK"))</f>
        <v>OK</v>
      </c>
      <c r="X842" s="1" t="str">
        <f t="shared" ca="1" si="27"/>
        <v>Valid</v>
      </c>
    </row>
    <row r="843" spans="1:24">
      <c r="A843" s="1">
        <v>842</v>
      </c>
      <c r="B843" s="1" t="s">
        <v>2512</v>
      </c>
      <c r="C843" s="1" t="s">
        <v>16</v>
      </c>
      <c r="D843" s="1" t="s">
        <v>17</v>
      </c>
      <c r="E843" s="1" t="s">
        <v>2513</v>
      </c>
      <c r="F843" s="1" t="s">
        <v>948</v>
      </c>
      <c r="G843" s="6">
        <v>10</v>
      </c>
      <c r="H843" s="8">
        <f>tblInventory[[#This Row],[Stock_Quantity]] * tblInventory[[#This Row],[Unit_Price]]</f>
        <v>43</v>
      </c>
      <c r="I843" s="1">
        <v>11</v>
      </c>
      <c r="J843" s="1">
        <v>29</v>
      </c>
      <c r="K843" s="8">
        <f>tblInventory[[#This Row],[Reorder_Quantity]]*M843</f>
        <v>124.69999999999999</v>
      </c>
      <c r="L843" s="10">
        <f>tblInventory[[#This Row],[Stock_Quantity]] / tblInventory[[#This Row],[Reorder_Quantity]]</f>
        <v>0.34482758620689657</v>
      </c>
      <c r="M843" s="3">
        <v>4.3</v>
      </c>
      <c r="N843" s="10">
        <f t="shared" si="26"/>
        <v>0.1697792869269949</v>
      </c>
      <c r="O843" s="1" t="s">
        <v>785</v>
      </c>
      <c r="P843" s="2">
        <v>45514</v>
      </c>
      <c r="Q843" s="2">
        <v>46171</v>
      </c>
      <c r="R843" s="1" t="s">
        <v>2514</v>
      </c>
      <c r="S843" s="1">
        <v>29</v>
      </c>
      <c r="T843" s="1">
        <v>72</v>
      </c>
      <c r="U843" s="1" t="s">
        <v>38</v>
      </c>
      <c r="V843" s="3">
        <f>tblInventory[[#This Row],[Stock_Quantity]]*tblInventory[[#This Row],[Unit_Price]]</f>
        <v>43</v>
      </c>
      <c r="W843" s="1" t="str">
        <f>IF(tblInventory[[#This Row],[Status]]="Discontinued","INACTIVE",
IF(tblInventory[[#This Row],[Stock_Quantity]] &lt; tblInventory[[#This Row],[Reorder_Level]],"REORDER","OK"))</f>
        <v>REORDER</v>
      </c>
      <c r="X843" s="1" t="str">
        <f t="shared" ca="1" si="27"/>
        <v>Valid</v>
      </c>
    </row>
    <row r="844" spans="1:24">
      <c r="A844" s="1">
        <v>843</v>
      </c>
      <c r="B844" s="1" t="s">
        <v>2578</v>
      </c>
      <c r="C844" s="1" t="s">
        <v>16</v>
      </c>
      <c r="D844" s="1" t="s">
        <v>17</v>
      </c>
      <c r="E844" s="1" t="s">
        <v>2579</v>
      </c>
      <c r="F844" s="1" t="s">
        <v>698</v>
      </c>
      <c r="G844" s="6">
        <v>78</v>
      </c>
      <c r="H844" s="8">
        <f>tblInventory[[#This Row],[Stock_Quantity]] * tblInventory[[#This Row],[Unit_Price]]</f>
        <v>339.29999999999995</v>
      </c>
      <c r="I844" s="1">
        <v>94</v>
      </c>
      <c r="J844" s="1">
        <v>7</v>
      </c>
      <c r="K844" s="8">
        <f>tblInventory[[#This Row],[Reorder_Quantity]]*M844</f>
        <v>30.449999999999996</v>
      </c>
      <c r="L844" s="10">
        <f>tblInventory[[#This Row],[Stock_Quantity]] / tblInventory[[#This Row],[Reorder_Quantity]]</f>
        <v>11.142857142857142</v>
      </c>
      <c r="M844" s="3">
        <v>4.3499999999999996</v>
      </c>
      <c r="N844" s="10">
        <f t="shared" si="26"/>
        <v>1.3242784380305603</v>
      </c>
      <c r="O844" s="2">
        <v>45452</v>
      </c>
      <c r="P844" s="2">
        <v>45362</v>
      </c>
      <c r="Q844" s="2">
        <v>46191</v>
      </c>
      <c r="R844" s="1" t="s">
        <v>2580</v>
      </c>
      <c r="S844" s="1">
        <v>69</v>
      </c>
      <c r="T844" s="1">
        <v>40</v>
      </c>
      <c r="U844" s="1" t="s">
        <v>38</v>
      </c>
      <c r="V844" s="3">
        <f>tblInventory[[#This Row],[Stock_Quantity]]*tblInventory[[#This Row],[Unit_Price]]</f>
        <v>339.29999999999995</v>
      </c>
      <c r="W844" s="1" t="str">
        <f>IF(tblInventory[[#This Row],[Status]]="Discontinued","INACTIVE",
IF(tblInventory[[#This Row],[Stock_Quantity]] &lt; tblInventory[[#This Row],[Reorder_Level]],"REORDER","OK"))</f>
        <v>REORDER</v>
      </c>
      <c r="X844" s="1" t="str">
        <f t="shared" ca="1" si="27"/>
        <v>Valid</v>
      </c>
    </row>
    <row r="845" spans="1:24">
      <c r="A845" s="1">
        <v>844</v>
      </c>
      <c r="B845" s="1" t="s">
        <v>1742</v>
      </c>
      <c r="C845" s="1" t="s">
        <v>1743</v>
      </c>
      <c r="D845" s="1" t="s">
        <v>49</v>
      </c>
      <c r="E845" s="1" t="s">
        <v>1744</v>
      </c>
      <c r="F845" s="1" t="s">
        <v>196</v>
      </c>
      <c r="G845" s="6">
        <v>100</v>
      </c>
      <c r="H845" s="8">
        <f>tblInventory[[#This Row],[Stock_Quantity]] * tblInventory[[#This Row],[Unit_Price]]</f>
        <v>200</v>
      </c>
      <c r="I845" s="1">
        <v>3</v>
      </c>
      <c r="J845" s="1">
        <v>32</v>
      </c>
      <c r="K845" s="8">
        <f>tblInventory[[#This Row],[Reorder_Quantity]]*M845</f>
        <v>64</v>
      </c>
      <c r="L845" s="10">
        <f>tblInventory[[#This Row],[Stock_Quantity]] / tblInventory[[#This Row],[Reorder_Quantity]]</f>
        <v>3.125</v>
      </c>
      <c r="M845" s="3">
        <v>2</v>
      </c>
      <c r="N845" s="10">
        <f t="shared" si="26"/>
        <v>1.6977928692699491</v>
      </c>
      <c r="O845" s="1" t="s">
        <v>239</v>
      </c>
      <c r="P845" s="2">
        <v>45301</v>
      </c>
      <c r="Q845" s="2">
        <v>45818</v>
      </c>
      <c r="R845" s="1" t="s">
        <v>1745</v>
      </c>
      <c r="S845" s="1">
        <v>98</v>
      </c>
      <c r="T845" s="1">
        <v>91</v>
      </c>
      <c r="U845" s="1" t="s">
        <v>38</v>
      </c>
      <c r="V845" s="3">
        <f>tblInventory[[#This Row],[Stock_Quantity]]*tblInventory[[#This Row],[Unit_Price]]</f>
        <v>200</v>
      </c>
      <c r="W845" s="1" t="str">
        <f>IF(tblInventory[[#This Row],[Status]]="Discontinued","INACTIVE",
IF(tblInventory[[#This Row],[Stock_Quantity]] &lt; tblInventory[[#This Row],[Reorder_Level]],"REORDER","OK"))</f>
        <v>OK</v>
      </c>
      <c r="X845" s="1" t="str">
        <f t="shared" ca="1" si="27"/>
        <v>Expired</v>
      </c>
    </row>
    <row r="846" spans="1:24">
      <c r="A846" s="1">
        <v>845</v>
      </c>
      <c r="B846" s="1" t="s">
        <v>1858</v>
      </c>
      <c r="C846" s="1" t="s">
        <v>1743</v>
      </c>
      <c r="D846" s="1" t="s">
        <v>49</v>
      </c>
      <c r="E846" s="1" t="s">
        <v>1859</v>
      </c>
      <c r="F846" s="1" t="s">
        <v>922</v>
      </c>
      <c r="G846" s="6">
        <v>65</v>
      </c>
      <c r="H846" s="8">
        <f>tblInventory[[#This Row],[Stock_Quantity]] * tblInventory[[#This Row],[Unit_Price]]</f>
        <v>130</v>
      </c>
      <c r="I846" s="1">
        <v>10</v>
      </c>
      <c r="J846" s="1">
        <v>81</v>
      </c>
      <c r="K846" s="8">
        <f>tblInventory[[#This Row],[Reorder_Quantity]]*M846</f>
        <v>162</v>
      </c>
      <c r="L846" s="10">
        <f>tblInventory[[#This Row],[Stock_Quantity]] / tblInventory[[#This Row],[Reorder_Quantity]]</f>
        <v>0.80246913580246915</v>
      </c>
      <c r="M846" s="3">
        <v>2</v>
      </c>
      <c r="N846" s="10">
        <f t="shared" si="26"/>
        <v>1.1035653650254669</v>
      </c>
      <c r="O846" s="1" t="s">
        <v>396</v>
      </c>
      <c r="P846" s="2">
        <v>45993</v>
      </c>
      <c r="Q846" s="2">
        <v>45911</v>
      </c>
      <c r="R846" s="1" t="s">
        <v>1860</v>
      </c>
      <c r="S846" s="1">
        <v>71</v>
      </c>
      <c r="T846" s="1">
        <v>61</v>
      </c>
      <c r="U846" s="1" t="s">
        <v>38</v>
      </c>
      <c r="V846" s="3">
        <f>tblInventory[[#This Row],[Stock_Quantity]]*tblInventory[[#This Row],[Unit_Price]]</f>
        <v>130</v>
      </c>
      <c r="W846" s="1" t="str">
        <f>IF(tblInventory[[#This Row],[Status]]="Discontinued","INACTIVE",
IF(tblInventory[[#This Row],[Stock_Quantity]] &lt; tblInventory[[#This Row],[Reorder_Level]],"REORDER","OK"))</f>
        <v>OK</v>
      </c>
      <c r="X846" s="1" t="str">
        <f t="shared" ca="1" si="27"/>
        <v>Expired</v>
      </c>
    </row>
    <row r="847" spans="1:24">
      <c r="A847" s="1">
        <v>846</v>
      </c>
      <c r="B847" s="1" t="s">
        <v>3089</v>
      </c>
      <c r="C847" s="1" t="s">
        <v>1743</v>
      </c>
      <c r="D847" s="1" t="s">
        <v>49</v>
      </c>
      <c r="E847" s="1" t="s">
        <v>3090</v>
      </c>
      <c r="F847" s="1" t="s">
        <v>1129</v>
      </c>
      <c r="G847" s="6">
        <v>44</v>
      </c>
      <c r="H847" s="8">
        <f>tblInventory[[#This Row],[Stock_Quantity]] * tblInventory[[#This Row],[Unit_Price]]</f>
        <v>88</v>
      </c>
      <c r="I847" s="1">
        <v>77</v>
      </c>
      <c r="J847" s="1">
        <v>45</v>
      </c>
      <c r="K847" s="8">
        <f>tblInventory[[#This Row],[Reorder_Quantity]]*M847</f>
        <v>90</v>
      </c>
      <c r="L847" s="10">
        <f>tblInventory[[#This Row],[Stock_Quantity]] / tblInventory[[#This Row],[Reorder_Quantity]]</f>
        <v>0.97777777777777775</v>
      </c>
      <c r="M847" s="3">
        <v>2</v>
      </c>
      <c r="N847" s="10">
        <f t="shared" si="26"/>
        <v>0.74702886247877764</v>
      </c>
      <c r="O847" s="1" t="s">
        <v>812</v>
      </c>
      <c r="P847" s="1" t="s">
        <v>151</v>
      </c>
      <c r="Q847" s="2">
        <v>46350</v>
      </c>
      <c r="R847" s="1" t="s">
        <v>3091</v>
      </c>
      <c r="S847" s="1">
        <v>89</v>
      </c>
      <c r="T847" s="1">
        <v>64</v>
      </c>
      <c r="U847" s="1" t="s">
        <v>24</v>
      </c>
      <c r="V847" s="3">
        <f>tblInventory[[#This Row],[Stock_Quantity]]*tblInventory[[#This Row],[Unit_Price]]</f>
        <v>88</v>
      </c>
      <c r="W847" s="1" t="str">
        <f>IF(tblInventory[[#This Row],[Status]]="Discontinued","INACTIVE",
IF(tblInventory[[#This Row],[Stock_Quantity]] &lt; tblInventory[[#This Row],[Reorder_Level]],"REORDER","OK"))</f>
        <v>INACTIVE</v>
      </c>
      <c r="X847" s="1" t="str">
        <f t="shared" ca="1" si="27"/>
        <v>Valid</v>
      </c>
    </row>
    <row r="848" spans="1:24">
      <c r="A848" s="1">
        <v>847</v>
      </c>
      <c r="B848" s="1" t="s">
        <v>3333</v>
      </c>
      <c r="C848" s="1" t="s">
        <v>1743</v>
      </c>
      <c r="D848" s="1" t="s">
        <v>49</v>
      </c>
      <c r="E848" s="1" t="s">
        <v>3334</v>
      </c>
      <c r="F848" s="1" t="s">
        <v>2688</v>
      </c>
      <c r="G848" s="6">
        <v>95</v>
      </c>
      <c r="H848" s="8">
        <f>tblInventory[[#This Row],[Stock_Quantity]] * tblInventory[[#This Row],[Unit_Price]]</f>
        <v>190</v>
      </c>
      <c r="I848" s="1">
        <v>87</v>
      </c>
      <c r="J848" s="1">
        <v>13</v>
      </c>
      <c r="K848" s="8">
        <f>tblInventory[[#This Row],[Reorder_Quantity]]*M848</f>
        <v>26</v>
      </c>
      <c r="L848" s="10">
        <f>tblInventory[[#This Row],[Stock_Quantity]] / tblInventory[[#This Row],[Reorder_Quantity]]</f>
        <v>7.3076923076923075</v>
      </c>
      <c r="M848" s="3">
        <v>2</v>
      </c>
      <c r="N848" s="10">
        <f t="shared" si="26"/>
        <v>1.6129032258064517</v>
      </c>
      <c r="O848" s="2">
        <v>45636</v>
      </c>
      <c r="P848" s="2">
        <v>45325</v>
      </c>
      <c r="Q848" s="2">
        <v>46693</v>
      </c>
      <c r="R848" s="1" t="s">
        <v>3335</v>
      </c>
      <c r="S848" s="1">
        <v>61</v>
      </c>
      <c r="T848" s="1">
        <v>4</v>
      </c>
      <c r="U848" s="1" t="s">
        <v>38</v>
      </c>
      <c r="V848" s="3">
        <f>tblInventory[[#This Row],[Stock_Quantity]]*tblInventory[[#This Row],[Unit_Price]]</f>
        <v>190</v>
      </c>
      <c r="W848" s="1" t="str">
        <f>IF(tblInventory[[#This Row],[Status]]="Discontinued","INACTIVE",
IF(tblInventory[[#This Row],[Stock_Quantity]] &lt; tblInventory[[#This Row],[Reorder_Level]],"REORDER","OK"))</f>
        <v>OK</v>
      </c>
      <c r="X848" s="1" t="str">
        <f t="shared" ca="1" si="27"/>
        <v>Valid</v>
      </c>
    </row>
    <row r="849" spans="1:24">
      <c r="A849" s="1">
        <v>848</v>
      </c>
      <c r="B849" s="1" t="s">
        <v>3472</v>
      </c>
      <c r="C849" s="1" t="s">
        <v>1743</v>
      </c>
      <c r="D849" s="1" t="s">
        <v>49</v>
      </c>
      <c r="E849" s="1" t="s">
        <v>3473</v>
      </c>
      <c r="F849" s="1" t="s">
        <v>2809</v>
      </c>
      <c r="G849" s="6">
        <v>80</v>
      </c>
      <c r="H849" s="8">
        <f>tblInventory[[#This Row],[Stock_Quantity]] * tblInventory[[#This Row],[Unit_Price]]</f>
        <v>160</v>
      </c>
      <c r="I849" s="1">
        <v>60</v>
      </c>
      <c r="J849" s="1">
        <v>71</v>
      </c>
      <c r="K849" s="8">
        <f>tblInventory[[#This Row],[Reorder_Quantity]]*M849</f>
        <v>142</v>
      </c>
      <c r="L849" s="10">
        <f>tblInventory[[#This Row],[Stock_Quantity]] / tblInventory[[#This Row],[Reorder_Quantity]]</f>
        <v>1.1267605633802817</v>
      </c>
      <c r="M849" s="3">
        <v>2</v>
      </c>
      <c r="N849" s="10">
        <f t="shared" si="26"/>
        <v>1.3582342954159592</v>
      </c>
      <c r="O849" s="2">
        <v>45514</v>
      </c>
      <c r="P849" s="1" t="s">
        <v>956</v>
      </c>
      <c r="Q849" s="2">
        <v>46474</v>
      </c>
      <c r="R849" s="1" t="s">
        <v>3474</v>
      </c>
      <c r="S849" s="1">
        <v>98</v>
      </c>
      <c r="T849" s="1">
        <v>13</v>
      </c>
      <c r="U849" s="1" t="s">
        <v>46</v>
      </c>
      <c r="V849" s="3">
        <f>tblInventory[[#This Row],[Stock_Quantity]]*tblInventory[[#This Row],[Unit_Price]]</f>
        <v>160</v>
      </c>
      <c r="W849" s="1" t="str">
        <f>IF(tblInventory[[#This Row],[Status]]="Discontinued","INACTIVE",
IF(tblInventory[[#This Row],[Stock_Quantity]] &lt; tblInventory[[#This Row],[Reorder_Level]],"REORDER","OK"))</f>
        <v>OK</v>
      </c>
      <c r="X849" s="1" t="str">
        <f t="shared" ca="1" si="27"/>
        <v>Valid</v>
      </c>
    </row>
    <row r="850" spans="1:24">
      <c r="A850" s="1">
        <v>849</v>
      </c>
      <c r="B850" s="1" t="s">
        <v>3590</v>
      </c>
      <c r="C850" s="1" t="s">
        <v>1743</v>
      </c>
      <c r="D850" s="1" t="s">
        <v>49</v>
      </c>
      <c r="E850" s="1" t="s">
        <v>3591</v>
      </c>
      <c r="F850" s="1" t="s">
        <v>2387</v>
      </c>
      <c r="G850" s="6">
        <v>49</v>
      </c>
      <c r="H850" s="8">
        <f>tblInventory[[#This Row],[Stock_Quantity]] * tblInventory[[#This Row],[Unit_Price]]</f>
        <v>98</v>
      </c>
      <c r="I850" s="1">
        <v>1</v>
      </c>
      <c r="J850" s="1">
        <v>28</v>
      </c>
      <c r="K850" s="8">
        <f>tblInventory[[#This Row],[Reorder_Quantity]]*M850</f>
        <v>56</v>
      </c>
      <c r="L850" s="10">
        <f>tblInventory[[#This Row],[Stock_Quantity]] / tblInventory[[#This Row],[Reorder_Quantity]]</f>
        <v>1.75</v>
      </c>
      <c r="M850" s="3">
        <v>2</v>
      </c>
      <c r="N850" s="10">
        <f t="shared" si="26"/>
        <v>0.83191850594227501</v>
      </c>
      <c r="O850" s="2">
        <v>45303</v>
      </c>
      <c r="P850" s="1" t="s">
        <v>666</v>
      </c>
      <c r="Q850" s="2">
        <v>46512</v>
      </c>
      <c r="R850" s="1" t="s">
        <v>3592</v>
      </c>
      <c r="S850" s="1">
        <v>97</v>
      </c>
      <c r="T850" s="1">
        <v>95</v>
      </c>
      <c r="U850" s="1" t="s">
        <v>46</v>
      </c>
      <c r="V850" s="3">
        <f>tblInventory[[#This Row],[Stock_Quantity]]*tblInventory[[#This Row],[Unit_Price]]</f>
        <v>98</v>
      </c>
      <c r="W850" s="1" t="str">
        <f>IF(tblInventory[[#This Row],[Status]]="Discontinued","INACTIVE",
IF(tblInventory[[#This Row],[Stock_Quantity]] &lt; tblInventory[[#This Row],[Reorder_Level]],"REORDER","OK"))</f>
        <v>OK</v>
      </c>
      <c r="X850" s="1" t="str">
        <f t="shared" ca="1" si="27"/>
        <v>Valid</v>
      </c>
    </row>
    <row r="851" spans="1:24">
      <c r="A851" s="1">
        <v>850</v>
      </c>
      <c r="B851" s="1" t="s">
        <v>130</v>
      </c>
      <c r="C851" s="1" t="s">
        <v>131</v>
      </c>
      <c r="D851" s="1" t="s">
        <v>69</v>
      </c>
      <c r="E851" s="1" t="s">
        <v>132</v>
      </c>
      <c r="F851" s="1" t="s">
        <v>133</v>
      </c>
      <c r="G851" s="6">
        <v>49</v>
      </c>
      <c r="H851" s="8">
        <f>tblInventory[[#This Row],[Stock_Quantity]] * tblInventory[[#This Row],[Unit_Price]]</f>
        <v>392</v>
      </c>
      <c r="I851" s="1">
        <v>49</v>
      </c>
      <c r="J851" s="1">
        <v>26</v>
      </c>
      <c r="K851" s="8">
        <f>tblInventory[[#This Row],[Reorder_Quantity]]*M851</f>
        <v>208</v>
      </c>
      <c r="L851" s="10">
        <f>tblInventory[[#This Row],[Stock_Quantity]] / tblInventory[[#This Row],[Reorder_Quantity]]</f>
        <v>1.8846153846153846</v>
      </c>
      <c r="M851" s="3">
        <v>8</v>
      </c>
      <c r="N851" s="10">
        <f t="shared" si="26"/>
        <v>0.83191850594227501</v>
      </c>
      <c r="O851" s="2">
        <v>45574</v>
      </c>
      <c r="P851" s="1" t="s">
        <v>134</v>
      </c>
      <c r="Q851" s="2">
        <v>45453</v>
      </c>
      <c r="R851" s="1" t="s">
        <v>135</v>
      </c>
      <c r="S851" s="1">
        <v>78</v>
      </c>
      <c r="T851" s="1">
        <v>61</v>
      </c>
      <c r="U851" s="1" t="s">
        <v>24</v>
      </c>
      <c r="V851" s="3">
        <f>tblInventory[[#This Row],[Stock_Quantity]]*tblInventory[[#This Row],[Unit_Price]]</f>
        <v>392</v>
      </c>
      <c r="W851" s="1" t="str">
        <f>IF(tblInventory[[#This Row],[Status]]="Discontinued","INACTIVE",
IF(tblInventory[[#This Row],[Stock_Quantity]] &lt; tblInventory[[#This Row],[Reorder_Level]],"REORDER","OK"))</f>
        <v>INACTIVE</v>
      </c>
      <c r="X851" s="1" t="str">
        <f t="shared" ca="1" si="27"/>
        <v>Expired</v>
      </c>
    </row>
    <row r="852" spans="1:24">
      <c r="A852" s="1">
        <v>851</v>
      </c>
      <c r="B852" s="1" t="s">
        <v>545</v>
      </c>
      <c r="C852" s="1" t="s">
        <v>131</v>
      </c>
      <c r="D852" s="1" t="s">
        <v>69</v>
      </c>
      <c r="E852" s="1" t="s">
        <v>546</v>
      </c>
      <c r="F852" s="1" t="s">
        <v>547</v>
      </c>
      <c r="G852" s="6">
        <v>29</v>
      </c>
      <c r="H852" s="8">
        <f>tblInventory[[#This Row],[Stock_Quantity]] * tblInventory[[#This Row],[Unit_Price]]</f>
        <v>232</v>
      </c>
      <c r="I852" s="1">
        <v>4</v>
      </c>
      <c r="J852" s="1">
        <v>17</v>
      </c>
      <c r="K852" s="8">
        <f>tblInventory[[#This Row],[Reorder_Quantity]]*M852</f>
        <v>136</v>
      </c>
      <c r="L852" s="10">
        <f>tblInventory[[#This Row],[Stock_Quantity]] / tblInventory[[#This Row],[Reorder_Quantity]]</f>
        <v>1.7058823529411764</v>
      </c>
      <c r="M852" s="3">
        <v>8</v>
      </c>
      <c r="N852" s="10">
        <f t="shared" si="26"/>
        <v>0.49235993208828527</v>
      </c>
      <c r="O852" s="1" t="s">
        <v>258</v>
      </c>
      <c r="P852" s="1" t="s">
        <v>382</v>
      </c>
      <c r="Q852" s="2">
        <v>45642</v>
      </c>
      <c r="R852" s="1" t="s">
        <v>549</v>
      </c>
      <c r="S852" s="1">
        <v>59</v>
      </c>
      <c r="T852" s="1">
        <v>52</v>
      </c>
      <c r="U852" s="1" t="s">
        <v>46</v>
      </c>
      <c r="V852" s="3">
        <f>tblInventory[[#This Row],[Stock_Quantity]]*tblInventory[[#This Row],[Unit_Price]]</f>
        <v>232</v>
      </c>
      <c r="W852" s="1" t="str">
        <f>IF(tblInventory[[#This Row],[Status]]="Discontinued","INACTIVE",
IF(tblInventory[[#This Row],[Stock_Quantity]] &lt; tblInventory[[#This Row],[Reorder_Level]],"REORDER","OK"))</f>
        <v>OK</v>
      </c>
      <c r="X852" s="1" t="str">
        <f t="shared" ca="1" si="27"/>
        <v>Expired</v>
      </c>
    </row>
    <row r="853" spans="1:24">
      <c r="A853" s="1">
        <v>852</v>
      </c>
      <c r="B853" s="1" t="s">
        <v>847</v>
      </c>
      <c r="C853" s="1" t="s">
        <v>131</v>
      </c>
      <c r="D853" s="1" t="s">
        <v>69</v>
      </c>
      <c r="E853" s="1" t="s">
        <v>848</v>
      </c>
      <c r="F853" s="1" t="s">
        <v>849</v>
      </c>
      <c r="G853" s="6">
        <v>80</v>
      </c>
      <c r="H853" s="8">
        <f>tblInventory[[#This Row],[Stock_Quantity]] * tblInventory[[#This Row],[Unit_Price]]</f>
        <v>648</v>
      </c>
      <c r="I853" s="1">
        <v>9</v>
      </c>
      <c r="J853" s="1">
        <v>29</v>
      </c>
      <c r="K853" s="8">
        <f>tblInventory[[#This Row],[Reorder_Quantity]]*M853</f>
        <v>234.89999999999998</v>
      </c>
      <c r="L853" s="10">
        <f>tblInventory[[#This Row],[Stock_Quantity]] / tblInventory[[#This Row],[Reorder_Quantity]]</f>
        <v>2.7586206896551726</v>
      </c>
      <c r="M853" s="3">
        <v>8.1</v>
      </c>
      <c r="N853" s="10">
        <f t="shared" si="26"/>
        <v>1.3582342954159592</v>
      </c>
      <c r="O853" s="1" t="s">
        <v>850</v>
      </c>
      <c r="P853" s="1" t="s">
        <v>444</v>
      </c>
      <c r="Q853" s="2">
        <v>45705</v>
      </c>
      <c r="R853" s="1" t="s">
        <v>851</v>
      </c>
      <c r="S853" s="1">
        <v>54</v>
      </c>
      <c r="T853" s="1">
        <v>62</v>
      </c>
      <c r="U853" s="1" t="s">
        <v>46</v>
      </c>
      <c r="V853" s="3">
        <f>tblInventory[[#This Row],[Stock_Quantity]]*tblInventory[[#This Row],[Unit_Price]]</f>
        <v>648</v>
      </c>
      <c r="W853" s="1" t="str">
        <f>IF(tblInventory[[#This Row],[Status]]="Discontinued","INACTIVE",
IF(tblInventory[[#This Row],[Stock_Quantity]] &lt; tblInventory[[#This Row],[Reorder_Level]],"REORDER","OK"))</f>
        <v>OK</v>
      </c>
      <c r="X853" s="1" t="str">
        <f t="shared" ca="1" si="27"/>
        <v>Expired</v>
      </c>
    </row>
    <row r="854" spans="1:24">
      <c r="A854" s="1">
        <v>853</v>
      </c>
      <c r="B854" s="1" t="s">
        <v>925</v>
      </c>
      <c r="C854" s="1" t="s">
        <v>131</v>
      </c>
      <c r="D854" s="1" t="s">
        <v>69</v>
      </c>
      <c r="E854" s="1" t="s">
        <v>926</v>
      </c>
      <c r="F854" s="1" t="s">
        <v>927</v>
      </c>
      <c r="G854" s="6">
        <v>50</v>
      </c>
      <c r="H854" s="8">
        <f>tblInventory[[#This Row],[Stock_Quantity]] * tblInventory[[#This Row],[Unit_Price]]</f>
        <v>400</v>
      </c>
      <c r="I854" s="1">
        <v>99</v>
      </c>
      <c r="J854" s="1">
        <v>73</v>
      </c>
      <c r="K854" s="8">
        <f>tblInventory[[#This Row],[Reorder_Quantity]]*M854</f>
        <v>584</v>
      </c>
      <c r="L854" s="10">
        <f>tblInventory[[#This Row],[Stock_Quantity]] / tblInventory[[#This Row],[Reorder_Quantity]]</f>
        <v>0.68493150684931503</v>
      </c>
      <c r="M854" s="3">
        <v>8</v>
      </c>
      <c r="N854" s="10">
        <f t="shared" si="26"/>
        <v>0.84889643463497455</v>
      </c>
      <c r="O854" s="2">
        <v>45631</v>
      </c>
      <c r="P854" s="1" t="s">
        <v>225</v>
      </c>
      <c r="Q854" s="2">
        <v>45811</v>
      </c>
      <c r="R854" s="1" t="s">
        <v>928</v>
      </c>
      <c r="S854" s="1">
        <v>42</v>
      </c>
      <c r="T854" s="1">
        <v>1</v>
      </c>
      <c r="U854" s="1" t="s">
        <v>38</v>
      </c>
      <c r="V854" s="3">
        <f>tblInventory[[#This Row],[Stock_Quantity]]*tblInventory[[#This Row],[Unit_Price]]</f>
        <v>400</v>
      </c>
      <c r="W854" s="1" t="str">
        <f>IF(tblInventory[[#This Row],[Status]]="Discontinued","INACTIVE",
IF(tblInventory[[#This Row],[Stock_Quantity]] &lt; tblInventory[[#This Row],[Reorder_Level]],"REORDER","OK"))</f>
        <v>REORDER</v>
      </c>
      <c r="X854" s="1" t="str">
        <f t="shared" ca="1" si="27"/>
        <v>Expired</v>
      </c>
    </row>
    <row r="855" spans="1:24">
      <c r="A855" s="1">
        <v>854</v>
      </c>
      <c r="B855" s="1" t="s">
        <v>1363</v>
      </c>
      <c r="C855" s="1" t="s">
        <v>131</v>
      </c>
      <c r="D855" s="1" t="s">
        <v>69</v>
      </c>
      <c r="E855" s="1" t="s">
        <v>1364</v>
      </c>
      <c r="F855" s="1" t="s">
        <v>29</v>
      </c>
      <c r="G855" s="6">
        <v>93</v>
      </c>
      <c r="H855" s="8">
        <f>tblInventory[[#This Row],[Stock_Quantity]] * tblInventory[[#This Row],[Unit_Price]]</f>
        <v>744</v>
      </c>
      <c r="I855" s="1">
        <v>8</v>
      </c>
      <c r="J855" s="1">
        <v>51</v>
      </c>
      <c r="K855" s="8">
        <f>tblInventory[[#This Row],[Reorder_Quantity]]*M855</f>
        <v>408</v>
      </c>
      <c r="L855" s="10">
        <f>tblInventory[[#This Row],[Stock_Quantity]] / tblInventory[[#This Row],[Reorder_Quantity]]</f>
        <v>1.8235294117647058</v>
      </c>
      <c r="M855" s="3">
        <v>8</v>
      </c>
      <c r="N855" s="10">
        <f t="shared" si="26"/>
        <v>1.5789473684210527</v>
      </c>
      <c r="O855" s="1" t="s">
        <v>560</v>
      </c>
      <c r="P855" s="1" t="s">
        <v>348</v>
      </c>
      <c r="Q855" s="2">
        <v>45831</v>
      </c>
      <c r="R855" s="1" t="s">
        <v>1365</v>
      </c>
      <c r="S855" s="1">
        <v>93</v>
      </c>
      <c r="T855" s="1">
        <v>85</v>
      </c>
      <c r="U855" s="1" t="s">
        <v>38</v>
      </c>
      <c r="V855" s="3">
        <f>tblInventory[[#This Row],[Stock_Quantity]]*tblInventory[[#This Row],[Unit_Price]]</f>
        <v>744</v>
      </c>
      <c r="W855" s="1" t="str">
        <f>IF(tblInventory[[#This Row],[Status]]="Discontinued","INACTIVE",
IF(tblInventory[[#This Row],[Stock_Quantity]] &lt; tblInventory[[#This Row],[Reorder_Level]],"REORDER","OK"))</f>
        <v>OK</v>
      </c>
      <c r="X855" s="1" t="str">
        <f t="shared" ca="1" si="27"/>
        <v>Expired</v>
      </c>
    </row>
    <row r="856" spans="1:24">
      <c r="A856" s="1">
        <v>855</v>
      </c>
      <c r="B856" s="1" t="s">
        <v>1617</v>
      </c>
      <c r="C856" s="1" t="s">
        <v>131</v>
      </c>
      <c r="D856" s="1" t="s">
        <v>69</v>
      </c>
      <c r="E856" s="1" t="s">
        <v>1618</v>
      </c>
      <c r="F856" s="1" t="s">
        <v>1314</v>
      </c>
      <c r="G856" s="6">
        <v>70</v>
      </c>
      <c r="H856" s="8">
        <f>tblInventory[[#This Row],[Stock_Quantity]] * tblInventory[[#This Row],[Unit_Price]]</f>
        <v>560</v>
      </c>
      <c r="I856" s="1">
        <v>84</v>
      </c>
      <c r="J856" s="1">
        <v>72</v>
      </c>
      <c r="K856" s="8">
        <f>tblInventory[[#This Row],[Reorder_Quantity]]*M856</f>
        <v>576</v>
      </c>
      <c r="L856" s="10">
        <f>tblInventory[[#This Row],[Stock_Quantity]] / tblInventory[[#This Row],[Reorder_Quantity]]</f>
        <v>0.97222222222222221</v>
      </c>
      <c r="M856" s="3">
        <v>8</v>
      </c>
      <c r="N856" s="10">
        <f t="shared" si="26"/>
        <v>1.1884550084889645</v>
      </c>
      <c r="O856" s="1" t="s">
        <v>1061</v>
      </c>
      <c r="P856" s="2">
        <v>45516</v>
      </c>
      <c r="Q856" s="2">
        <v>45900</v>
      </c>
      <c r="R856" s="1" t="s">
        <v>1619</v>
      </c>
      <c r="S856" s="1">
        <v>71</v>
      </c>
      <c r="T856" s="1">
        <v>20</v>
      </c>
      <c r="U856" s="1" t="s">
        <v>46</v>
      </c>
      <c r="V856" s="3">
        <f>tblInventory[[#This Row],[Stock_Quantity]]*tblInventory[[#This Row],[Unit_Price]]</f>
        <v>560</v>
      </c>
      <c r="W856" s="1" t="str">
        <f>IF(tblInventory[[#This Row],[Status]]="Discontinued","INACTIVE",
IF(tblInventory[[#This Row],[Stock_Quantity]] &lt; tblInventory[[#This Row],[Reorder_Level]],"REORDER","OK"))</f>
        <v>REORDER</v>
      </c>
      <c r="X856" s="1" t="str">
        <f t="shared" ca="1" si="27"/>
        <v>Expired</v>
      </c>
    </row>
    <row r="857" spans="1:24">
      <c r="A857" s="1">
        <v>856</v>
      </c>
      <c r="B857" s="1" t="s">
        <v>1864</v>
      </c>
      <c r="C857" s="1" t="s">
        <v>131</v>
      </c>
      <c r="D857" s="1" t="s">
        <v>69</v>
      </c>
      <c r="E857" s="1" t="s">
        <v>1865</v>
      </c>
      <c r="F857" s="1" t="s">
        <v>1237</v>
      </c>
      <c r="G857" s="6">
        <v>20</v>
      </c>
      <c r="H857" s="8">
        <f>tblInventory[[#This Row],[Stock_Quantity]] * tblInventory[[#This Row],[Unit_Price]]</f>
        <v>160</v>
      </c>
      <c r="I857" s="1">
        <v>17</v>
      </c>
      <c r="J857" s="1">
        <v>71</v>
      </c>
      <c r="K857" s="8">
        <f>tblInventory[[#This Row],[Reorder_Quantity]]*M857</f>
        <v>568</v>
      </c>
      <c r="L857" s="10">
        <f>tblInventory[[#This Row],[Stock_Quantity]] / tblInventory[[#This Row],[Reorder_Quantity]]</f>
        <v>0.28169014084507044</v>
      </c>
      <c r="M857" s="3">
        <v>8</v>
      </c>
      <c r="N857" s="10">
        <f t="shared" si="26"/>
        <v>0.3395585738539898</v>
      </c>
      <c r="O857" s="1" t="s">
        <v>518</v>
      </c>
      <c r="P857" s="2">
        <v>45839</v>
      </c>
      <c r="Q857" s="2">
        <v>45972</v>
      </c>
      <c r="R857" s="1" t="s">
        <v>1866</v>
      </c>
      <c r="S857" s="1">
        <v>50</v>
      </c>
      <c r="T857" s="1">
        <v>65</v>
      </c>
      <c r="U857" s="1" t="s">
        <v>46</v>
      </c>
      <c r="V857" s="3">
        <f>tblInventory[[#This Row],[Stock_Quantity]]*tblInventory[[#This Row],[Unit_Price]]</f>
        <v>160</v>
      </c>
      <c r="W857" s="1" t="str">
        <f>IF(tblInventory[[#This Row],[Status]]="Discontinued","INACTIVE",
IF(tblInventory[[#This Row],[Stock_Quantity]] &lt; tblInventory[[#This Row],[Reorder_Level]],"REORDER","OK"))</f>
        <v>OK</v>
      </c>
      <c r="X857" s="1" t="str">
        <f t="shared" ca="1" si="27"/>
        <v>Expired</v>
      </c>
    </row>
    <row r="858" spans="1:24">
      <c r="A858" s="1">
        <v>857</v>
      </c>
      <c r="B858" s="1" t="s">
        <v>2128</v>
      </c>
      <c r="C858" s="1" t="s">
        <v>131</v>
      </c>
      <c r="D858" s="1" t="s">
        <v>69</v>
      </c>
      <c r="E858" s="1" t="s">
        <v>2129</v>
      </c>
      <c r="F858" s="1" t="s">
        <v>2130</v>
      </c>
      <c r="G858" s="6">
        <v>85</v>
      </c>
      <c r="H858" s="8">
        <f>tblInventory[[#This Row],[Stock_Quantity]] * tblInventory[[#This Row],[Unit_Price]]</f>
        <v>680</v>
      </c>
      <c r="I858" s="1">
        <v>89</v>
      </c>
      <c r="J858" s="1">
        <v>41</v>
      </c>
      <c r="K858" s="8">
        <f>tblInventory[[#This Row],[Reorder_Quantity]]*M858</f>
        <v>328</v>
      </c>
      <c r="L858" s="10">
        <f>tblInventory[[#This Row],[Stock_Quantity]] / tblInventory[[#This Row],[Reorder_Quantity]]</f>
        <v>2.0731707317073171</v>
      </c>
      <c r="M858" s="3">
        <v>8</v>
      </c>
      <c r="N858" s="10">
        <f t="shared" si="26"/>
        <v>1.4431239388794568</v>
      </c>
      <c r="O858" s="1" t="s">
        <v>1811</v>
      </c>
      <c r="P858" s="2">
        <v>45477</v>
      </c>
      <c r="Q858" s="2">
        <v>46024</v>
      </c>
      <c r="R858" s="1" t="s">
        <v>2131</v>
      </c>
      <c r="S858" s="1">
        <v>68</v>
      </c>
      <c r="T858" s="1">
        <v>93</v>
      </c>
      <c r="U858" s="1" t="s">
        <v>24</v>
      </c>
      <c r="V858" s="3">
        <f>tblInventory[[#This Row],[Stock_Quantity]]*tblInventory[[#This Row],[Unit_Price]]</f>
        <v>680</v>
      </c>
      <c r="W858" s="1" t="str">
        <f>IF(tblInventory[[#This Row],[Status]]="Discontinued","INACTIVE",
IF(tblInventory[[#This Row],[Stock_Quantity]] &lt; tblInventory[[#This Row],[Reorder_Level]],"REORDER","OK"))</f>
        <v>INACTIVE</v>
      </c>
      <c r="X858" s="1" t="str">
        <f t="shared" ca="1" si="27"/>
        <v>Valid</v>
      </c>
    </row>
    <row r="859" spans="1:24">
      <c r="A859" s="1">
        <v>858</v>
      </c>
      <c r="B859" s="1" t="s">
        <v>2376</v>
      </c>
      <c r="C859" s="1" t="s">
        <v>131</v>
      </c>
      <c r="D859" s="1" t="s">
        <v>69</v>
      </c>
      <c r="E859" s="1" t="s">
        <v>2377</v>
      </c>
      <c r="F859" s="1" t="s">
        <v>735</v>
      </c>
      <c r="G859" s="6">
        <v>96</v>
      </c>
      <c r="H859" s="8">
        <f>tblInventory[[#This Row],[Stock_Quantity]] * tblInventory[[#This Row],[Unit_Price]]</f>
        <v>768</v>
      </c>
      <c r="I859" s="1">
        <v>34</v>
      </c>
      <c r="J859" s="1">
        <v>57</v>
      </c>
      <c r="K859" s="8">
        <f>tblInventory[[#This Row],[Reorder_Quantity]]*M859</f>
        <v>456</v>
      </c>
      <c r="L859" s="10">
        <f>tblInventory[[#This Row],[Stock_Quantity]] / tblInventory[[#This Row],[Reorder_Quantity]]</f>
        <v>1.6842105263157894</v>
      </c>
      <c r="M859" s="3">
        <v>8</v>
      </c>
      <c r="N859" s="10">
        <f t="shared" si="26"/>
        <v>1.6298811544991512</v>
      </c>
      <c r="O859" s="1" t="s">
        <v>1357</v>
      </c>
      <c r="P859" s="1" t="s">
        <v>986</v>
      </c>
      <c r="Q859" s="2">
        <v>46130</v>
      </c>
      <c r="R859" s="1" t="s">
        <v>2378</v>
      </c>
      <c r="S859" s="1">
        <v>71</v>
      </c>
      <c r="T859" s="1">
        <v>17</v>
      </c>
      <c r="U859" s="1" t="s">
        <v>24</v>
      </c>
      <c r="V859" s="3">
        <f>tblInventory[[#This Row],[Stock_Quantity]]*tblInventory[[#This Row],[Unit_Price]]</f>
        <v>768</v>
      </c>
      <c r="W859" s="1" t="str">
        <f>IF(tblInventory[[#This Row],[Status]]="Discontinued","INACTIVE",
IF(tblInventory[[#This Row],[Stock_Quantity]] &lt; tblInventory[[#This Row],[Reorder_Level]],"REORDER","OK"))</f>
        <v>INACTIVE</v>
      </c>
      <c r="X859" s="1" t="str">
        <f t="shared" ca="1" si="27"/>
        <v>Valid</v>
      </c>
    </row>
    <row r="860" spans="1:24">
      <c r="A860" s="1">
        <v>859</v>
      </c>
      <c r="B860" s="1" t="s">
        <v>2521</v>
      </c>
      <c r="C860" s="1" t="s">
        <v>131</v>
      </c>
      <c r="D860" s="1" t="s">
        <v>69</v>
      </c>
      <c r="E860" s="1" t="s">
        <v>2522</v>
      </c>
      <c r="F860" s="1" t="s">
        <v>845</v>
      </c>
      <c r="G860" s="6">
        <v>64</v>
      </c>
      <c r="H860" s="8">
        <f>tblInventory[[#This Row],[Stock_Quantity]] * tblInventory[[#This Row],[Unit_Price]]</f>
        <v>512</v>
      </c>
      <c r="I860" s="1">
        <v>14</v>
      </c>
      <c r="J860" s="1">
        <v>44</v>
      </c>
      <c r="K860" s="8">
        <f>tblInventory[[#This Row],[Reorder_Quantity]]*M860</f>
        <v>352</v>
      </c>
      <c r="L860" s="10">
        <f>tblInventory[[#This Row],[Stock_Quantity]] / tblInventory[[#This Row],[Reorder_Quantity]]</f>
        <v>1.4545454545454546</v>
      </c>
      <c r="M860" s="3">
        <v>8</v>
      </c>
      <c r="N860" s="10">
        <f t="shared" si="26"/>
        <v>1.0865874363327674</v>
      </c>
      <c r="O860" s="1" t="s">
        <v>240</v>
      </c>
      <c r="P860" s="1" t="s">
        <v>323</v>
      </c>
      <c r="Q860" s="2">
        <v>46028</v>
      </c>
      <c r="R860" s="1" t="s">
        <v>2523</v>
      </c>
      <c r="S860" s="1">
        <v>53</v>
      </c>
      <c r="T860" s="1">
        <v>33</v>
      </c>
      <c r="U860" s="1" t="s">
        <v>46</v>
      </c>
      <c r="V860" s="3">
        <f>tblInventory[[#This Row],[Stock_Quantity]]*tblInventory[[#This Row],[Unit_Price]]</f>
        <v>512</v>
      </c>
      <c r="W860" s="1" t="str">
        <f>IF(tblInventory[[#This Row],[Status]]="Discontinued","INACTIVE",
IF(tblInventory[[#This Row],[Stock_Quantity]] &lt; tblInventory[[#This Row],[Reorder_Level]],"REORDER","OK"))</f>
        <v>OK</v>
      </c>
      <c r="X860" s="1" t="str">
        <f t="shared" ca="1" si="27"/>
        <v>Valid</v>
      </c>
    </row>
    <row r="861" spans="1:24">
      <c r="A861" s="1">
        <v>860</v>
      </c>
      <c r="B861" s="1" t="s">
        <v>641</v>
      </c>
      <c r="C861" s="1" t="s">
        <v>642</v>
      </c>
      <c r="D861" s="1" t="s">
        <v>155</v>
      </c>
      <c r="E861" s="1" t="s">
        <v>643</v>
      </c>
      <c r="F861" s="1" t="s">
        <v>328</v>
      </c>
      <c r="G861" s="6">
        <v>95</v>
      </c>
      <c r="H861" s="8">
        <f>tblInventory[[#This Row],[Stock_Quantity]] * tblInventory[[#This Row],[Unit_Price]]</f>
        <v>665</v>
      </c>
      <c r="I861" s="1">
        <v>63</v>
      </c>
      <c r="J861" s="1">
        <v>73</v>
      </c>
      <c r="K861" s="8">
        <f>tblInventory[[#This Row],[Reorder_Quantity]]*M861</f>
        <v>511</v>
      </c>
      <c r="L861" s="10">
        <f>tblInventory[[#This Row],[Stock_Quantity]] / tblInventory[[#This Row],[Reorder_Quantity]]</f>
        <v>1.3013698630136987</v>
      </c>
      <c r="M861" s="3">
        <v>7</v>
      </c>
      <c r="N861" s="10">
        <f t="shared" si="26"/>
        <v>1.6129032258064517</v>
      </c>
      <c r="O861" s="1" t="s">
        <v>317</v>
      </c>
      <c r="P861" s="2">
        <v>45418</v>
      </c>
      <c r="Q861" s="2">
        <v>45717</v>
      </c>
      <c r="R861" s="1" t="s">
        <v>644</v>
      </c>
      <c r="S861" s="1">
        <v>61</v>
      </c>
      <c r="T861" s="1">
        <v>38</v>
      </c>
      <c r="U861" s="1" t="s">
        <v>38</v>
      </c>
      <c r="V861" s="3">
        <f>tblInventory[[#This Row],[Stock_Quantity]]*tblInventory[[#This Row],[Unit_Price]]</f>
        <v>665</v>
      </c>
      <c r="W861" s="1" t="str">
        <f>IF(tblInventory[[#This Row],[Status]]="Discontinued","INACTIVE",
IF(tblInventory[[#This Row],[Stock_Quantity]] &lt; tblInventory[[#This Row],[Reorder_Level]],"REORDER","OK"))</f>
        <v>OK</v>
      </c>
      <c r="X861" s="1" t="str">
        <f t="shared" ca="1" si="27"/>
        <v>Expired</v>
      </c>
    </row>
    <row r="862" spans="1:24">
      <c r="A862" s="1">
        <v>861</v>
      </c>
      <c r="B862" s="1" t="s">
        <v>1329</v>
      </c>
      <c r="C862" s="1" t="s">
        <v>642</v>
      </c>
      <c r="D862" s="1" t="s">
        <v>155</v>
      </c>
      <c r="E862" s="1" t="s">
        <v>1330</v>
      </c>
      <c r="F862" s="1" t="s">
        <v>1331</v>
      </c>
      <c r="G862" s="6">
        <v>78</v>
      </c>
      <c r="H862" s="8">
        <f>tblInventory[[#This Row],[Stock_Quantity]] * tblInventory[[#This Row],[Unit_Price]]</f>
        <v>546</v>
      </c>
      <c r="I862" s="1">
        <v>75</v>
      </c>
      <c r="J862" s="1">
        <v>3</v>
      </c>
      <c r="K862" s="8">
        <f>tblInventory[[#This Row],[Reorder_Quantity]]*M862</f>
        <v>21</v>
      </c>
      <c r="L862" s="10">
        <f>tblInventory[[#This Row],[Stock_Quantity]] / tblInventory[[#This Row],[Reorder_Quantity]]</f>
        <v>26</v>
      </c>
      <c r="M862" s="3">
        <v>7</v>
      </c>
      <c r="N862" s="10">
        <f t="shared" si="26"/>
        <v>1.3242784380305603</v>
      </c>
      <c r="O862" s="2">
        <v>45512</v>
      </c>
      <c r="P862" s="1" t="s">
        <v>88</v>
      </c>
      <c r="Q862" s="2">
        <v>45822</v>
      </c>
      <c r="R862" s="1" t="s">
        <v>1332</v>
      </c>
      <c r="S862" s="1">
        <v>63</v>
      </c>
      <c r="T862" s="1">
        <v>100</v>
      </c>
      <c r="U862" s="1" t="s">
        <v>46</v>
      </c>
      <c r="V862" s="3">
        <f>tblInventory[[#This Row],[Stock_Quantity]]*tblInventory[[#This Row],[Unit_Price]]</f>
        <v>546</v>
      </c>
      <c r="W862" s="1" t="str">
        <f>IF(tblInventory[[#This Row],[Status]]="Discontinued","INACTIVE",
IF(tblInventory[[#This Row],[Stock_Quantity]] &lt; tblInventory[[#This Row],[Reorder_Level]],"REORDER","OK"))</f>
        <v>OK</v>
      </c>
      <c r="X862" s="1" t="str">
        <f t="shared" ca="1" si="27"/>
        <v>Expired</v>
      </c>
    </row>
    <row r="863" spans="1:24">
      <c r="A863" s="1">
        <v>862</v>
      </c>
      <c r="B863" s="1" t="s">
        <v>1388</v>
      </c>
      <c r="C863" s="1" t="s">
        <v>642</v>
      </c>
      <c r="D863" s="1" t="s">
        <v>155</v>
      </c>
      <c r="E863" s="1" t="s">
        <v>1389</v>
      </c>
      <c r="F863" s="1" t="s">
        <v>1390</v>
      </c>
      <c r="G863" s="6">
        <v>93</v>
      </c>
      <c r="H863" s="8">
        <f>tblInventory[[#This Row],[Stock_Quantity]] * tblInventory[[#This Row],[Unit_Price]]</f>
        <v>651</v>
      </c>
      <c r="I863" s="1">
        <v>25</v>
      </c>
      <c r="J863" s="1">
        <v>23</v>
      </c>
      <c r="K863" s="8">
        <f>tblInventory[[#This Row],[Reorder_Quantity]]*M863</f>
        <v>161</v>
      </c>
      <c r="L863" s="10">
        <f>tblInventory[[#This Row],[Stock_Quantity]] / tblInventory[[#This Row],[Reorder_Quantity]]</f>
        <v>4.0434782608695654</v>
      </c>
      <c r="M863" s="3">
        <v>7</v>
      </c>
      <c r="N863" s="10">
        <f t="shared" si="26"/>
        <v>1.5789473684210527</v>
      </c>
      <c r="O863" s="1" t="s">
        <v>1095</v>
      </c>
      <c r="P863" s="1" t="s">
        <v>158</v>
      </c>
      <c r="Q863" s="2">
        <v>45838</v>
      </c>
      <c r="R863" s="1" t="s">
        <v>1391</v>
      </c>
      <c r="S863" s="1">
        <v>72</v>
      </c>
      <c r="T863" s="1">
        <v>83</v>
      </c>
      <c r="U863" s="1" t="s">
        <v>38</v>
      </c>
      <c r="V863" s="3">
        <f>tblInventory[[#This Row],[Stock_Quantity]]*tblInventory[[#This Row],[Unit_Price]]</f>
        <v>651</v>
      </c>
      <c r="W863" s="1" t="str">
        <f>IF(tblInventory[[#This Row],[Status]]="Discontinued","INACTIVE",
IF(tblInventory[[#This Row],[Stock_Quantity]] &lt; tblInventory[[#This Row],[Reorder_Level]],"REORDER","OK"))</f>
        <v>OK</v>
      </c>
      <c r="X863" s="1" t="str">
        <f t="shared" ca="1" si="27"/>
        <v>Expired</v>
      </c>
    </row>
    <row r="864" spans="1:24">
      <c r="A864" s="1">
        <v>863</v>
      </c>
      <c r="B864" s="1" t="s">
        <v>1512</v>
      </c>
      <c r="C864" s="1" t="s">
        <v>642</v>
      </c>
      <c r="D864" s="1" t="s">
        <v>155</v>
      </c>
      <c r="E864" s="1" t="s">
        <v>1513</v>
      </c>
      <c r="F864" s="1" t="s">
        <v>790</v>
      </c>
      <c r="G864" s="6">
        <v>59</v>
      </c>
      <c r="H864" s="8">
        <f>tblInventory[[#This Row],[Stock_Quantity]] * tblInventory[[#This Row],[Unit_Price]]</f>
        <v>413</v>
      </c>
      <c r="I864" s="1">
        <v>59</v>
      </c>
      <c r="J864" s="1">
        <v>10</v>
      </c>
      <c r="K864" s="8">
        <f>tblInventory[[#This Row],[Reorder_Quantity]]*M864</f>
        <v>70</v>
      </c>
      <c r="L864" s="10">
        <f>tblInventory[[#This Row],[Stock_Quantity]] / tblInventory[[#This Row],[Reorder_Quantity]]</f>
        <v>5.9</v>
      </c>
      <c r="M864" s="3">
        <v>7</v>
      </c>
      <c r="N864" s="10">
        <f t="shared" si="26"/>
        <v>1.0016977928692701</v>
      </c>
      <c r="O864" s="1" t="s">
        <v>211</v>
      </c>
      <c r="P864" s="2">
        <v>45576</v>
      </c>
      <c r="Q864" s="2">
        <v>45665</v>
      </c>
      <c r="R864" s="1" t="s">
        <v>1514</v>
      </c>
      <c r="S864" s="1">
        <v>57</v>
      </c>
      <c r="T864" s="1">
        <v>50</v>
      </c>
      <c r="U864" s="1" t="s">
        <v>46</v>
      </c>
      <c r="V864" s="3">
        <f>tblInventory[[#This Row],[Stock_Quantity]]*tblInventory[[#This Row],[Unit_Price]]</f>
        <v>413</v>
      </c>
      <c r="W864" s="1" t="str">
        <f>IF(tblInventory[[#This Row],[Status]]="Discontinued","INACTIVE",
IF(tblInventory[[#This Row],[Stock_Quantity]] &lt; tblInventory[[#This Row],[Reorder_Level]],"REORDER","OK"))</f>
        <v>OK</v>
      </c>
      <c r="X864" s="1" t="str">
        <f t="shared" ca="1" si="27"/>
        <v>Expired</v>
      </c>
    </row>
    <row r="865" spans="1:24">
      <c r="A865" s="1">
        <v>864</v>
      </c>
      <c r="B865" s="1" t="s">
        <v>1820</v>
      </c>
      <c r="C865" s="1" t="s">
        <v>642</v>
      </c>
      <c r="D865" s="1" t="s">
        <v>155</v>
      </c>
      <c r="E865" s="1" t="s">
        <v>1821</v>
      </c>
      <c r="F865" s="1" t="s">
        <v>1510</v>
      </c>
      <c r="G865" s="6">
        <v>85</v>
      </c>
      <c r="H865" s="8">
        <f>tblInventory[[#This Row],[Stock_Quantity]] * tblInventory[[#This Row],[Unit_Price]]</f>
        <v>569.5</v>
      </c>
      <c r="I865" s="1">
        <v>92</v>
      </c>
      <c r="J865" s="1">
        <v>66</v>
      </c>
      <c r="K865" s="8">
        <f>tblInventory[[#This Row],[Reorder_Quantity]]*M865</f>
        <v>442.2</v>
      </c>
      <c r="L865" s="10">
        <f>tblInventory[[#This Row],[Stock_Quantity]] / tblInventory[[#This Row],[Reorder_Quantity]]</f>
        <v>1.2878787878787878</v>
      </c>
      <c r="M865" s="3">
        <v>6.7</v>
      </c>
      <c r="N865" s="10">
        <f t="shared" si="26"/>
        <v>1.4431239388794568</v>
      </c>
      <c r="O865" s="1" t="s">
        <v>219</v>
      </c>
      <c r="P865" s="2">
        <v>45658</v>
      </c>
      <c r="Q865" s="2">
        <v>45959</v>
      </c>
      <c r="R865" s="1" t="s">
        <v>1822</v>
      </c>
      <c r="S865" s="1">
        <v>54</v>
      </c>
      <c r="T865" s="1">
        <v>85</v>
      </c>
      <c r="U865" s="1" t="s">
        <v>38</v>
      </c>
      <c r="V865" s="3">
        <f>tblInventory[[#This Row],[Stock_Quantity]]*tblInventory[[#This Row],[Unit_Price]]</f>
        <v>569.5</v>
      </c>
      <c r="W865" s="1" t="str">
        <f>IF(tblInventory[[#This Row],[Status]]="Discontinued","INACTIVE",
IF(tblInventory[[#This Row],[Stock_Quantity]] &lt; tblInventory[[#This Row],[Reorder_Level]],"REORDER","OK"))</f>
        <v>REORDER</v>
      </c>
      <c r="X865" s="1" t="str">
        <f t="shared" ca="1" si="27"/>
        <v>Expired</v>
      </c>
    </row>
    <row r="866" spans="1:24">
      <c r="A866" s="1">
        <v>865</v>
      </c>
      <c r="B866" s="1" t="s">
        <v>1934</v>
      </c>
      <c r="C866" s="1" t="s">
        <v>642</v>
      </c>
      <c r="D866" s="1" t="s">
        <v>155</v>
      </c>
      <c r="E866" s="1" t="s">
        <v>1935</v>
      </c>
      <c r="F866" s="1" t="s">
        <v>35</v>
      </c>
      <c r="G866" s="6">
        <v>30</v>
      </c>
      <c r="H866" s="8">
        <f>tblInventory[[#This Row],[Stock_Quantity]] * tblInventory[[#This Row],[Unit_Price]]</f>
        <v>210</v>
      </c>
      <c r="I866" s="1">
        <v>42</v>
      </c>
      <c r="J866" s="1">
        <v>8</v>
      </c>
      <c r="K866" s="8">
        <f>tblInventory[[#This Row],[Reorder_Quantity]]*M866</f>
        <v>56</v>
      </c>
      <c r="L866" s="10">
        <f>tblInventory[[#This Row],[Stock_Quantity]] / tblInventory[[#This Row],[Reorder_Quantity]]</f>
        <v>3.75</v>
      </c>
      <c r="M866" s="3">
        <v>7</v>
      </c>
      <c r="N866" s="10">
        <f t="shared" si="26"/>
        <v>0.50933786078098475</v>
      </c>
      <c r="O866" s="2">
        <v>45327</v>
      </c>
      <c r="P866" s="2">
        <v>45809</v>
      </c>
      <c r="Q866" s="2">
        <v>45700</v>
      </c>
      <c r="R866" s="1" t="s">
        <v>1936</v>
      </c>
      <c r="S866" s="1">
        <v>48</v>
      </c>
      <c r="T866" s="1">
        <v>23</v>
      </c>
      <c r="U866" s="1" t="s">
        <v>46</v>
      </c>
      <c r="V866" s="3">
        <f>tblInventory[[#This Row],[Stock_Quantity]]*tblInventory[[#This Row],[Unit_Price]]</f>
        <v>210</v>
      </c>
      <c r="W866" s="1" t="str">
        <f>IF(tblInventory[[#This Row],[Status]]="Discontinued","INACTIVE",
IF(tblInventory[[#This Row],[Stock_Quantity]] &lt; tblInventory[[#This Row],[Reorder_Level]],"REORDER","OK"))</f>
        <v>REORDER</v>
      </c>
      <c r="X866" s="1" t="str">
        <f t="shared" ca="1" si="27"/>
        <v>Expired</v>
      </c>
    </row>
    <row r="867" spans="1:24">
      <c r="A867" s="1">
        <v>866</v>
      </c>
      <c r="B867" s="1" t="s">
        <v>2753</v>
      </c>
      <c r="C867" s="1" t="s">
        <v>642</v>
      </c>
      <c r="D867" s="1" t="s">
        <v>155</v>
      </c>
      <c r="E867" s="1" t="s">
        <v>2754</v>
      </c>
      <c r="F867" s="1" t="s">
        <v>1807</v>
      </c>
      <c r="G867" s="6">
        <v>46</v>
      </c>
      <c r="H867" s="8">
        <f>tblInventory[[#This Row],[Stock_Quantity]] * tblInventory[[#This Row],[Unit_Price]]</f>
        <v>322</v>
      </c>
      <c r="I867" s="1">
        <v>80</v>
      </c>
      <c r="J867" s="1">
        <v>88</v>
      </c>
      <c r="K867" s="8">
        <f>tblInventory[[#This Row],[Reorder_Quantity]]*M867</f>
        <v>616</v>
      </c>
      <c r="L867" s="10">
        <f>tblInventory[[#This Row],[Stock_Quantity]] / tblInventory[[#This Row],[Reorder_Quantity]]</f>
        <v>0.52272727272727271</v>
      </c>
      <c r="M867" s="3">
        <v>7</v>
      </c>
      <c r="N867" s="10">
        <f t="shared" si="26"/>
        <v>0.78098471986417661</v>
      </c>
      <c r="O867" s="1" t="s">
        <v>22</v>
      </c>
      <c r="P867" s="2">
        <v>45479</v>
      </c>
      <c r="Q867" s="2">
        <v>46364</v>
      </c>
      <c r="R867" s="1" t="s">
        <v>2755</v>
      </c>
      <c r="S867" s="1">
        <v>62</v>
      </c>
      <c r="T867" s="1">
        <v>22</v>
      </c>
      <c r="U867" s="1" t="s">
        <v>24</v>
      </c>
      <c r="V867" s="3">
        <f>tblInventory[[#This Row],[Stock_Quantity]]*tblInventory[[#This Row],[Unit_Price]]</f>
        <v>322</v>
      </c>
      <c r="W867" s="1" t="str">
        <f>IF(tblInventory[[#This Row],[Status]]="Discontinued","INACTIVE",
IF(tblInventory[[#This Row],[Stock_Quantity]] &lt; tblInventory[[#This Row],[Reorder_Level]],"REORDER","OK"))</f>
        <v>INACTIVE</v>
      </c>
      <c r="X867" s="1" t="str">
        <f t="shared" ca="1" si="27"/>
        <v>Valid</v>
      </c>
    </row>
    <row r="868" spans="1:24">
      <c r="A868" s="1">
        <v>867</v>
      </c>
      <c r="B868" s="1" t="s">
        <v>3023</v>
      </c>
      <c r="C868" s="1" t="s">
        <v>642</v>
      </c>
      <c r="D868" s="1" t="s">
        <v>155</v>
      </c>
      <c r="E868" s="1" t="s">
        <v>3024</v>
      </c>
      <c r="F868" s="1" t="s">
        <v>2102</v>
      </c>
      <c r="G868" s="6">
        <v>14</v>
      </c>
      <c r="H868" s="8">
        <f>tblInventory[[#This Row],[Stock_Quantity]] * tblInventory[[#This Row],[Unit_Price]]</f>
        <v>95.2</v>
      </c>
      <c r="I868" s="1">
        <v>52</v>
      </c>
      <c r="J868" s="1">
        <v>80</v>
      </c>
      <c r="K868" s="8">
        <f>tblInventory[[#This Row],[Reorder_Quantity]]*M868</f>
        <v>544</v>
      </c>
      <c r="L868" s="10">
        <f>tblInventory[[#This Row],[Stock_Quantity]] / tblInventory[[#This Row],[Reorder_Quantity]]</f>
        <v>0.17499999999999999</v>
      </c>
      <c r="M868" s="3">
        <v>6.8</v>
      </c>
      <c r="N868" s="10">
        <f t="shared" si="26"/>
        <v>0.23769100169779286</v>
      </c>
      <c r="O868" s="1" t="s">
        <v>909</v>
      </c>
      <c r="P868" s="1" t="s">
        <v>824</v>
      </c>
      <c r="Q868" s="2">
        <v>46092</v>
      </c>
      <c r="R868" s="1" t="s">
        <v>3025</v>
      </c>
      <c r="S868" s="1">
        <v>64</v>
      </c>
      <c r="T868" s="1">
        <v>17</v>
      </c>
      <c r="U868" s="1" t="s">
        <v>24</v>
      </c>
      <c r="V868" s="3">
        <f>tblInventory[[#This Row],[Stock_Quantity]]*tblInventory[[#This Row],[Unit_Price]]</f>
        <v>95.2</v>
      </c>
      <c r="W868" s="1" t="str">
        <f>IF(tblInventory[[#This Row],[Status]]="Discontinued","INACTIVE",
IF(tblInventory[[#This Row],[Stock_Quantity]] &lt; tblInventory[[#This Row],[Reorder_Level]],"REORDER","OK"))</f>
        <v>INACTIVE</v>
      </c>
      <c r="X868" s="1" t="str">
        <f t="shared" ca="1" si="27"/>
        <v>Valid</v>
      </c>
    </row>
    <row r="869" spans="1:24">
      <c r="A869" s="1">
        <v>868</v>
      </c>
      <c r="B869" s="1" t="s">
        <v>3173</v>
      </c>
      <c r="C869" s="1" t="s">
        <v>642</v>
      </c>
      <c r="D869" s="1" t="s">
        <v>155</v>
      </c>
      <c r="E869" s="1" t="s">
        <v>3174</v>
      </c>
      <c r="F869" s="1" t="s">
        <v>808</v>
      </c>
      <c r="G869" s="6">
        <v>56</v>
      </c>
      <c r="H869" s="8">
        <f>tblInventory[[#This Row],[Stock_Quantity]] * tblInventory[[#This Row],[Unit_Price]]</f>
        <v>392</v>
      </c>
      <c r="I869" s="1">
        <v>59</v>
      </c>
      <c r="J869" s="1">
        <v>87</v>
      </c>
      <c r="K869" s="8">
        <f>tblInventory[[#This Row],[Reorder_Quantity]]*M869</f>
        <v>609</v>
      </c>
      <c r="L869" s="10">
        <f>tblInventory[[#This Row],[Stock_Quantity]] / tblInventory[[#This Row],[Reorder_Quantity]]</f>
        <v>0.64367816091954022</v>
      </c>
      <c r="M869" s="3">
        <v>7</v>
      </c>
      <c r="N869" s="10">
        <f t="shared" si="26"/>
        <v>0.95076400679117146</v>
      </c>
      <c r="O869" s="1" t="s">
        <v>297</v>
      </c>
      <c r="P869" s="1" t="s">
        <v>666</v>
      </c>
      <c r="Q869" s="2">
        <v>46377</v>
      </c>
      <c r="R869" s="1" t="s">
        <v>3175</v>
      </c>
      <c r="S869" s="1">
        <v>65</v>
      </c>
      <c r="T869" s="1">
        <v>45</v>
      </c>
      <c r="U869" s="1" t="s">
        <v>46</v>
      </c>
      <c r="V869" s="3">
        <f>tblInventory[[#This Row],[Stock_Quantity]]*tblInventory[[#This Row],[Unit_Price]]</f>
        <v>392</v>
      </c>
      <c r="W869" s="1" t="str">
        <f>IF(tblInventory[[#This Row],[Status]]="Discontinued","INACTIVE",
IF(tblInventory[[#This Row],[Stock_Quantity]] &lt; tblInventory[[#This Row],[Reorder_Level]],"REORDER","OK"))</f>
        <v>REORDER</v>
      </c>
      <c r="X869" s="1" t="str">
        <f t="shared" ca="1" si="27"/>
        <v>Valid</v>
      </c>
    </row>
    <row r="870" spans="1:24">
      <c r="A870" s="1">
        <v>869</v>
      </c>
      <c r="B870" s="1" t="s">
        <v>3653</v>
      </c>
      <c r="C870" s="1" t="s">
        <v>642</v>
      </c>
      <c r="D870" s="1" t="s">
        <v>155</v>
      </c>
      <c r="E870" s="1" t="s">
        <v>3654</v>
      </c>
      <c r="F870" s="1" t="s">
        <v>1241</v>
      </c>
      <c r="G870" s="6">
        <v>100</v>
      </c>
      <c r="H870" s="8">
        <f>tblInventory[[#This Row],[Stock_Quantity]] * tblInventory[[#This Row],[Unit_Price]]</f>
        <v>700</v>
      </c>
      <c r="I870" s="1">
        <v>61</v>
      </c>
      <c r="J870" s="1">
        <v>21</v>
      </c>
      <c r="K870" s="8">
        <f>tblInventory[[#This Row],[Reorder_Quantity]]*M870</f>
        <v>147</v>
      </c>
      <c r="L870" s="10">
        <f>tblInventory[[#This Row],[Stock_Quantity]] / tblInventory[[#This Row],[Reorder_Quantity]]</f>
        <v>4.7619047619047619</v>
      </c>
      <c r="M870" s="3">
        <v>7</v>
      </c>
      <c r="N870" s="10">
        <f t="shared" si="26"/>
        <v>1.6977928692699491</v>
      </c>
      <c r="O870" s="1" t="s">
        <v>109</v>
      </c>
      <c r="P870" s="1" t="s">
        <v>292</v>
      </c>
      <c r="Q870" s="2">
        <v>46533</v>
      </c>
      <c r="R870" s="1" t="s">
        <v>3655</v>
      </c>
      <c r="S870" s="1">
        <v>85</v>
      </c>
      <c r="T870" s="1">
        <v>79</v>
      </c>
      <c r="U870" s="1" t="s">
        <v>38</v>
      </c>
      <c r="V870" s="3">
        <f>tblInventory[[#This Row],[Stock_Quantity]]*tblInventory[[#This Row],[Unit_Price]]</f>
        <v>700</v>
      </c>
      <c r="W870" s="1" t="str">
        <f>IF(tblInventory[[#This Row],[Status]]="Discontinued","INACTIVE",
IF(tblInventory[[#This Row],[Stock_Quantity]] &lt; tblInventory[[#This Row],[Reorder_Level]],"REORDER","OK"))</f>
        <v>OK</v>
      </c>
      <c r="X870" s="1" t="str">
        <f t="shared" ca="1" si="27"/>
        <v>Valid</v>
      </c>
    </row>
    <row r="871" spans="1:24">
      <c r="A871" s="1">
        <v>870</v>
      </c>
      <c r="B871" s="1" t="s">
        <v>1473</v>
      </c>
      <c r="C871" s="1" t="s">
        <v>1474</v>
      </c>
      <c r="D871" s="1" t="s">
        <v>49</v>
      </c>
      <c r="E871" s="1" t="s">
        <v>1475</v>
      </c>
      <c r="F871" s="1" t="s">
        <v>1086</v>
      </c>
      <c r="G871" s="6">
        <v>84</v>
      </c>
      <c r="H871" s="8">
        <f>tblInventory[[#This Row],[Stock_Quantity]] * tblInventory[[#This Row],[Unit_Price]]</f>
        <v>210</v>
      </c>
      <c r="I871" s="1">
        <v>20</v>
      </c>
      <c r="J871" s="1">
        <v>58</v>
      </c>
      <c r="K871" s="8">
        <f>tblInventory[[#This Row],[Reorder_Quantity]]*M871</f>
        <v>145</v>
      </c>
      <c r="L871" s="10">
        <f>tblInventory[[#This Row],[Stock_Quantity]] / tblInventory[[#This Row],[Reorder_Quantity]]</f>
        <v>1.4482758620689655</v>
      </c>
      <c r="M871" s="3">
        <v>2.5</v>
      </c>
      <c r="N871" s="10">
        <f t="shared" si="26"/>
        <v>1.4261460101867574</v>
      </c>
      <c r="O871" s="2">
        <v>45508</v>
      </c>
      <c r="P871" s="2">
        <v>45931</v>
      </c>
      <c r="Q871" s="2">
        <v>45859</v>
      </c>
      <c r="R871" s="1" t="s">
        <v>1476</v>
      </c>
      <c r="S871" s="1">
        <v>86</v>
      </c>
      <c r="T871" s="1">
        <v>64</v>
      </c>
      <c r="U871" s="1" t="s">
        <v>38</v>
      </c>
      <c r="V871" s="3">
        <f>tblInventory[[#This Row],[Stock_Quantity]]*tblInventory[[#This Row],[Unit_Price]]</f>
        <v>210</v>
      </c>
      <c r="W871" s="1" t="str">
        <f>IF(tblInventory[[#This Row],[Status]]="Discontinued","INACTIVE",
IF(tblInventory[[#This Row],[Stock_Quantity]] &lt; tblInventory[[#This Row],[Reorder_Level]],"REORDER","OK"))</f>
        <v>OK</v>
      </c>
      <c r="X871" s="1" t="str">
        <f t="shared" ca="1" si="27"/>
        <v>Expired</v>
      </c>
    </row>
    <row r="872" spans="1:24">
      <c r="A872" s="1">
        <v>871</v>
      </c>
      <c r="B872" s="1" t="s">
        <v>1561</v>
      </c>
      <c r="C872" s="1" t="s">
        <v>1474</v>
      </c>
      <c r="D872" s="1" t="s">
        <v>49</v>
      </c>
      <c r="E872" s="1" t="s">
        <v>1562</v>
      </c>
      <c r="F872" s="1" t="s">
        <v>572</v>
      </c>
      <c r="G872" s="6">
        <v>44</v>
      </c>
      <c r="H872" s="8">
        <f>tblInventory[[#This Row],[Stock_Quantity]] * tblInventory[[#This Row],[Unit_Price]]</f>
        <v>110</v>
      </c>
      <c r="I872" s="1">
        <v>67</v>
      </c>
      <c r="J872" s="1">
        <v>15</v>
      </c>
      <c r="K872" s="8">
        <f>tblInventory[[#This Row],[Reorder_Quantity]]*M872</f>
        <v>37.5</v>
      </c>
      <c r="L872" s="10">
        <f>tblInventory[[#This Row],[Stock_Quantity]] / tblInventory[[#This Row],[Reorder_Quantity]]</f>
        <v>2.9333333333333331</v>
      </c>
      <c r="M872" s="3">
        <v>2.5</v>
      </c>
      <c r="N872" s="10">
        <f t="shared" si="26"/>
        <v>0.74702886247877764</v>
      </c>
      <c r="O872" s="1" t="s">
        <v>1563</v>
      </c>
      <c r="P872" s="2">
        <v>45568</v>
      </c>
      <c r="Q872" s="2">
        <v>45884</v>
      </c>
      <c r="R872" s="1" t="s">
        <v>1565</v>
      </c>
      <c r="S872" s="1">
        <v>82</v>
      </c>
      <c r="T872" s="1">
        <v>51</v>
      </c>
      <c r="U872" s="1" t="s">
        <v>46</v>
      </c>
      <c r="V872" s="3">
        <f>tblInventory[[#This Row],[Stock_Quantity]]*tblInventory[[#This Row],[Unit_Price]]</f>
        <v>110</v>
      </c>
      <c r="W872" s="1" t="str">
        <f>IF(tblInventory[[#This Row],[Status]]="Discontinued","INACTIVE",
IF(tblInventory[[#This Row],[Stock_Quantity]] &lt; tblInventory[[#This Row],[Reorder_Level]],"REORDER","OK"))</f>
        <v>REORDER</v>
      </c>
      <c r="X872" s="1" t="str">
        <f t="shared" ca="1" si="27"/>
        <v>Expired</v>
      </c>
    </row>
    <row r="873" spans="1:24">
      <c r="A873" s="1">
        <v>872</v>
      </c>
      <c r="B873" s="1" t="s">
        <v>3044</v>
      </c>
      <c r="C873" s="1" t="s">
        <v>1474</v>
      </c>
      <c r="D873" s="1" t="s">
        <v>49</v>
      </c>
      <c r="E873" s="1" t="s">
        <v>3045</v>
      </c>
      <c r="F873" s="1" t="s">
        <v>87</v>
      </c>
      <c r="G873" s="6">
        <v>11</v>
      </c>
      <c r="H873" s="8">
        <f>tblInventory[[#This Row],[Stock_Quantity]] * tblInventory[[#This Row],[Unit_Price]]</f>
        <v>27.5</v>
      </c>
      <c r="I873" s="1">
        <v>10</v>
      </c>
      <c r="J873" s="1">
        <v>60</v>
      </c>
      <c r="K873" s="8">
        <f>tblInventory[[#This Row],[Reorder_Quantity]]*M873</f>
        <v>150</v>
      </c>
      <c r="L873" s="10">
        <f>tblInventory[[#This Row],[Stock_Quantity]] / tblInventory[[#This Row],[Reorder_Quantity]]</f>
        <v>0.18333333333333332</v>
      </c>
      <c r="M873" s="3">
        <v>2.5</v>
      </c>
      <c r="N873" s="10">
        <f t="shared" si="26"/>
        <v>0.18675721561969441</v>
      </c>
      <c r="O873" s="2">
        <v>45575</v>
      </c>
      <c r="P873" s="2">
        <v>45448</v>
      </c>
      <c r="Q873" s="2">
        <v>46306</v>
      </c>
      <c r="R873" s="1" t="s">
        <v>3046</v>
      </c>
      <c r="S873" s="1">
        <v>93</v>
      </c>
      <c r="T873" s="1">
        <v>53</v>
      </c>
      <c r="U873" s="1" t="s">
        <v>24</v>
      </c>
      <c r="V873" s="3">
        <f>tblInventory[[#This Row],[Stock_Quantity]]*tblInventory[[#This Row],[Unit_Price]]</f>
        <v>27.5</v>
      </c>
      <c r="W873" s="1" t="str">
        <f>IF(tblInventory[[#This Row],[Status]]="Discontinued","INACTIVE",
IF(tblInventory[[#This Row],[Stock_Quantity]] &lt; tblInventory[[#This Row],[Reorder_Level]],"REORDER","OK"))</f>
        <v>INACTIVE</v>
      </c>
      <c r="X873" s="1" t="str">
        <f t="shared" ca="1" si="27"/>
        <v>Valid</v>
      </c>
    </row>
    <row r="874" spans="1:24">
      <c r="A874" s="1">
        <v>873</v>
      </c>
      <c r="B874" s="1" t="s">
        <v>3132</v>
      </c>
      <c r="C874" s="1" t="s">
        <v>1474</v>
      </c>
      <c r="D874" s="1" t="s">
        <v>49</v>
      </c>
      <c r="E874" s="1" t="s">
        <v>3133</v>
      </c>
      <c r="F874" s="1" t="s">
        <v>1666</v>
      </c>
      <c r="G874" s="6">
        <v>100</v>
      </c>
      <c r="H874" s="8">
        <f>tblInventory[[#This Row],[Stock_Quantity]] * tblInventory[[#This Row],[Unit_Price]]</f>
        <v>250</v>
      </c>
      <c r="I874" s="1">
        <v>64</v>
      </c>
      <c r="J874" s="1">
        <v>62</v>
      </c>
      <c r="K874" s="8">
        <f>tblInventory[[#This Row],[Reorder_Quantity]]*M874</f>
        <v>155</v>
      </c>
      <c r="L874" s="10">
        <f>tblInventory[[#This Row],[Stock_Quantity]] / tblInventory[[#This Row],[Reorder_Quantity]]</f>
        <v>1.6129032258064515</v>
      </c>
      <c r="M874" s="3">
        <v>2.5</v>
      </c>
      <c r="N874" s="10">
        <f t="shared" si="26"/>
        <v>1.6977928692699491</v>
      </c>
      <c r="O874" s="1" t="s">
        <v>1125</v>
      </c>
      <c r="P874" s="1" t="s">
        <v>2202</v>
      </c>
      <c r="Q874" s="2">
        <v>46246</v>
      </c>
      <c r="R874" s="1" t="s">
        <v>3134</v>
      </c>
      <c r="S874" s="1">
        <v>84</v>
      </c>
      <c r="T874" s="1">
        <v>44</v>
      </c>
      <c r="U874" s="1" t="s">
        <v>24</v>
      </c>
      <c r="V874" s="3">
        <f>tblInventory[[#This Row],[Stock_Quantity]]*tblInventory[[#This Row],[Unit_Price]]</f>
        <v>250</v>
      </c>
      <c r="W874" s="1" t="str">
        <f>IF(tblInventory[[#This Row],[Status]]="Discontinued","INACTIVE",
IF(tblInventory[[#This Row],[Stock_Quantity]] &lt; tblInventory[[#This Row],[Reorder_Level]],"REORDER","OK"))</f>
        <v>INACTIVE</v>
      </c>
      <c r="X874" s="1" t="str">
        <f t="shared" ca="1" si="27"/>
        <v>Valid</v>
      </c>
    </row>
    <row r="875" spans="1:24">
      <c r="A875" s="1">
        <v>874</v>
      </c>
      <c r="B875" s="1" t="s">
        <v>3204</v>
      </c>
      <c r="C875" s="1" t="s">
        <v>1474</v>
      </c>
      <c r="D875" s="1" t="s">
        <v>49</v>
      </c>
      <c r="E875" s="1" t="s">
        <v>3205</v>
      </c>
      <c r="F875" s="1" t="s">
        <v>1258</v>
      </c>
      <c r="G875" s="6">
        <v>32</v>
      </c>
      <c r="H875" s="8">
        <f>tblInventory[[#This Row],[Stock_Quantity]] * tblInventory[[#This Row],[Unit_Price]]</f>
        <v>80</v>
      </c>
      <c r="I875" s="1">
        <v>49</v>
      </c>
      <c r="J875" s="1">
        <v>73</v>
      </c>
      <c r="K875" s="8">
        <f>tblInventory[[#This Row],[Reorder_Quantity]]*M875</f>
        <v>182.5</v>
      </c>
      <c r="L875" s="10">
        <f>tblInventory[[#This Row],[Stock_Quantity]] / tblInventory[[#This Row],[Reorder_Quantity]]</f>
        <v>0.43835616438356162</v>
      </c>
      <c r="M875" s="3">
        <v>2.5</v>
      </c>
      <c r="N875" s="10">
        <f t="shared" si="26"/>
        <v>0.54329371816638372</v>
      </c>
      <c r="O875" s="2">
        <v>45450</v>
      </c>
      <c r="P875" s="1" t="s">
        <v>1811</v>
      </c>
      <c r="Q875" s="2">
        <v>46387</v>
      </c>
      <c r="R875" s="1" t="s">
        <v>3206</v>
      </c>
      <c r="S875" s="1">
        <v>80</v>
      </c>
      <c r="T875" s="1">
        <v>36</v>
      </c>
      <c r="U875" s="1" t="s">
        <v>24</v>
      </c>
      <c r="V875" s="3">
        <f>tblInventory[[#This Row],[Stock_Quantity]]*tblInventory[[#This Row],[Unit_Price]]</f>
        <v>80</v>
      </c>
      <c r="W875" s="1" t="str">
        <f>IF(tblInventory[[#This Row],[Status]]="Discontinued","INACTIVE",
IF(tblInventory[[#This Row],[Stock_Quantity]] &lt; tblInventory[[#This Row],[Reorder_Level]],"REORDER","OK"))</f>
        <v>INACTIVE</v>
      </c>
      <c r="X875" s="1" t="str">
        <f t="shared" ca="1" si="27"/>
        <v>Valid</v>
      </c>
    </row>
    <row r="876" spans="1:24">
      <c r="A876" s="1">
        <v>875</v>
      </c>
      <c r="B876" s="1" t="s">
        <v>153</v>
      </c>
      <c r="C876" s="1" t="s">
        <v>154</v>
      </c>
      <c r="D876" s="1" t="s">
        <v>155</v>
      </c>
      <c r="E876" s="1" t="s">
        <v>156</v>
      </c>
      <c r="F876" s="1" t="s">
        <v>157</v>
      </c>
      <c r="G876" s="6">
        <v>49</v>
      </c>
      <c r="H876" s="8">
        <f>tblInventory[[#This Row],[Stock_Quantity]] * tblInventory[[#This Row],[Unit_Price]]</f>
        <v>588</v>
      </c>
      <c r="I876" s="1">
        <v>73</v>
      </c>
      <c r="J876" s="1">
        <v>48</v>
      </c>
      <c r="K876" s="8">
        <f>tblInventory[[#This Row],[Reorder_Quantity]]*M876</f>
        <v>576</v>
      </c>
      <c r="L876" s="10">
        <f>tblInventory[[#This Row],[Stock_Quantity]] / tblInventory[[#This Row],[Reorder_Quantity]]</f>
        <v>1.0208333333333333</v>
      </c>
      <c r="M876" s="3">
        <v>12</v>
      </c>
      <c r="N876" s="10">
        <f t="shared" si="26"/>
        <v>0.83191850594227501</v>
      </c>
      <c r="O876" s="1" t="s">
        <v>158</v>
      </c>
      <c r="P876" s="2">
        <v>45301</v>
      </c>
      <c r="Q876" s="2">
        <v>45575</v>
      </c>
      <c r="R876" s="1" t="s">
        <v>159</v>
      </c>
      <c r="S876" s="1">
        <v>52</v>
      </c>
      <c r="T876" s="1">
        <v>62</v>
      </c>
      <c r="U876" s="1" t="s">
        <v>46</v>
      </c>
      <c r="V876" s="3">
        <f>tblInventory[[#This Row],[Stock_Quantity]]*tblInventory[[#This Row],[Unit_Price]]</f>
        <v>588</v>
      </c>
      <c r="W876" s="1" t="str">
        <f>IF(tblInventory[[#This Row],[Status]]="Discontinued","INACTIVE",
IF(tblInventory[[#This Row],[Stock_Quantity]] &lt; tblInventory[[#This Row],[Reorder_Level]],"REORDER","OK"))</f>
        <v>REORDER</v>
      </c>
      <c r="X876" s="1" t="str">
        <f t="shared" ca="1" si="27"/>
        <v>Expired</v>
      </c>
    </row>
    <row r="877" spans="1:24">
      <c r="A877" s="1">
        <v>876</v>
      </c>
      <c r="B877" s="1" t="s">
        <v>458</v>
      </c>
      <c r="C877" s="1" t="s">
        <v>154</v>
      </c>
      <c r="D877" s="1" t="s">
        <v>155</v>
      </c>
      <c r="E877" s="1" t="s">
        <v>459</v>
      </c>
      <c r="F877" s="1" t="s">
        <v>460</v>
      </c>
      <c r="G877" s="6">
        <v>29</v>
      </c>
      <c r="H877" s="8">
        <f>tblInventory[[#This Row],[Stock_Quantity]] * tblInventory[[#This Row],[Unit_Price]]</f>
        <v>348</v>
      </c>
      <c r="I877" s="1">
        <v>72</v>
      </c>
      <c r="J877" s="1">
        <v>96</v>
      </c>
      <c r="K877" s="8">
        <f>tblInventory[[#This Row],[Reorder_Quantity]]*M877</f>
        <v>1152</v>
      </c>
      <c r="L877" s="10">
        <f>tblInventory[[#This Row],[Stock_Quantity]] / tblInventory[[#This Row],[Reorder_Quantity]]</f>
        <v>0.30208333333333331</v>
      </c>
      <c r="M877" s="3">
        <v>12</v>
      </c>
      <c r="N877" s="10">
        <f t="shared" si="26"/>
        <v>0.49235993208828527</v>
      </c>
      <c r="O877" s="2">
        <v>45356</v>
      </c>
      <c r="P877" s="1" t="s">
        <v>377</v>
      </c>
      <c r="Q877" s="2">
        <v>45625</v>
      </c>
      <c r="R877" s="1" t="s">
        <v>461</v>
      </c>
      <c r="S877" s="1">
        <v>85</v>
      </c>
      <c r="T877" s="1">
        <v>52</v>
      </c>
      <c r="U877" s="1" t="s">
        <v>46</v>
      </c>
      <c r="V877" s="3">
        <f>tblInventory[[#This Row],[Stock_Quantity]]*tblInventory[[#This Row],[Unit_Price]]</f>
        <v>348</v>
      </c>
      <c r="W877" s="1" t="str">
        <f>IF(tblInventory[[#This Row],[Status]]="Discontinued","INACTIVE",
IF(tblInventory[[#This Row],[Stock_Quantity]] &lt; tblInventory[[#This Row],[Reorder_Level]],"REORDER","OK"))</f>
        <v>REORDER</v>
      </c>
      <c r="X877" s="1" t="str">
        <f t="shared" ca="1" si="27"/>
        <v>Expired</v>
      </c>
    </row>
    <row r="878" spans="1:24">
      <c r="A878" s="1">
        <v>877</v>
      </c>
      <c r="B878" s="1" t="s">
        <v>983</v>
      </c>
      <c r="C878" s="1" t="s">
        <v>154</v>
      </c>
      <c r="D878" s="1" t="s">
        <v>155</v>
      </c>
      <c r="E878" s="1" t="s">
        <v>984</v>
      </c>
      <c r="F878" s="1" t="s">
        <v>985</v>
      </c>
      <c r="G878" s="6">
        <v>75</v>
      </c>
      <c r="H878" s="8">
        <f>tblInventory[[#This Row],[Stock_Quantity]] * tblInventory[[#This Row],[Unit_Price]]</f>
        <v>900</v>
      </c>
      <c r="I878" s="1">
        <v>25</v>
      </c>
      <c r="J878" s="1">
        <v>99</v>
      </c>
      <c r="K878" s="8">
        <f>tblInventory[[#This Row],[Reorder_Quantity]]*M878</f>
        <v>1188</v>
      </c>
      <c r="L878" s="10">
        <f>tblInventory[[#This Row],[Stock_Quantity]] / tblInventory[[#This Row],[Reorder_Quantity]]</f>
        <v>0.75757575757575757</v>
      </c>
      <c r="M878" s="3">
        <v>12</v>
      </c>
      <c r="N878" s="10">
        <f t="shared" si="26"/>
        <v>1.2733446519524618</v>
      </c>
      <c r="O878" s="1" t="s">
        <v>986</v>
      </c>
      <c r="P878" s="1" t="s">
        <v>30</v>
      </c>
      <c r="Q878" s="2">
        <v>45736</v>
      </c>
      <c r="R878" s="1" t="s">
        <v>987</v>
      </c>
      <c r="S878" s="1">
        <v>89</v>
      </c>
      <c r="T878" s="1">
        <v>42</v>
      </c>
      <c r="U878" s="1" t="s">
        <v>46</v>
      </c>
      <c r="V878" s="3">
        <f>tblInventory[[#This Row],[Stock_Quantity]]*tblInventory[[#This Row],[Unit_Price]]</f>
        <v>900</v>
      </c>
      <c r="W878" s="1" t="str">
        <f>IF(tblInventory[[#This Row],[Status]]="Discontinued","INACTIVE",
IF(tblInventory[[#This Row],[Stock_Quantity]] &lt; tblInventory[[#This Row],[Reorder_Level]],"REORDER","OK"))</f>
        <v>OK</v>
      </c>
      <c r="X878" s="1" t="str">
        <f t="shared" ca="1" si="27"/>
        <v>Expired</v>
      </c>
    </row>
    <row r="879" spans="1:24">
      <c r="A879" s="1">
        <v>878</v>
      </c>
      <c r="B879" s="1" t="s">
        <v>1370</v>
      </c>
      <c r="C879" s="1" t="s">
        <v>154</v>
      </c>
      <c r="D879" s="1" t="s">
        <v>155</v>
      </c>
      <c r="E879" s="1" t="s">
        <v>1371</v>
      </c>
      <c r="F879" s="1" t="s">
        <v>263</v>
      </c>
      <c r="G879" s="6">
        <v>19</v>
      </c>
      <c r="H879" s="8">
        <f>tblInventory[[#This Row],[Stock_Quantity]] * tblInventory[[#This Row],[Unit_Price]]</f>
        <v>218.5</v>
      </c>
      <c r="I879" s="1">
        <v>94</v>
      </c>
      <c r="J879" s="1">
        <v>17</v>
      </c>
      <c r="K879" s="8">
        <f>tblInventory[[#This Row],[Reorder_Quantity]]*M879</f>
        <v>195.5</v>
      </c>
      <c r="L879" s="10">
        <f>tblInventory[[#This Row],[Stock_Quantity]] / tblInventory[[#This Row],[Reorder_Quantity]]</f>
        <v>1.1176470588235294</v>
      </c>
      <c r="M879" s="3">
        <v>11.5</v>
      </c>
      <c r="N879" s="10">
        <f t="shared" si="26"/>
        <v>0.32258064516129031</v>
      </c>
      <c r="O879" s="1" t="s">
        <v>1119</v>
      </c>
      <c r="P879" s="2">
        <v>45510</v>
      </c>
      <c r="Q879" s="2">
        <v>45833</v>
      </c>
      <c r="R879" s="1" t="s">
        <v>1372</v>
      </c>
      <c r="S879" s="1">
        <v>96</v>
      </c>
      <c r="T879" s="1">
        <v>74</v>
      </c>
      <c r="U879" s="1" t="s">
        <v>24</v>
      </c>
      <c r="V879" s="3">
        <f>tblInventory[[#This Row],[Stock_Quantity]]*tblInventory[[#This Row],[Unit_Price]]</f>
        <v>218.5</v>
      </c>
      <c r="W879" s="1" t="str">
        <f>IF(tblInventory[[#This Row],[Status]]="Discontinued","INACTIVE",
IF(tblInventory[[#This Row],[Stock_Quantity]] &lt; tblInventory[[#This Row],[Reorder_Level]],"REORDER","OK"))</f>
        <v>INACTIVE</v>
      </c>
      <c r="X879" s="1" t="str">
        <f t="shared" ca="1" si="27"/>
        <v>Expired</v>
      </c>
    </row>
    <row r="880" spans="1:24">
      <c r="A880" s="1">
        <v>879</v>
      </c>
      <c r="B880" s="1" t="s">
        <v>1591</v>
      </c>
      <c r="C880" s="1" t="s">
        <v>154</v>
      </c>
      <c r="D880" s="1" t="s">
        <v>155</v>
      </c>
      <c r="E880" s="1" t="s">
        <v>1592</v>
      </c>
      <c r="F880" s="1" t="s">
        <v>321</v>
      </c>
      <c r="G880" s="6">
        <v>91</v>
      </c>
      <c r="H880" s="8">
        <f>tblInventory[[#This Row],[Stock_Quantity]] * tblInventory[[#This Row],[Unit_Price]]</f>
        <v>1046.5</v>
      </c>
      <c r="I880" s="1">
        <v>68</v>
      </c>
      <c r="J880" s="1">
        <v>80</v>
      </c>
      <c r="K880" s="8">
        <f>tblInventory[[#This Row],[Reorder_Quantity]]*M880</f>
        <v>920</v>
      </c>
      <c r="L880" s="10">
        <f>tblInventory[[#This Row],[Stock_Quantity]] / tblInventory[[#This Row],[Reorder_Quantity]]</f>
        <v>1.1375</v>
      </c>
      <c r="M880" s="3">
        <v>11.5</v>
      </c>
      <c r="N880" s="10">
        <f t="shared" si="26"/>
        <v>1.5449915110356538</v>
      </c>
      <c r="O880" s="2">
        <v>45634</v>
      </c>
      <c r="P880" s="1" t="s">
        <v>96</v>
      </c>
      <c r="Q880" s="2">
        <v>45893</v>
      </c>
      <c r="R880" s="1" t="s">
        <v>1593</v>
      </c>
      <c r="S880" s="1">
        <v>81</v>
      </c>
      <c r="T880" s="1">
        <v>85</v>
      </c>
      <c r="U880" s="1" t="s">
        <v>38</v>
      </c>
      <c r="V880" s="3">
        <f>tblInventory[[#This Row],[Stock_Quantity]]*tblInventory[[#This Row],[Unit_Price]]</f>
        <v>1046.5</v>
      </c>
      <c r="W880" s="1" t="str">
        <f>IF(tblInventory[[#This Row],[Status]]="Discontinued","INACTIVE",
IF(tblInventory[[#This Row],[Stock_Quantity]] &lt; tblInventory[[#This Row],[Reorder_Level]],"REORDER","OK"))</f>
        <v>OK</v>
      </c>
      <c r="X880" s="1" t="str">
        <f t="shared" ca="1" si="27"/>
        <v>Expired</v>
      </c>
    </row>
    <row r="881" spans="1:24">
      <c r="A881" s="1">
        <v>880</v>
      </c>
      <c r="B881" s="1" t="s">
        <v>2242</v>
      </c>
      <c r="C881" s="1" t="s">
        <v>154</v>
      </c>
      <c r="D881" s="1" t="s">
        <v>155</v>
      </c>
      <c r="E881" s="1" t="s">
        <v>2243</v>
      </c>
      <c r="F881" s="1" t="s">
        <v>990</v>
      </c>
      <c r="G881" s="6">
        <v>98</v>
      </c>
      <c r="H881" s="8">
        <f>tblInventory[[#This Row],[Stock_Quantity]] * tblInventory[[#This Row],[Unit_Price]]</f>
        <v>1176</v>
      </c>
      <c r="I881" s="1">
        <v>65</v>
      </c>
      <c r="J881" s="1">
        <v>76</v>
      </c>
      <c r="K881" s="8">
        <f>tblInventory[[#This Row],[Reorder_Quantity]]*M881</f>
        <v>912</v>
      </c>
      <c r="L881" s="10">
        <f>tblInventory[[#This Row],[Stock_Quantity]] / tblInventory[[#This Row],[Reorder_Quantity]]</f>
        <v>1.2894736842105263</v>
      </c>
      <c r="M881" s="3">
        <v>12</v>
      </c>
      <c r="N881" s="10">
        <f t="shared" si="26"/>
        <v>1.66383701188455</v>
      </c>
      <c r="O881" s="1" t="s">
        <v>1293</v>
      </c>
      <c r="P881" s="1" t="s">
        <v>1299</v>
      </c>
      <c r="Q881" s="2">
        <v>46206</v>
      </c>
      <c r="R881" s="1" t="s">
        <v>2244</v>
      </c>
      <c r="S881" s="1">
        <v>62</v>
      </c>
      <c r="T881" s="1">
        <v>47</v>
      </c>
      <c r="U881" s="1" t="s">
        <v>46</v>
      </c>
      <c r="V881" s="3">
        <f>tblInventory[[#This Row],[Stock_Quantity]]*tblInventory[[#This Row],[Unit_Price]]</f>
        <v>1176</v>
      </c>
      <c r="W881" s="1" t="str">
        <f>IF(tblInventory[[#This Row],[Status]]="Discontinued","INACTIVE",
IF(tblInventory[[#This Row],[Stock_Quantity]] &lt; tblInventory[[#This Row],[Reorder_Level]],"REORDER","OK"))</f>
        <v>OK</v>
      </c>
      <c r="X881" s="1" t="str">
        <f t="shared" ca="1" si="27"/>
        <v>Valid</v>
      </c>
    </row>
    <row r="882" spans="1:24">
      <c r="A882" s="1">
        <v>881</v>
      </c>
      <c r="B882" s="1" t="s">
        <v>3357</v>
      </c>
      <c r="C882" s="1" t="s">
        <v>154</v>
      </c>
      <c r="D882" s="1" t="s">
        <v>155</v>
      </c>
      <c r="E882" s="1" t="s">
        <v>3358</v>
      </c>
      <c r="F882" s="1" t="s">
        <v>581</v>
      </c>
      <c r="G882" s="6">
        <v>67</v>
      </c>
      <c r="H882" s="8">
        <f>tblInventory[[#This Row],[Stock_Quantity]] * tblInventory[[#This Row],[Unit_Price]]</f>
        <v>777.19999999999993</v>
      </c>
      <c r="I882" s="1">
        <v>83</v>
      </c>
      <c r="J882" s="1">
        <v>90</v>
      </c>
      <c r="K882" s="8">
        <f>tblInventory[[#This Row],[Reorder_Quantity]]*M882</f>
        <v>1044</v>
      </c>
      <c r="L882" s="10">
        <f>tblInventory[[#This Row],[Stock_Quantity]] / tblInventory[[#This Row],[Reorder_Quantity]]</f>
        <v>0.74444444444444446</v>
      </c>
      <c r="M882" s="3">
        <v>11.6</v>
      </c>
      <c r="N882" s="10">
        <f t="shared" si="26"/>
        <v>1.137521222410866</v>
      </c>
      <c r="O882" s="1" t="s">
        <v>496</v>
      </c>
      <c r="P882" s="1" t="s">
        <v>164</v>
      </c>
      <c r="Q882" s="2">
        <v>46437</v>
      </c>
      <c r="R882" s="1" t="s">
        <v>3359</v>
      </c>
      <c r="S882" s="1">
        <v>66</v>
      </c>
      <c r="T882" s="1">
        <v>77</v>
      </c>
      <c r="U882" s="1" t="s">
        <v>46</v>
      </c>
      <c r="V882" s="3">
        <f>tblInventory[[#This Row],[Stock_Quantity]]*tblInventory[[#This Row],[Unit_Price]]</f>
        <v>777.19999999999993</v>
      </c>
      <c r="W882" s="1" t="str">
        <f>IF(tblInventory[[#This Row],[Status]]="Discontinued","INACTIVE",
IF(tblInventory[[#This Row],[Stock_Quantity]] &lt; tblInventory[[#This Row],[Reorder_Level]],"REORDER","OK"))</f>
        <v>REORDER</v>
      </c>
      <c r="X882" s="1" t="str">
        <f t="shared" ca="1" si="27"/>
        <v>Valid</v>
      </c>
    </row>
    <row r="883" spans="1:24">
      <c r="A883" s="1">
        <v>882</v>
      </c>
      <c r="B883" s="1" t="s">
        <v>3432</v>
      </c>
      <c r="C883" s="1" t="s">
        <v>154</v>
      </c>
      <c r="D883" s="1" t="s">
        <v>155</v>
      </c>
      <c r="E883" s="1" t="s">
        <v>3433</v>
      </c>
      <c r="F883" s="1" t="s">
        <v>1493</v>
      </c>
      <c r="G883" s="6">
        <v>89</v>
      </c>
      <c r="H883" s="8">
        <f>tblInventory[[#This Row],[Stock_Quantity]] * tblInventory[[#This Row],[Unit_Price]]</f>
        <v>1068</v>
      </c>
      <c r="I883" s="1">
        <v>67</v>
      </c>
      <c r="J883" s="1">
        <v>89</v>
      </c>
      <c r="K883" s="8">
        <f>tblInventory[[#This Row],[Reorder_Quantity]]*M883</f>
        <v>1068</v>
      </c>
      <c r="L883" s="10">
        <f>tblInventory[[#This Row],[Stock_Quantity]] / tblInventory[[#This Row],[Reorder_Quantity]]</f>
        <v>1</v>
      </c>
      <c r="M883" s="3">
        <v>12</v>
      </c>
      <c r="N883" s="10">
        <f t="shared" si="26"/>
        <v>1.5110356536502547</v>
      </c>
      <c r="O883" s="1" t="s">
        <v>165</v>
      </c>
      <c r="P883" s="2">
        <v>45778</v>
      </c>
      <c r="Q883" s="2">
        <v>46461</v>
      </c>
      <c r="R883" s="1" t="s">
        <v>3434</v>
      </c>
      <c r="S883" s="1">
        <v>96</v>
      </c>
      <c r="T883" s="1">
        <v>42</v>
      </c>
      <c r="U883" s="1" t="s">
        <v>24</v>
      </c>
      <c r="V883" s="3">
        <f>tblInventory[[#This Row],[Stock_Quantity]]*tblInventory[[#This Row],[Unit_Price]]</f>
        <v>1068</v>
      </c>
      <c r="W883" s="1" t="str">
        <f>IF(tblInventory[[#This Row],[Status]]="Discontinued","INACTIVE",
IF(tblInventory[[#This Row],[Stock_Quantity]] &lt; tblInventory[[#This Row],[Reorder_Level]],"REORDER","OK"))</f>
        <v>INACTIVE</v>
      </c>
      <c r="X883" s="1" t="str">
        <f t="shared" ca="1" si="27"/>
        <v>Valid</v>
      </c>
    </row>
    <row r="884" spans="1:24">
      <c r="A884" s="1">
        <v>883</v>
      </c>
      <c r="B884" s="1" t="s">
        <v>772</v>
      </c>
      <c r="C884" s="1" t="s">
        <v>773</v>
      </c>
      <c r="D884" s="1" t="s">
        <v>155</v>
      </c>
      <c r="E884" s="1" t="s">
        <v>774</v>
      </c>
      <c r="F884" s="1" t="s">
        <v>775</v>
      </c>
      <c r="G884" s="6">
        <v>25</v>
      </c>
      <c r="H884" s="8">
        <f>tblInventory[[#This Row],[Stock_Quantity]] * tblInventory[[#This Row],[Unit_Price]]</f>
        <v>450</v>
      </c>
      <c r="I884" s="1">
        <v>44</v>
      </c>
      <c r="J884" s="1">
        <v>96</v>
      </c>
      <c r="K884" s="8">
        <f>tblInventory[[#This Row],[Reorder_Quantity]]*M884</f>
        <v>1728</v>
      </c>
      <c r="L884" s="10">
        <f>tblInventory[[#This Row],[Stock_Quantity]] / tblInventory[[#This Row],[Reorder_Quantity]]</f>
        <v>0.26041666666666669</v>
      </c>
      <c r="M884" s="3">
        <v>18</v>
      </c>
      <c r="N884" s="10">
        <f t="shared" si="26"/>
        <v>0.42444821731748728</v>
      </c>
      <c r="O884" s="2">
        <v>45389</v>
      </c>
      <c r="P884" s="2">
        <v>45538</v>
      </c>
      <c r="Q884" s="2">
        <v>45688</v>
      </c>
      <c r="R884" s="1" t="s">
        <v>776</v>
      </c>
      <c r="S884" s="1">
        <v>36</v>
      </c>
      <c r="T884" s="1">
        <v>16</v>
      </c>
      <c r="U884" s="1" t="s">
        <v>46</v>
      </c>
      <c r="V884" s="3">
        <f>tblInventory[[#This Row],[Stock_Quantity]]*tblInventory[[#This Row],[Unit_Price]]</f>
        <v>450</v>
      </c>
      <c r="W884" s="1" t="str">
        <f>IF(tblInventory[[#This Row],[Status]]="Discontinued","INACTIVE",
IF(tblInventory[[#This Row],[Stock_Quantity]] &lt; tblInventory[[#This Row],[Reorder_Level]],"REORDER","OK"))</f>
        <v>REORDER</v>
      </c>
      <c r="X884" s="1" t="str">
        <f t="shared" ca="1" si="27"/>
        <v>Expired</v>
      </c>
    </row>
    <row r="885" spans="1:24">
      <c r="A885" s="1">
        <v>884</v>
      </c>
      <c r="B885" s="1" t="s">
        <v>792</v>
      </c>
      <c r="C885" s="1" t="s">
        <v>773</v>
      </c>
      <c r="D885" s="1" t="s">
        <v>155</v>
      </c>
      <c r="E885" s="1" t="s">
        <v>793</v>
      </c>
      <c r="F885" s="1" t="s">
        <v>794</v>
      </c>
      <c r="G885" s="6">
        <v>58</v>
      </c>
      <c r="H885" s="8">
        <f>tblInventory[[#This Row],[Stock_Quantity]] * tblInventory[[#This Row],[Unit_Price]]</f>
        <v>1044</v>
      </c>
      <c r="I885" s="1">
        <v>77</v>
      </c>
      <c r="J885" s="1">
        <v>96</v>
      </c>
      <c r="K885" s="8">
        <f>tblInventory[[#This Row],[Reorder_Quantity]]*M885</f>
        <v>1728</v>
      </c>
      <c r="L885" s="10">
        <f>tblInventory[[#This Row],[Stock_Quantity]] / tblInventory[[#This Row],[Reorder_Quantity]]</f>
        <v>0.60416666666666663</v>
      </c>
      <c r="M885" s="3">
        <v>18</v>
      </c>
      <c r="N885" s="10">
        <f t="shared" si="26"/>
        <v>0.98471986417657054</v>
      </c>
      <c r="O885" s="2">
        <v>45605</v>
      </c>
      <c r="P885" s="1" t="s">
        <v>44</v>
      </c>
      <c r="Q885" s="2">
        <v>45749</v>
      </c>
      <c r="R885" s="1" t="s">
        <v>795</v>
      </c>
      <c r="S885" s="1">
        <v>25</v>
      </c>
      <c r="T885" s="1">
        <v>17</v>
      </c>
      <c r="U885" s="1" t="s">
        <v>24</v>
      </c>
      <c r="V885" s="3">
        <f>tblInventory[[#This Row],[Stock_Quantity]]*tblInventory[[#This Row],[Unit_Price]]</f>
        <v>1044</v>
      </c>
      <c r="W885" s="1" t="str">
        <f>IF(tblInventory[[#This Row],[Status]]="Discontinued","INACTIVE",
IF(tblInventory[[#This Row],[Stock_Quantity]] &lt; tblInventory[[#This Row],[Reorder_Level]],"REORDER","OK"))</f>
        <v>INACTIVE</v>
      </c>
      <c r="X885" s="1" t="str">
        <f t="shared" ca="1" si="27"/>
        <v>Expired</v>
      </c>
    </row>
    <row r="886" spans="1:24">
      <c r="A886" s="1">
        <v>885</v>
      </c>
      <c r="B886" s="1" t="s">
        <v>852</v>
      </c>
      <c r="C886" s="1" t="s">
        <v>773</v>
      </c>
      <c r="D886" s="1" t="s">
        <v>155</v>
      </c>
      <c r="E886" s="1" t="s">
        <v>853</v>
      </c>
      <c r="F886" s="1" t="s">
        <v>854</v>
      </c>
      <c r="G886" s="6">
        <v>92</v>
      </c>
      <c r="H886" s="8">
        <f>tblInventory[[#This Row],[Stock_Quantity]] * tblInventory[[#This Row],[Unit_Price]]</f>
        <v>1656</v>
      </c>
      <c r="I886" s="1">
        <v>68</v>
      </c>
      <c r="J886" s="1">
        <v>79</v>
      </c>
      <c r="K886" s="8">
        <f>tblInventory[[#This Row],[Reorder_Quantity]]*M886</f>
        <v>1422</v>
      </c>
      <c r="L886" s="10">
        <f>tblInventory[[#This Row],[Stock_Quantity]] / tblInventory[[#This Row],[Reorder_Quantity]]</f>
        <v>1.1645569620253164</v>
      </c>
      <c r="M886" s="3">
        <v>18</v>
      </c>
      <c r="N886" s="10">
        <f t="shared" si="26"/>
        <v>1.5619694397283532</v>
      </c>
      <c r="O886" s="1" t="s">
        <v>855</v>
      </c>
      <c r="P886" s="1" t="s">
        <v>211</v>
      </c>
      <c r="Q886" s="2">
        <v>45706</v>
      </c>
      <c r="R886" s="1" t="s">
        <v>856</v>
      </c>
      <c r="S886" s="1">
        <v>40</v>
      </c>
      <c r="T886" s="1">
        <v>57</v>
      </c>
      <c r="U886" s="1" t="s">
        <v>24</v>
      </c>
      <c r="V886" s="3">
        <f>tblInventory[[#This Row],[Stock_Quantity]]*tblInventory[[#This Row],[Unit_Price]]</f>
        <v>1656</v>
      </c>
      <c r="W886" s="1" t="str">
        <f>IF(tblInventory[[#This Row],[Status]]="Discontinued","INACTIVE",
IF(tblInventory[[#This Row],[Stock_Quantity]] &lt; tblInventory[[#This Row],[Reorder_Level]],"REORDER","OK"))</f>
        <v>INACTIVE</v>
      </c>
      <c r="X886" s="1" t="str">
        <f t="shared" ca="1" si="27"/>
        <v>Expired</v>
      </c>
    </row>
    <row r="887" spans="1:24">
      <c r="A887" s="1">
        <v>886</v>
      </c>
      <c r="B887" s="1" t="s">
        <v>1147</v>
      </c>
      <c r="C887" s="1" t="s">
        <v>773</v>
      </c>
      <c r="D887" s="1" t="s">
        <v>155</v>
      </c>
      <c r="E887" s="1" t="s">
        <v>1148</v>
      </c>
      <c r="F887" s="1" t="s">
        <v>1149</v>
      </c>
      <c r="G887" s="6">
        <v>89</v>
      </c>
      <c r="H887" s="8">
        <f>tblInventory[[#This Row],[Stock_Quantity]] * tblInventory[[#This Row],[Unit_Price]]</f>
        <v>1602</v>
      </c>
      <c r="I887" s="1">
        <v>95</v>
      </c>
      <c r="J887" s="1">
        <v>41</v>
      </c>
      <c r="K887" s="8">
        <f>tblInventory[[#This Row],[Reorder_Quantity]]*M887</f>
        <v>738</v>
      </c>
      <c r="L887" s="10">
        <f>tblInventory[[#This Row],[Stock_Quantity]] / tblInventory[[#This Row],[Reorder_Quantity]]</f>
        <v>2.1707317073170733</v>
      </c>
      <c r="M887" s="3">
        <v>18</v>
      </c>
      <c r="N887" s="10">
        <f t="shared" si="26"/>
        <v>1.5110356536502547</v>
      </c>
      <c r="O887" s="1" t="s">
        <v>424</v>
      </c>
      <c r="P887" s="2">
        <v>45450</v>
      </c>
      <c r="Q887" s="2">
        <v>45776</v>
      </c>
      <c r="R887" s="1" t="s">
        <v>1151</v>
      </c>
      <c r="S887" s="1">
        <v>76</v>
      </c>
      <c r="T887" s="1">
        <v>96</v>
      </c>
      <c r="U887" s="1" t="s">
        <v>24</v>
      </c>
      <c r="V887" s="3">
        <f>tblInventory[[#This Row],[Stock_Quantity]]*tblInventory[[#This Row],[Unit_Price]]</f>
        <v>1602</v>
      </c>
      <c r="W887" s="1" t="str">
        <f>IF(tblInventory[[#This Row],[Status]]="Discontinued","INACTIVE",
IF(tblInventory[[#This Row],[Stock_Quantity]] &lt; tblInventory[[#This Row],[Reorder_Level]],"REORDER","OK"))</f>
        <v>INACTIVE</v>
      </c>
      <c r="X887" s="1" t="str">
        <f t="shared" ca="1" si="27"/>
        <v>Expired</v>
      </c>
    </row>
    <row r="888" spans="1:24">
      <c r="A888" s="1">
        <v>887</v>
      </c>
      <c r="B888" s="1" t="s">
        <v>1430</v>
      </c>
      <c r="C888" s="1" t="s">
        <v>773</v>
      </c>
      <c r="D888" s="1" t="s">
        <v>155</v>
      </c>
      <c r="E888" s="1" t="s">
        <v>1431</v>
      </c>
      <c r="F888" s="1" t="s">
        <v>76</v>
      </c>
      <c r="G888" s="6">
        <v>25</v>
      </c>
      <c r="H888" s="8">
        <f>tblInventory[[#This Row],[Stock_Quantity]] * tblInventory[[#This Row],[Unit_Price]]</f>
        <v>450</v>
      </c>
      <c r="I888" s="1">
        <v>75</v>
      </c>
      <c r="J888" s="1">
        <v>27</v>
      </c>
      <c r="K888" s="8">
        <f>tblInventory[[#This Row],[Reorder_Quantity]]*M888</f>
        <v>486</v>
      </c>
      <c r="L888" s="10">
        <f>tblInventory[[#This Row],[Stock_Quantity]] / tblInventory[[#This Row],[Reorder_Quantity]]</f>
        <v>0.92592592592592593</v>
      </c>
      <c r="M888" s="3">
        <v>18</v>
      </c>
      <c r="N888" s="10">
        <f t="shared" si="26"/>
        <v>0.42444821731748728</v>
      </c>
      <c r="O888" s="2">
        <v>45689</v>
      </c>
      <c r="P888" s="2">
        <v>45422</v>
      </c>
      <c r="Q888" s="2">
        <v>45937</v>
      </c>
      <c r="R888" s="1" t="s">
        <v>1432</v>
      </c>
      <c r="S888" s="1">
        <v>31</v>
      </c>
      <c r="T888" s="1">
        <v>36</v>
      </c>
      <c r="U888" s="1" t="s">
        <v>46</v>
      </c>
      <c r="V888" s="3">
        <f>tblInventory[[#This Row],[Stock_Quantity]]*tblInventory[[#This Row],[Unit_Price]]</f>
        <v>450</v>
      </c>
      <c r="W888" s="1" t="str">
        <f>IF(tblInventory[[#This Row],[Status]]="Discontinued","INACTIVE",
IF(tblInventory[[#This Row],[Stock_Quantity]] &lt; tblInventory[[#This Row],[Reorder_Level]],"REORDER","OK"))</f>
        <v>REORDER</v>
      </c>
      <c r="X888" s="1" t="str">
        <f t="shared" ca="1" si="27"/>
        <v>Expired</v>
      </c>
    </row>
    <row r="889" spans="1:24">
      <c r="A889" s="1">
        <v>888</v>
      </c>
      <c r="B889" s="1" t="s">
        <v>1927</v>
      </c>
      <c r="C889" s="1" t="s">
        <v>773</v>
      </c>
      <c r="D889" s="1" t="s">
        <v>155</v>
      </c>
      <c r="E889" s="1" t="s">
        <v>1928</v>
      </c>
      <c r="F889" s="1" t="s">
        <v>1187</v>
      </c>
      <c r="G889" s="6">
        <v>37</v>
      </c>
      <c r="H889" s="8">
        <f>tblInventory[[#This Row],[Stock_Quantity]] * tblInventory[[#This Row],[Unit_Price]]</f>
        <v>666</v>
      </c>
      <c r="I889" s="1">
        <v>33</v>
      </c>
      <c r="J889" s="1">
        <v>80</v>
      </c>
      <c r="K889" s="8">
        <f>tblInventory[[#This Row],[Reorder_Quantity]]*M889</f>
        <v>1440</v>
      </c>
      <c r="L889" s="10">
        <f>tblInventory[[#This Row],[Stock_Quantity]] / tblInventory[[#This Row],[Reorder_Quantity]]</f>
        <v>0.46250000000000002</v>
      </c>
      <c r="M889" s="3">
        <v>18</v>
      </c>
      <c r="N889" s="10">
        <f t="shared" si="26"/>
        <v>0.6281833616298812</v>
      </c>
      <c r="O889" s="1" t="s">
        <v>177</v>
      </c>
      <c r="P889" s="2">
        <v>45570</v>
      </c>
      <c r="Q889" s="2">
        <v>45991</v>
      </c>
      <c r="R889" s="1" t="s">
        <v>1929</v>
      </c>
      <c r="S889" s="1">
        <v>27</v>
      </c>
      <c r="T889" s="1">
        <v>73</v>
      </c>
      <c r="U889" s="1" t="s">
        <v>38</v>
      </c>
      <c r="V889" s="3">
        <f>tblInventory[[#This Row],[Stock_Quantity]]*tblInventory[[#This Row],[Unit_Price]]</f>
        <v>666</v>
      </c>
      <c r="W889" s="1" t="str">
        <f>IF(tblInventory[[#This Row],[Status]]="Discontinued","INACTIVE",
IF(tblInventory[[#This Row],[Stock_Quantity]] &lt; tblInventory[[#This Row],[Reorder_Level]],"REORDER","OK"))</f>
        <v>OK</v>
      </c>
      <c r="X889" s="1" t="str">
        <f t="shared" ca="1" si="27"/>
        <v>Valid</v>
      </c>
    </row>
    <row r="890" spans="1:24">
      <c r="A890" s="1">
        <v>889</v>
      </c>
      <c r="B890" s="1" t="s">
        <v>2480</v>
      </c>
      <c r="C890" s="1" t="s">
        <v>773</v>
      </c>
      <c r="D890" s="1" t="s">
        <v>155</v>
      </c>
      <c r="E890" s="1" t="s">
        <v>2481</v>
      </c>
      <c r="F890" s="1" t="s">
        <v>2482</v>
      </c>
      <c r="G890" s="6">
        <v>16</v>
      </c>
      <c r="H890" s="8">
        <f>tblInventory[[#This Row],[Stock_Quantity]] * tblInventory[[#This Row],[Unit_Price]]</f>
        <v>288</v>
      </c>
      <c r="I890" s="1">
        <v>34</v>
      </c>
      <c r="J890" s="1">
        <v>89</v>
      </c>
      <c r="K890" s="8">
        <f>tblInventory[[#This Row],[Reorder_Quantity]]*M890</f>
        <v>1602</v>
      </c>
      <c r="L890" s="10">
        <f>tblInventory[[#This Row],[Stock_Quantity]] / tblInventory[[#This Row],[Reorder_Quantity]]</f>
        <v>0.1797752808988764</v>
      </c>
      <c r="M890" s="3">
        <v>18</v>
      </c>
      <c r="N890" s="10">
        <f t="shared" si="26"/>
        <v>0.27164685908319186</v>
      </c>
      <c r="O890" s="1" t="s">
        <v>247</v>
      </c>
      <c r="P890" s="1" t="s">
        <v>122</v>
      </c>
      <c r="Q890" s="2">
        <v>46162</v>
      </c>
      <c r="R890" s="1" t="s">
        <v>2483</v>
      </c>
      <c r="S890" s="1">
        <v>35</v>
      </c>
      <c r="T890" s="1">
        <v>52</v>
      </c>
      <c r="U890" s="1" t="s">
        <v>38</v>
      </c>
      <c r="V890" s="3">
        <f>tblInventory[[#This Row],[Stock_Quantity]]*tblInventory[[#This Row],[Unit_Price]]</f>
        <v>288</v>
      </c>
      <c r="W890" s="1" t="str">
        <f>IF(tblInventory[[#This Row],[Status]]="Discontinued","INACTIVE",
IF(tblInventory[[#This Row],[Stock_Quantity]] &lt; tblInventory[[#This Row],[Reorder_Level]],"REORDER","OK"))</f>
        <v>REORDER</v>
      </c>
      <c r="X890" s="1" t="str">
        <f t="shared" ca="1" si="27"/>
        <v>Valid</v>
      </c>
    </row>
    <row r="891" spans="1:24">
      <c r="A891" s="1">
        <v>890</v>
      </c>
      <c r="B891" s="1" t="s">
        <v>2899</v>
      </c>
      <c r="C891" s="1" t="s">
        <v>773</v>
      </c>
      <c r="D891" s="1" t="s">
        <v>155</v>
      </c>
      <c r="E891" s="1" t="s">
        <v>2900</v>
      </c>
      <c r="F891" s="1" t="s">
        <v>2198</v>
      </c>
      <c r="G891" s="6">
        <v>88</v>
      </c>
      <c r="H891" s="8">
        <f>tblInventory[[#This Row],[Stock_Quantity]] * tblInventory[[#This Row],[Unit_Price]]</f>
        <v>1584</v>
      </c>
      <c r="I891" s="1">
        <v>71</v>
      </c>
      <c r="J891" s="1">
        <v>9</v>
      </c>
      <c r="K891" s="8">
        <f>tblInventory[[#This Row],[Reorder_Quantity]]*M891</f>
        <v>162</v>
      </c>
      <c r="L891" s="10">
        <f>tblInventory[[#This Row],[Stock_Quantity]] / tblInventory[[#This Row],[Reorder_Quantity]]</f>
        <v>9.7777777777777786</v>
      </c>
      <c r="M891" s="3">
        <v>18</v>
      </c>
      <c r="N891" s="10">
        <f t="shared" si="26"/>
        <v>1.4940577249575553</v>
      </c>
      <c r="O891" s="1" t="s">
        <v>1183</v>
      </c>
      <c r="P891" s="1" t="s">
        <v>144</v>
      </c>
      <c r="Q891" s="2">
        <v>46289</v>
      </c>
      <c r="R891" s="1" t="s">
        <v>2901</v>
      </c>
      <c r="S891" s="1">
        <v>28</v>
      </c>
      <c r="T891" s="1">
        <v>14</v>
      </c>
      <c r="U891" s="1" t="s">
        <v>38</v>
      </c>
      <c r="V891" s="3">
        <f>tblInventory[[#This Row],[Stock_Quantity]]*tblInventory[[#This Row],[Unit_Price]]</f>
        <v>1584</v>
      </c>
      <c r="W891" s="1" t="str">
        <f>IF(tblInventory[[#This Row],[Status]]="Discontinued","INACTIVE",
IF(tblInventory[[#This Row],[Stock_Quantity]] &lt; tblInventory[[#This Row],[Reorder_Level]],"REORDER","OK"))</f>
        <v>OK</v>
      </c>
      <c r="X891" s="1" t="str">
        <f t="shared" ca="1" si="27"/>
        <v>Valid</v>
      </c>
    </row>
    <row r="892" spans="1:24">
      <c r="A892" s="1">
        <v>891</v>
      </c>
      <c r="B892" s="1" t="s">
        <v>3126</v>
      </c>
      <c r="C892" s="1" t="s">
        <v>773</v>
      </c>
      <c r="D892" s="1" t="s">
        <v>155</v>
      </c>
      <c r="E892" s="1" t="s">
        <v>3127</v>
      </c>
      <c r="F892" s="1" t="s">
        <v>1677</v>
      </c>
      <c r="G892" s="6">
        <v>85</v>
      </c>
      <c r="H892" s="8">
        <f>tblInventory[[#This Row],[Stock_Quantity]] * tblInventory[[#This Row],[Unit_Price]]</f>
        <v>1530</v>
      </c>
      <c r="I892" s="1">
        <v>17</v>
      </c>
      <c r="J892" s="1">
        <v>96</v>
      </c>
      <c r="K892" s="8">
        <f>tblInventory[[#This Row],[Reorder_Quantity]]*M892</f>
        <v>1728</v>
      </c>
      <c r="L892" s="10">
        <f>tblInventory[[#This Row],[Stock_Quantity]] / tblInventory[[#This Row],[Reorder_Quantity]]</f>
        <v>0.88541666666666663</v>
      </c>
      <c r="M892" s="3">
        <v>18</v>
      </c>
      <c r="N892" s="10">
        <f t="shared" si="26"/>
        <v>1.4431239388794568</v>
      </c>
      <c r="O892" s="2">
        <v>45423</v>
      </c>
      <c r="P892" s="2">
        <v>45329</v>
      </c>
      <c r="Q892" s="2">
        <v>46185</v>
      </c>
      <c r="R892" s="1" t="s">
        <v>3128</v>
      </c>
      <c r="S892" s="1">
        <v>92</v>
      </c>
      <c r="T892" s="1">
        <v>34</v>
      </c>
      <c r="U892" s="1" t="s">
        <v>24</v>
      </c>
      <c r="V892" s="3">
        <f>tblInventory[[#This Row],[Stock_Quantity]]*tblInventory[[#This Row],[Unit_Price]]</f>
        <v>1530</v>
      </c>
      <c r="W892" s="1" t="str">
        <f>IF(tblInventory[[#This Row],[Status]]="Discontinued","INACTIVE",
IF(tblInventory[[#This Row],[Stock_Quantity]] &lt; tblInventory[[#This Row],[Reorder_Level]],"REORDER","OK"))</f>
        <v>INACTIVE</v>
      </c>
      <c r="X892" s="1" t="str">
        <f t="shared" ca="1" si="27"/>
        <v>Valid</v>
      </c>
    </row>
    <row r="893" spans="1:24">
      <c r="A893" s="1">
        <v>892</v>
      </c>
      <c r="B893" s="1" t="s">
        <v>3581</v>
      </c>
      <c r="C893" s="1" t="s">
        <v>773</v>
      </c>
      <c r="D893" s="1" t="s">
        <v>155</v>
      </c>
      <c r="E893" s="1" t="s">
        <v>3582</v>
      </c>
      <c r="F893" s="1" t="s">
        <v>1666</v>
      </c>
      <c r="G893" s="6">
        <v>87</v>
      </c>
      <c r="H893" s="8">
        <f>tblInventory[[#This Row],[Stock_Quantity]] * tblInventory[[#This Row],[Unit_Price]]</f>
        <v>1566</v>
      </c>
      <c r="I893" s="1">
        <v>24</v>
      </c>
      <c r="J893" s="1">
        <v>66</v>
      </c>
      <c r="K893" s="8">
        <f>tblInventory[[#This Row],[Reorder_Quantity]]*M893</f>
        <v>1188</v>
      </c>
      <c r="L893" s="10">
        <f>tblInventory[[#This Row],[Stock_Quantity]] / tblInventory[[#This Row],[Reorder_Quantity]]</f>
        <v>1.3181818181818181</v>
      </c>
      <c r="M893" s="3">
        <v>18</v>
      </c>
      <c r="N893" s="10">
        <f t="shared" si="26"/>
        <v>1.4770797962648556</v>
      </c>
      <c r="O893" s="1" t="s">
        <v>586</v>
      </c>
      <c r="P893" s="1" t="s">
        <v>456</v>
      </c>
      <c r="Q893" s="2">
        <v>46423</v>
      </c>
      <c r="R893" s="1" t="s">
        <v>3583</v>
      </c>
      <c r="S893" s="1">
        <v>22</v>
      </c>
      <c r="T893" s="1">
        <v>34</v>
      </c>
      <c r="U893" s="1" t="s">
        <v>46</v>
      </c>
      <c r="V893" s="3">
        <f>tblInventory[[#This Row],[Stock_Quantity]]*tblInventory[[#This Row],[Unit_Price]]</f>
        <v>1566</v>
      </c>
      <c r="W893" s="1" t="str">
        <f>IF(tblInventory[[#This Row],[Status]]="Discontinued","INACTIVE",
IF(tblInventory[[#This Row],[Stock_Quantity]] &lt; tblInventory[[#This Row],[Reorder_Level]],"REORDER","OK"))</f>
        <v>OK</v>
      </c>
      <c r="X893" s="1" t="str">
        <f t="shared" ca="1" si="27"/>
        <v>Valid</v>
      </c>
    </row>
    <row r="894" spans="1:24">
      <c r="A894" s="1">
        <v>893</v>
      </c>
      <c r="B894" s="1" t="s">
        <v>1643</v>
      </c>
      <c r="C894" s="1" t="s">
        <v>1644</v>
      </c>
      <c r="D894" s="1" t="s">
        <v>100</v>
      </c>
      <c r="E894" s="1" t="s">
        <v>1645</v>
      </c>
      <c r="F894" s="1" t="s">
        <v>1646</v>
      </c>
      <c r="G894" s="6">
        <v>80</v>
      </c>
      <c r="H894" s="8">
        <f>tblInventory[[#This Row],[Stock_Quantity]] * tblInventory[[#This Row],[Unit_Price]]</f>
        <v>440</v>
      </c>
      <c r="I894" s="1">
        <v>61</v>
      </c>
      <c r="J894" s="1">
        <v>23</v>
      </c>
      <c r="K894" s="8">
        <f>tblInventory[[#This Row],[Reorder_Quantity]]*M894</f>
        <v>126.5</v>
      </c>
      <c r="L894" s="10">
        <f>tblInventory[[#This Row],[Stock_Quantity]] / tblInventory[[#This Row],[Reorder_Quantity]]</f>
        <v>3.4782608695652173</v>
      </c>
      <c r="M894" s="3">
        <v>5.5</v>
      </c>
      <c r="N894" s="10">
        <f t="shared" si="26"/>
        <v>1.3582342954159592</v>
      </c>
      <c r="O894" s="1" t="s">
        <v>812</v>
      </c>
      <c r="P894" s="1" t="s">
        <v>577</v>
      </c>
      <c r="Q894" s="2">
        <v>45878</v>
      </c>
      <c r="R894" s="1" t="s">
        <v>1647</v>
      </c>
      <c r="S894" s="1">
        <v>63</v>
      </c>
      <c r="T894" s="1">
        <v>75</v>
      </c>
      <c r="U894" s="1" t="s">
        <v>38</v>
      </c>
      <c r="V894" s="3">
        <f>tblInventory[[#This Row],[Stock_Quantity]]*tblInventory[[#This Row],[Unit_Price]]</f>
        <v>440</v>
      </c>
      <c r="W894" s="1" t="str">
        <f>IF(tblInventory[[#This Row],[Status]]="Discontinued","INACTIVE",
IF(tblInventory[[#This Row],[Stock_Quantity]] &lt; tblInventory[[#This Row],[Reorder_Level]],"REORDER","OK"))</f>
        <v>OK</v>
      </c>
      <c r="X894" s="1" t="str">
        <f t="shared" ca="1" si="27"/>
        <v>Expired</v>
      </c>
    </row>
    <row r="895" spans="1:24">
      <c r="A895" s="1">
        <v>894</v>
      </c>
      <c r="B895" s="1" t="s">
        <v>2034</v>
      </c>
      <c r="C895" s="1" t="s">
        <v>1644</v>
      </c>
      <c r="D895" s="1" t="s">
        <v>100</v>
      </c>
      <c r="E895" s="1" t="s">
        <v>2035</v>
      </c>
      <c r="F895" s="1" t="s">
        <v>2036</v>
      </c>
      <c r="G895" s="6">
        <v>94</v>
      </c>
      <c r="H895" s="8">
        <f>tblInventory[[#This Row],[Stock_Quantity]] * tblInventory[[#This Row],[Unit_Price]]</f>
        <v>517</v>
      </c>
      <c r="I895" s="1">
        <v>34</v>
      </c>
      <c r="J895" s="1">
        <v>21</v>
      </c>
      <c r="K895" s="8">
        <f>tblInventory[[#This Row],[Reorder_Quantity]]*M895</f>
        <v>115.5</v>
      </c>
      <c r="L895" s="10">
        <f>tblInventory[[#This Row],[Stock_Quantity]] / tblInventory[[#This Row],[Reorder_Quantity]]</f>
        <v>4.4761904761904763</v>
      </c>
      <c r="M895" s="3">
        <v>5.5</v>
      </c>
      <c r="N895" s="10">
        <f t="shared" si="26"/>
        <v>1.5959252971137521</v>
      </c>
      <c r="O895" s="1" t="s">
        <v>64</v>
      </c>
      <c r="P895" s="1" t="s">
        <v>278</v>
      </c>
      <c r="Q895" s="2">
        <v>46054</v>
      </c>
      <c r="R895" s="1" t="s">
        <v>2037</v>
      </c>
      <c r="S895" s="1">
        <v>74</v>
      </c>
      <c r="T895" s="1">
        <v>70</v>
      </c>
      <c r="U895" s="1" t="s">
        <v>38</v>
      </c>
      <c r="V895" s="3">
        <f>tblInventory[[#This Row],[Stock_Quantity]]*tblInventory[[#This Row],[Unit_Price]]</f>
        <v>517</v>
      </c>
      <c r="W895" s="1" t="str">
        <f>IF(tblInventory[[#This Row],[Status]]="Discontinued","INACTIVE",
IF(tblInventory[[#This Row],[Stock_Quantity]] &lt; tblInventory[[#This Row],[Reorder_Level]],"REORDER","OK"))</f>
        <v>OK</v>
      </c>
      <c r="X895" s="1" t="str">
        <f t="shared" ca="1" si="27"/>
        <v>Valid</v>
      </c>
    </row>
    <row r="896" spans="1:24">
      <c r="A896" s="1">
        <v>895</v>
      </c>
      <c r="B896" s="1" t="s">
        <v>3469</v>
      </c>
      <c r="C896" s="1" t="s">
        <v>1644</v>
      </c>
      <c r="D896" s="1" t="s">
        <v>100</v>
      </c>
      <c r="E896" s="1" t="s">
        <v>3470</v>
      </c>
      <c r="F896" s="1" t="s">
        <v>505</v>
      </c>
      <c r="G896" s="6">
        <v>89</v>
      </c>
      <c r="H896" s="8">
        <f>tblInventory[[#This Row],[Stock_Quantity]] * tblInventory[[#This Row],[Unit_Price]]</f>
        <v>489.5</v>
      </c>
      <c r="I896" s="1">
        <v>22</v>
      </c>
      <c r="J896" s="1">
        <v>23</v>
      </c>
      <c r="K896" s="8">
        <f>tblInventory[[#This Row],[Reorder_Quantity]]*M896</f>
        <v>126.5</v>
      </c>
      <c r="L896" s="10">
        <f>tblInventory[[#This Row],[Stock_Quantity]] / tblInventory[[#This Row],[Reorder_Quantity]]</f>
        <v>3.8695652173913042</v>
      </c>
      <c r="M896" s="3">
        <v>5.5</v>
      </c>
      <c r="N896" s="10">
        <f t="shared" si="26"/>
        <v>1.5110356536502547</v>
      </c>
      <c r="O896" s="2">
        <v>45631</v>
      </c>
      <c r="P896" s="1" t="s">
        <v>1060</v>
      </c>
      <c r="Q896" s="2">
        <v>46473</v>
      </c>
      <c r="R896" s="1" t="s">
        <v>3471</v>
      </c>
      <c r="S896" s="1">
        <v>83</v>
      </c>
      <c r="T896" s="1">
        <v>25</v>
      </c>
      <c r="U896" s="1" t="s">
        <v>24</v>
      </c>
      <c r="V896" s="3">
        <f>tblInventory[[#This Row],[Stock_Quantity]]*tblInventory[[#This Row],[Unit_Price]]</f>
        <v>489.5</v>
      </c>
      <c r="W896" s="1" t="str">
        <f>IF(tblInventory[[#This Row],[Status]]="Discontinued","INACTIVE",
IF(tblInventory[[#This Row],[Stock_Quantity]] &lt; tblInventory[[#This Row],[Reorder_Level]],"REORDER","OK"))</f>
        <v>INACTIVE</v>
      </c>
      <c r="X896" s="1" t="str">
        <f t="shared" ca="1" si="27"/>
        <v>Valid</v>
      </c>
    </row>
    <row r="897" spans="1:24">
      <c r="A897" s="1">
        <v>896</v>
      </c>
      <c r="B897" s="1" t="s">
        <v>868</v>
      </c>
      <c r="C897" s="1" t="s">
        <v>869</v>
      </c>
      <c r="D897" s="1" t="s">
        <v>61</v>
      </c>
      <c r="E897" s="1" t="s">
        <v>870</v>
      </c>
      <c r="F897" s="1" t="s">
        <v>871</v>
      </c>
      <c r="G897" s="6">
        <v>57</v>
      </c>
      <c r="H897" s="8">
        <f>tblInventory[[#This Row],[Stock_Quantity]] * tblInventory[[#This Row],[Unit_Price]]</f>
        <v>114</v>
      </c>
      <c r="I897" s="1">
        <v>99</v>
      </c>
      <c r="J897" s="1">
        <v>23</v>
      </c>
      <c r="K897" s="8">
        <f>tblInventory[[#This Row],[Reorder_Quantity]]*M897</f>
        <v>46</v>
      </c>
      <c r="L897" s="10">
        <f>tblInventory[[#This Row],[Stock_Quantity]] / tblInventory[[#This Row],[Reorder_Quantity]]</f>
        <v>2.4782608695652173</v>
      </c>
      <c r="M897" s="3">
        <v>2</v>
      </c>
      <c r="N897" s="10">
        <f t="shared" si="26"/>
        <v>0.967741935483871</v>
      </c>
      <c r="O897" s="1" t="s">
        <v>872</v>
      </c>
      <c r="P897" s="1" t="s">
        <v>873</v>
      </c>
      <c r="Q897" s="2">
        <v>45710</v>
      </c>
      <c r="R897" s="1" t="s">
        <v>874</v>
      </c>
      <c r="S897" s="1">
        <v>89</v>
      </c>
      <c r="T897" s="1">
        <v>21</v>
      </c>
      <c r="U897" s="1" t="s">
        <v>38</v>
      </c>
      <c r="V897" s="3">
        <f>tblInventory[[#This Row],[Stock_Quantity]]*tblInventory[[#This Row],[Unit_Price]]</f>
        <v>114</v>
      </c>
      <c r="W897" s="1" t="str">
        <f>IF(tblInventory[[#This Row],[Status]]="Discontinued","INACTIVE",
IF(tblInventory[[#This Row],[Stock_Quantity]] &lt; tblInventory[[#This Row],[Reorder_Level]],"REORDER","OK"))</f>
        <v>REORDER</v>
      </c>
      <c r="X897" s="1" t="str">
        <f t="shared" ca="1" si="27"/>
        <v>Expired</v>
      </c>
    </row>
    <row r="898" spans="1:24">
      <c r="A898" s="1">
        <v>897</v>
      </c>
      <c r="B898" s="1" t="s">
        <v>1373</v>
      </c>
      <c r="C898" s="1" t="s">
        <v>869</v>
      </c>
      <c r="D898" s="1" t="s">
        <v>61</v>
      </c>
      <c r="E898" s="1" t="s">
        <v>1374</v>
      </c>
      <c r="F898" s="1" t="s">
        <v>1375</v>
      </c>
      <c r="G898" s="6">
        <v>70</v>
      </c>
      <c r="H898" s="8">
        <f>tblInventory[[#This Row],[Stock_Quantity]] * tblInventory[[#This Row],[Unit_Price]]</f>
        <v>140</v>
      </c>
      <c r="I898" s="1">
        <v>96</v>
      </c>
      <c r="J898" s="1">
        <v>21</v>
      </c>
      <c r="K898" s="8">
        <f>tblInventory[[#This Row],[Reorder_Quantity]]*M898</f>
        <v>42</v>
      </c>
      <c r="L898" s="10">
        <f>tblInventory[[#This Row],[Stock_Quantity]] / tblInventory[[#This Row],[Reorder_Quantity]]</f>
        <v>3.3333333333333335</v>
      </c>
      <c r="M898" s="3">
        <v>2</v>
      </c>
      <c r="N898" s="10">
        <f t="shared" ref="N898:N961" si="28">G898 / 58.9</f>
        <v>1.1884550084889645</v>
      </c>
      <c r="O898" s="1" t="s">
        <v>377</v>
      </c>
      <c r="P898" s="2">
        <v>45574</v>
      </c>
      <c r="Q898" s="2">
        <v>45834</v>
      </c>
      <c r="R898" s="1" t="s">
        <v>1376</v>
      </c>
      <c r="S898" s="1">
        <v>100</v>
      </c>
      <c r="T898" s="1">
        <v>15</v>
      </c>
      <c r="U898" s="1" t="s">
        <v>24</v>
      </c>
      <c r="V898" s="3">
        <f>tblInventory[[#This Row],[Stock_Quantity]]*tblInventory[[#This Row],[Unit_Price]]</f>
        <v>140</v>
      </c>
      <c r="W898" s="1" t="str">
        <f>IF(tblInventory[[#This Row],[Status]]="Discontinued","INACTIVE",
IF(tblInventory[[#This Row],[Stock_Quantity]] &lt; tblInventory[[#This Row],[Reorder_Level]],"REORDER","OK"))</f>
        <v>INACTIVE</v>
      </c>
      <c r="X898" s="1" t="str">
        <f t="shared" ref="X898:X961" ca="1" si="29">IF(Q898&lt;TODAY(),"Expired","Valid")</f>
        <v>Expired</v>
      </c>
    </row>
    <row r="899" spans="1:24">
      <c r="A899" s="1">
        <v>898</v>
      </c>
      <c r="B899" s="1" t="s">
        <v>1997</v>
      </c>
      <c r="C899" s="1" t="s">
        <v>869</v>
      </c>
      <c r="D899" s="1" t="s">
        <v>61</v>
      </c>
      <c r="E899" s="1" t="s">
        <v>1998</v>
      </c>
      <c r="F899" s="1" t="s">
        <v>1448</v>
      </c>
      <c r="G899" s="6">
        <v>75</v>
      </c>
      <c r="H899" s="8">
        <f>tblInventory[[#This Row],[Stock_Quantity]] * tblInventory[[#This Row],[Unit_Price]]</f>
        <v>150</v>
      </c>
      <c r="I899" s="1">
        <v>61</v>
      </c>
      <c r="J899" s="1">
        <v>19</v>
      </c>
      <c r="K899" s="8">
        <f>tblInventory[[#This Row],[Reorder_Quantity]]*M899</f>
        <v>38</v>
      </c>
      <c r="L899" s="10">
        <f>tblInventory[[#This Row],[Stock_Quantity]] / tblInventory[[#This Row],[Reorder_Quantity]]</f>
        <v>3.9473684210526314</v>
      </c>
      <c r="M899" s="3">
        <v>2</v>
      </c>
      <c r="N899" s="10">
        <f t="shared" si="28"/>
        <v>1.2733446519524618</v>
      </c>
      <c r="O899" s="1" t="s">
        <v>1436</v>
      </c>
      <c r="P899" s="1" t="s">
        <v>1597</v>
      </c>
      <c r="Q899" s="2">
        <v>46013</v>
      </c>
      <c r="R899" s="1" t="s">
        <v>1999</v>
      </c>
      <c r="S899" s="1">
        <v>79</v>
      </c>
      <c r="T899" s="1">
        <v>69</v>
      </c>
      <c r="U899" s="1" t="s">
        <v>38</v>
      </c>
      <c r="V899" s="3">
        <f>tblInventory[[#This Row],[Stock_Quantity]]*tblInventory[[#This Row],[Unit_Price]]</f>
        <v>150</v>
      </c>
      <c r="W899" s="1" t="str">
        <f>IF(tblInventory[[#This Row],[Status]]="Discontinued","INACTIVE",
IF(tblInventory[[#This Row],[Stock_Quantity]] &lt; tblInventory[[#This Row],[Reorder_Level]],"REORDER","OK"))</f>
        <v>OK</v>
      </c>
      <c r="X899" s="1" t="str">
        <f t="shared" ca="1" si="29"/>
        <v>Valid</v>
      </c>
    </row>
    <row r="900" spans="1:24">
      <c r="A900" s="1">
        <v>899</v>
      </c>
      <c r="B900" s="1" t="s">
        <v>2477</v>
      </c>
      <c r="C900" s="1" t="s">
        <v>869</v>
      </c>
      <c r="D900" s="1" t="s">
        <v>61</v>
      </c>
      <c r="E900" s="1" t="s">
        <v>2478</v>
      </c>
      <c r="F900" s="1" t="s">
        <v>1265</v>
      </c>
      <c r="G900" s="6">
        <v>18</v>
      </c>
      <c r="H900" s="8">
        <f>tblInventory[[#This Row],[Stock_Quantity]] * tblInventory[[#This Row],[Unit_Price]]</f>
        <v>36</v>
      </c>
      <c r="I900" s="1">
        <v>72</v>
      </c>
      <c r="J900" s="1">
        <v>71</v>
      </c>
      <c r="K900" s="8">
        <f>tblInventory[[#This Row],[Reorder_Quantity]]*M900</f>
        <v>142</v>
      </c>
      <c r="L900" s="10">
        <f>tblInventory[[#This Row],[Stock_Quantity]] / tblInventory[[#This Row],[Reorder_Quantity]]</f>
        <v>0.25352112676056338</v>
      </c>
      <c r="M900" s="3">
        <v>2</v>
      </c>
      <c r="N900" s="10">
        <f t="shared" si="28"/>
        <v>0.30560271646859083</v>
      </c>
      <c r="O900" s="2">
        <v>45417</v>
      </c>
      <c r="P900" s="2">
        <v>45634</v>
      </c>
      <c r="Q900" s="2">
        <v>46161</v>
      </c>
      <c r="R900" s="1" t="s">
        <v>2479</v>
      </c>
      <c r="S900" s="1">
        <v>25</v>
      </c>
      <c r="T900" s="1">
        <v>81</v>
      </c>
      <c r="U900" s="1" t="s">
        <v>46</v>
      </c>
      <c r="V900" s="3">
        <f>tblInventory[[#This Row],[Stock_Quantity]]*tblInventory[[#This Row],[Unit_Price]]</f>
        <v>36</v>
      </c>
      <c r="W900" s="1" t="str">
        <f>IF(tblInventory[[#This Row],[Status]]="Discontinued","INACTIVE",
IF(tblInventory[[#This Row],[Stock_Quantity]] &lt; tblInventory[[#This Row],[Reorder_Level]],"REORDER","OK"))</f>
        <v>REORDER</v>
      </c>
      <c r="X900" s="1" t="str">
        <f t="shared" ca="1" si="29"/>
        <v>Valid</v>
      </c>
    </row>
    <row r="901" spans="1:24">
      <c r="A901" s="1">
        <v>900</v>
      </c>
      <c r="B901" s="1" t="s">
        <v>2794</v>
      </c>
      <c r="C901" s="1" t="s">
        <v>869</v>
      </c>
      <c r="D901" s="1" t="s">
        <v>61</v>
      </c>
      <c r="E901" s="1" t="s">
        <v>2795</v>
      </c>
      <c r="F901" s="1" t="s">
        <v>1203</v>
      </c>
      <c r="G901" s="6">
        <v>23</v>
      </c>
      <c r="H901" s="8">
        <f>tblInventory[[#This Row],[Stock_Quantity]] * tblInventory[[#This Row],[Unit_Price]]</f>
        <v>46</v>
      </c>
      <c r="I901" s="1">
        <v>71</v>
      </c>
      <c r="J901" s="1">
        <v>32</v>
      </c>
      <c r="K901" s="8">
        <f>tblInventory[[#This Row],[Reorder_Quantity]]*M901</f>
        <v>64</v>
      </c>
      <c r="L901" s="10">
        <f>tblInventory[[#This Row],[Stock_Quantity]] / tblInventory[[#This Row],[Reorder_Quantity]]</f>
        <v>0.71875</v>
      </c>
      <c r="M901" s="3">
        <v>2</v>
      </c>
      <c r="N901" s="10">
        <f t="shared" si="28"/>
        <v>0.39049235993208831</v>
      </c>
      <c r="O901" s="1" t="s">
        <v>1418</v>
      </c>
      <c r="P901" s="1" t="s">
        <v>438</v>
      </c>
      <c r="Q901" s="2">
        <v>46258</v>
      </c>
      <c r="R901" s="1" t="s">
        <v>2796</v>
      </c>
      <c r="S901" s="1">
        <v>63</v>
      </c>
      <c r="T901" s="1">
        <v>23</v>
      </c>
      <c r="U901" s="1" t="s">
        <v>24</v>
      </c>
      <c r="V901" s="3">
        <f>tblInventory[[#This Row],[Stock_Quantity]]*tblInventory[[#This Row],[Unit_Price]]</f>
        <v>46</v>
      </c>
      <c r="W901" s="1" t="str">
        <f>IF(tblInventory[[#This Row],[Status]]="Discontinued","INACTIVE",
IF(tblInventory[[#This Row],[Stock_Quantity]] &lt; tblInventory[[#This Row],[Reorder_Level]],"REORDER","OK"))</f>
        <v>INACTIVE</v>
      </c>
      <c r="X901" s="1" t="str">
        <f t="shared" ca="1" si="29"/>
        <v>Valid</v>
      </c>
    </row>
    <row r="902" spans="1:24">
      <c r="A902" s="1">
        <v>901</v>
      </c>
      <c r="B902" s="1" t="s">
        <v>3014</v>
      </c>
      <c r="C902" s="1" t="s">
        <v>869</v>
      </c>
      <c r="D902" s="1" t="s">
        <v>61</v>
      </c>
      <c r="E902" s="1" t="s">
        <v>3015</v>
      </c>
      <c r="F902" s="1" t="s">
        <v>1852</v>
      </c>
      <c r="G902" s="6">
        <v>51</v>
      </c>
      <c r="H902" s="8">
        <f>tblInventory[[#This Row],[Stock_Quantity]] * tblInventory[[#This Row],[Unit_Price]]</f>
        <v>102</v>
      </c>
      <c r="I902" s="1">
        <v>87</v>
      </c>
      <c r="J902" s="1">
        <v>86</v>
      </c>
      <c r="K902" s="8">
        <f>tblInventory[[#This Row],[Reorder_Quantity]]*M902</f>
        <v>172</v>
      </c>
      <c r="L902" s="10">
        <f>tblInventory[[#This Row],[Stock_Quantity]] / tblInventory[[#This Row],[Reorder_Quantity]]</f>
        <v>0.59302325581395354</v>
      </c>
      <c r="M902" s="3">
        <v>2</v>
      </c>
      <c r="N902" s="10">
        <f t="shared" si="28"/>
        <v>0.86587436332767409</v>
      </c>
      <c r="O902" s="2">
        <v>45295</v>
      </c>
      <c r="P902" s="1" t="s">
        <v>134</v>
      </c>
      <c r="Q902" s="2">
        <v>46326</v>
      </c>
      <c r="R902" s="1" t="s">
        <v>3016</v>
      </c>
      <c r="S902" s="1">
        <v>24</v>
      </c>
      <c r="T902" s="1">
        <v>83</v>
      </c>
      <c r="U902" s="1" t="s">
        <v>38</v>
      </c>
      <c r="V902" s="3">
        <f>tblInventory[[#This Row],[Stock_Quantity]]*tblInventory[[#This Row],[Unit_Price]]</f>
        <v>102</v>
      </c>
      <c r="W902" s="1" t="str">
        <f>IF(tblInventory[[#This Row],[Status]]="Discontinued","INACTIVE",
IF(tblInventory[[#This Row],[Stock_Quantity]] &lt; tblInventory[[#This Row],[Reorder_Level]],"REORDER","OK"))</f>
        <v>REORDER</v>
      </c>
      <c r="X902" s="1" t="str">
        <f t="shared" ca="1" si="29"/>
        <v>Valid</v>
      </c>
    </row>
    <row r="903" spans="1:24">
      <c r="A903" s="1">
        <v>902</v>
      </c>
      <c r="B903" s="1" t="s">
        <v>3475</v>
      </c>
      <c r="C903" s="1" t="s">
        <v>869</v>
      </c>
      <c r="D903" s="1" t="s">
        <v>61</v>
      </c>
      <c r="E903" s="1" t="s">
        <v>3476</v>
      </c>
      <c r="F903" s="1" t="s">
        <v>471</v>
      </c>
      <c r="G903" s="6">
        <v>41</v>
      </c>
      <c r="H903" s="8">
        <f>tblInventory[[#This Row],[Stock_Quantity]] * tblInventory[[#This Row],[Unit_Price]]</f>
        <v>82</v>
      </c>
      <c r="I903" s="1">
        <v>66</v>
      </c>
      <c r="J903" s="1">
        <v>50</v>
      </c>
      <c r="K903" s="8">
        <f>tblInventory[[#This Row],[Reorder_Quantity]]*M903</f>
        <v>100</v>
      </c>
      <c r="L903" s="10">
        <f>tblInventory[[#This Row],[Stock_Quantity]] / tblInventory[[#This Row],[Reorder_Quantity]]</f>
        <v>0.82</v>
      </c>
      <c r="M903" s="3">
        <v>2</v>
      </c>
      <c r="N903" s="10">
        <f t="shared" si="28"/>
        <v>0.69609507640067914</v>
      </c>
      <c r="O903" s="1" t="s">
        <v>1532</v>
      </c>
      <c r="P903" s="1" t="s">
        <v>1327</v>
      </c>
      <c r="Q903" s="2">
        <v>46475</v>
      </c>
      <c r="R903" s="1" t="s">
        <v>3477</v>
      </c>
      <c r="S903" s="1">
        <v>55</v>
      </c>
      <c r="T903" s="1">
        <v>74</v>
      </c>
      <c r="U903" s="1" t="s">
        <v>38</v>
      </c>
      <c r="V903" s="3">
        <f>tblInventory[[#This Row],[Stock_Quantity]]*tblInventory[[#This Row],[Unit_Price]]</f>
        <v>82</v>
      </c>
      <c r="W903" s="1" t="str">
        <f>IF(tblInventory[[#This Row],[Status]]="Discontinued","INACTIVE",
IF(tblInventory[[#This Row],[Stock_Quantity]] &lt; tblInventory[[#This Row],[Reorder_Level]],"REORDER","OK"))</f>
        <v>REORDER</v>
      </c>
      <c r="X903" s="1" t="str">
        <f t="shared" ca="1" si="29"/>
        <v>Valid</v>
      </c>
    </row>
    <row r="904" spans="1:24">
      <c r="A904" s="1">
        <v>903</v>
      </c>
      <c r="B904" s="1" t="s">
        <v>945</v>
      </c>
      <c r="C904" s="1" t="s">
        <v>946</v>
      </c>
      <c r="D904" s="1" t="s">
        <v>49</v>
      </c>
      <c r="E904" s="1" t="s">
        <v>947</v>
      </c>
      <c r="F904" s="1" t="s">
        <v>948</v>
      </c>
      <c r="G904" s="6">
        <v>75</v>
      </c>
      <c r="H904" s="8">
        <f>tblInventory[[#This Row],[Stock_Quantity]] * tblInventory[[#This Row],[Unit_Price]]</f>
        <v>225</v>
      </c>
      <c r="I904" s="1">
        <v>10</v>
      </c>
      <c r="J904" s="1">
        <v>68</v>
      </c>
      <c r="K904" s="8">
        <f>tblInventory[[#This Row],[Reorder_Quantity]]*M904</f>
        <v>204</v>
      </c>
      <c r="L904" s="10">
        <f>tblInventory[[#This Row],[Stock_Quantity]] / tblInventory[[#This Row],[Reorder_Quantity]]</f>
        <v>1.1029411764705883</v>
      </c>
      <c r="M904" s="3">
        <v>3</v>
      </c>
      <c r="N904" s="10">
        <f t="shared" si="28"/>
        <v>1.2733446519524618</v>
      </c>
      <c r="O904" s="2">
        <v>45605</v>
      </c>
      <c r="P904" s="2">
        <v>45931</v>
      </c>
      <c r="Q904" s="2">
        <v>45964</v>
      </c>
      <c r="R904" s="1" t="s">
        <v>949</v>
      </c>
      <c r="S904" s="1">
        <v>90</v>
      </c>
      <c r="T904" s="1">
        <v>42</v>
      </c>
      <c r="U904" s="1" t="s">
        <v>46</v>
      </c>
      <c r="V904" s="3">
        <f>tblInventory[[#This Row],[Stock_Quantity]]*tblInventory[[#This Row],[Unit_Price]]</f>
        <v>225</v>
      </c>
      <c r="W904" s="1" t="str">
        <f>IF(tblInventory[[#This Row],[Status]]="Discontinued","INACTIVE",
IF(tblInventory[[#This Row],[Stock_Quantity]] &lt; tblInventory[[#This Row],[Reorder_Level]],"REORDER","OK"))</f>
        <v>OK</v>
      </c>
      <c r="X904" s="1" t="str">
        <f t="shared" ca="1" si="29"/>
        <v>Expired</v>
      </c>
    </row>
    <row r="905" spans="1:24">
      <c r="A905" s="1">
        <v>904</v>
      </c>
      <c r="B905" s="1" t="s">
        <v>1442</v>
      </c>
      <c r="C905" s="1" t="s">
        <v>946</v>
      </c>
      <c r="D905" s="1" t="s">
        <v>49</v>
      </c>
      <c r="E905" s="1" t="s">
        <v>1443</v>
      </c>
      <c r="F905" s="1" t="s">
        <v>581</v>
      </c>
      <c r="G905" s="6">
        <v>71</v>
      </c>
      <c r="H905" s="8">
        <f>tblInventory[[#This Row],[Stock_Quantity]] * tblInventory[[#This Row],[Unit_Price]]</f>
        <v>213</v>
      </c>
      <c r="I905" s="1">
        <v>4</v>
      </c>
      <c r="J905" s="1">
        <v>37</v>
      </c>
      <c r="K905" s="8">
        <f>tblInventory[[#This Row],[Reorder_Quantity]]*M905</f>
        <v>111</v>
      </c>
      <c r="L905" s="10">
        <f>tblInventory[[#This Row],[Stock_Quantity]] / tblInventory[[#This Row],[Reorder_Quantity]]</f>
        <v>1.9189189189189189</v>
      </c>
      <c r="M905" s="3">
        <v>3</v>
      </c>
      <c r="N905" s="10">
        <f t="shared" si="28"/>
        <v>1.2054329371816639</v>
      </c>
      <c r="O905" s="1" t="s">
        <v>408</v>
      </c>
      <c r="P905" s="1" t="s">
        <v>394</v>
      </c>
      <c r="Q905" s="2">
        <v>45851</v>
      </c>
      <c r="R905" s="1" t="s">
        <v>1445</v>
      </c>
      <c r="S905" s="1">
        <v>81</v>
      </c>
      <c r="T905" s="1">
        <v>25</v>
      </c>
      <c r="U905" s="1" t="s">
        <v>24</v>
      </c>
      <c r="V905" s="3">
        <f>tblInventory[[#This Row],[Stock_Quantity]]*tblInventory[[#This Row],[Unit_Price]]</f>
        <v>213</v>
      </c>
      <c r="W905" s="1" t="str">
        <f>IF(tblInventory[[#This Row],[Status]]="Discontinued","INACTIVE",
IF(tblInventory[[#This Row],[Stock_Quantity]] &lt; tblInventory[[#This Row],[Reorder_Level]],"REORDER","OK"))</f>
        <v>INACTIVE</v>
      </c>
      <c r="X905" s="1" t="str">
        <f t="shared" ca="1" si="29"/>
        <v>Expired</v>
      </c>
    </row>
    <row r="906" spans="1:24">
      <c r="A906" s="1">
        <v>905</v>
      </c>
      <c r="B906" s="1" t="s">
        <v>1850</v>
      </c>
      <c r="C906" s="1" t="s">
        <v>946</v>
      </c>
      <c r="D906" s="1" t="s">
        <v>49</v>
      </c>
      <c r="E906" s="1" t="s">
        <v>1851</v>
      </c>
      <c r="F906" s="1" t="s">
        <v>1852</v>
      </c>
      <c r="G906" s="6">
        <v>23</v>
      </c>
      <c r="H906" s="8">
        <f>tblInventory[[#This Row],[Stock_Quantity]] * tblInventory[[#This Row],[Unit_Price]]</f>
        <v>69</v>
      </c>
      <c r="I906" s="1">
        <v>85</v>
      </c>
      <c r="J906" s="1">
        <v>94</v>
      </c>
      <c r="K906" s="8">
        <f>tblInventory[[#This Row],[Reorder_Quantity]]*M906</f>
        <v>282</v>
      </c>
      <c r="L906" s="10">
        <f>tblInventory[[#This Row],[Stock_Quantity]] / tblInventory[[#This Row],[Reorder_Quantity]]</f>
        <v>0.24468085106382978</v>
      </c>
      <c r="M906" s="3">
        <v>3</v>
      </c>
      <c r="N906" s="10">
        <f t="shared" si="28"/>
        <v>0.39049235993208831</v>
      </c>
      <c r="O906" s="2">
        <v>45636</v>
      </c>
      <c r="P906" s="1" t="s">
        <v>253</v>
      </c>
      <c r="Q906" s="2">
        <v>45849</v>
      </c>
      <c r="R906" s="1" t="s">
        <v>1853</v>
      </c>
      <c r="S906" s="1">
        <v>92</v>
      </c>
      <c r="T906" s="1">
        <v>72</v>
      </c>
      <c r="U906" s="1" t="s">
        <v>38</v>
      </c>
      <c r="V906" s="3">
        <f>tblInventory[[#This Row],[Stock_Quantity]]*tblInventory[[#This Row],[Unit_Price]]</f>
        <v>69</v>
      </c>
      <c r="W906" s="1" t="str">
        <f>IF(tblInventory[[#This Row],[Status]]="Discontinued","INACTIVE",
IF(tblInventory[[#This Row],[Stock_Quantity]] &lt; tblInventory[[#This Row],[Reorder_Level]],"REORDER","OK"))</f>
        <v>REORDER</v>
      </c>
      <c r="X906" s="1" t="str">
        <f t="shared" ca="1" si="29"/>
        <v>Expired</v>
      </c>
    </row>
    <row r="907" spans="1:24">
      <c r="A907" s="1">
        <v>906</v>
      </c>
      <c r="B907" s="1" t="s">
        <v>1974</v>
      </c>
      <c r="C907" s="1" t="s">
        <v>946</v>
      </c>
      <c r="D907" s="1" t="s">
        <v>49</v>
      </c>
      <c r="E907" s="1" t="s">
        <v>1975</v>
      </c>
      <c r="F907" s="1" t="s">
        <v>1976</v>
      </c>
      <c r="G907" s="6">
        <v>51</v>
      </c>
      <c r="H907" s="8">
        <f>tblInventory[[#This Row],[Stock_Quantity]] * tblInventory[[#This Row],[Unit_Price]]</f>
        <v>153</v>
      </c>
      <c r="I907" s="1">
        <v>72</v>
      </c>
      <c r="J907" s="1">
        <v>85</v>
      </c>
      <c r="K907" s="8">
        <f>tblInventory[[#This Row],[Reorder_Quantity]]*M907</f>
        <v>255</v>
      </c>
      <c r="L907" s="10">
        <f>tblInventory[[#This Row],[Stock_Quantity]] / tblInventory[[#This Row],[Reorder_Quantity]]</f>
        <v>0.6</v>
      </c>
      <c r="M907" s="3">
        <v>3</v>
      </c>
      <c r="N907" s="10">
        <f t="shared" si="28"/>
        <v>0.86587436332767409</v>
      </c>
      <c r="O907" s="1" t="s">
        <v>1564</v>
      </c>
      <c r="P907" s="1" t="s">
        <v>1418</v>
      </c>
      <c r="Q907" s="2">
        <v>46006</v>
      </c>
      <c r="R907" s="1" t="s">
        <v>1977</v>
      </c>
      <c r="S907" s="1">
        <v>23</v>
      </c>
      <c r="T907" s="1">
        <v>17</v>
      </c>
      <c r="U907" s="1" t="s">
        <v>46</v>
      </c>
      <c r="V907" s="3">
        <f>tblInventory[[#This Row],[Stock_Quantity]]*tblInventory[[#This Row],[Unit_Price]]</f>
        <v>153</v>
      </c>
      <c r="W907" s="1" t="str">
        <f>IF(tblInventory[[#This Row],[Status]]="Discontinued","INACTIVE",
IF(tblInventory[[#This Row],[Stock_Quantity]] &lt; tblInventory[[#This Row],[Reorder_Level]],"REORDER","OK"))</f>
        <v>REORDER</v>
      </c>
      <c r="X907" s="1" t="str">
        <f t="shared" ca="1" si="29"/>
        <v>Valid</v>
      </c>
    </row>
    <row r="908" spans="1:24">
      <c r="A908" s="1">
        <v>907</v>
      </c>
      <c r="B908" s="1" t="s">
        <v>2062</v>
      </c>
      <c r="C908" s="1" t="s">
        <v>946</v>
      </c>
      <c r="D908" s="1" t="s">
        <v>49</v>
      </c>
      <c r="E908" s="1" t="s">
        <v>2063</v>
      </c>
      <c r="F908" s="1" t="s">
        <v>1517</v>
      </c>
      <c r="G908" s="6">
        <v>27</v>
      </c>
      <c r="H908" s="8">
        <f>tblInventory[[#This Row],[Stock_Quantity]] * tblInventory[[#This Row],[Unit_Price]]</f>
        <v>81</v>
      </c>
      <c r="I908" s="1">
        <v>64</v>
      </c>
      <c r="J908" s="1">
        <v>43</v>
      </c>
      <c r="K908" s="8">
        <f>tblInventory[[#This Row],[Reorder_Quantity]]*M908</f>
        <v>129</v>
      </c>
      <c r="L908" s="10">
        <f>tblInventory[[#This Row],[Stock_Quantity]] / tblInventory[[#This Row],[Reorder_Quantity]]</f>
        <v>0.62790697674418605</v>
      </c>
      <c r="M908" s="3">
        <v>3</v>
      </c>
      <c r="N908" s="10">
        <f t="shared" si="28"/>
        <v>0.45840407470288624</v>
      </c>
      <c r="O908" s="1" t="s">
        <v>83</v>
      </c>
      <c r="P908" s="1" t="s">
        <v>1111</v>
      </c>
      <c r="Q908" s="2">
        <v>46327</v>
      </c>
      <c r="R908" s="1" t="s">
        <v>2064</v>
      </c>
      <c r="S908" s="1">
        <v>70</v>
      </c>
      <c r="T908" s="1">
        <v>58</v>
      </c>
      <c r="U908" s="1" t="s">
        <v>24</v>
      </c>
      <c r="V908" s="3">
        <f>tblInventory[[#This Row],[Stock_Quantity]]*tblInventory[[#This Row],[Unit_Price]]</f>
        <v>81</v>
      </c>
      <c r="W908" s="1" t="str">
        <f>IF(tblInventory[[#This Row],[Status]]="Discontinued","INACTIVE",
IF(tblInventory[[#This Row],[Stock_Quantity]] &lt; tblInventory[[#This Row],[Reorder_Level]],"REORDER","OK"))</f>
        <v>INACTIVE</v>
      </c>
      <c r="X908" s="1" t="str">
        <f t="shared" ca="1" si="29"/>
        <v>Valid</v>
      </c>
    </row>
    <row r="909" spans="1:24">
      <c r="A909" s="1">
        <v>908</v>
      </c>
      <c r="B909" s="1" t="s">
        <v>2107</v>
      </c>
      <c r="C909" s="1" t="s">
        <v>946</v>
      </c>
      <c r="D909" s="1" t="s">
        <v>49</v>
      </c>
      <c r="E909" s="1" t="s">
        <v>2108</v>
      </c>
      <c r="F909" s="1" t="s">
        <v>755</v>
      </c>
      <c r="G909" s="6">
        <v>53</v>
      </c>
      <c r="H909" s="8">
        <f>tblInventory[[#This Row],[Stock_Quantity]] * tblInventory[[#This Row],[Unit_Price]]</f>
        <v>159</v>
      </c>
      <c r="I909" s="1">
        <v>41</v>
      </c>
      <c r="J909" s="1">
        <v>30</v>
      </c>
      <c r="K909" s="8">
        <f>tblInventory[[#This Row],[Reorder_Quantity]]*M909</f>
        <v>90</v>
      </c>
      <c r="L909" s="10">
        <f>tblInventory[[#This Row],[Stock_Quantity]] / tblInventory[[#This Row],[Reorder_Quantity]]</f>
        <v>1.7666666666666666</v>
      </c>
      <c r="M909" s="3">
        <v>3</v>
      </c>
      <c r="N909" s="10">
        <f t="shared" si="28"/>
        <v>0.89983022071307306</v>
      </c>
      <c r="O909" s="1" t="s">
        <v>466</v>
      </c>
      <c r="P909" s="1" t="s">
        <v>178</v>
      </c>
      <c r="Q909" s="2">
        <v>46047</v>
      </c>
      <c r="R909" s="1" t="s">
        <v>2109</v>
      </c>
      <c r="S909" s="1">
        <v>24</v>
      </c>
      <c r="T909" s="1">
        <v>77</v>
      </c>
      <c r="U909" s="1" t="s">
        <v>24</v>
      </c>
      <c r="V909" s="3">
        <f>tblInventory[[#This Row],[Stock_Quantity]]*tblInventory[[#This Row],[Unit_Price]]</f>
        <v>159</v>
      </c>
      <c r="W909" s="1" t="str">
        <f>IF(tblInventory[[#This Row],[Status]]="Discontinued","INACTIVE",
IF(tblInventory[[#This Row],[Stock_Quantity]] &lt; tblInventory[[#This Row],[Reorder_Level]],"REORDER","OK"))</f>
        <v>INACTIVE</v>
      </c>
      <c r="X909" s="1" t="str">
        <f t="shared" ca="1" si="29"/>
        <v>Valid</v>
      </c>
    </row>
    <row r="910" spans="1:24">
      <c r="A910" s="1">
        <v>909</v>
      </c>
      <c r="B910" s="1" t="s">
        <v>2385</v>
      </c>
      <c r="C910" s="1" t="s">
        <v>946</v>
      </c>
      <c r="D910" s="1" t="s">
        <v>49</v>
      </c>
      <c r="E910" s="1" t="s">
        <v>2386</v>
      </c>
      <c r="F910" s="1" t="s">
        <v>2387</v>
      </c>
      <c r="G910" s="6">
        <v>90</v>
      </c>
      <c r="H910" s="8">
        <f>tblInventory[[#This Row],[Stock_Quantity]] * tblInventory[[#This Row],[Unit_Price]]</f>
        <v>270</v>
      </c>
      <c r="I910" s="1">
        <v>17</v>
      </c>
      <c r="J910" s="1">
        <v>17</v>
      </c>
      <c r="K910" s="8">
        <f>tblInventory[[#This Row],[Reorder_Quantity]]*M910</f>
        <v>51</v>
      </c>
      <c r="L910" s="10">
        <f>tblInventory[[#This Row],[Stock_Quantity]] / tblInventory[[#This Row],[Reorder_Quantity]]</f>
        <v>5.2941176470588234</v>
      </c>
      <c r="M910" s="3">
        <v>3</v>
      </c>
      <c r="N910" s="10">
        <f t="shared" si="28"/>
        <v>1.5280135823429541</v>
      </c>
      <c r="O910" s="1" t="s">
        <v>1075</v>
      </c>
      <c r="P910" s="2">
        <v>45360</v>
      </c>
      <c r="Q910" s="2">
        <v>46133</v>
      </c>
      <c r="R910" s="1" t="s">
        <v>2388</v>
      </c>
      <c r="S910" s="1">
        <v>82</v>
      </c>
      <c r="T910" s="1">
        <v>84</v>
      </c>
      <c r="U910" s="1" t="s">
        <v>38</v>
      </c>
      <c r="V910" s="3">
        <f>tblInventory[[#This Row],[Stock_Quantity]]*tblInventory[[#This Row],[Unit_Price]]</f>
        <v>270</v>
      </c>
      <c r="W910" s="1" t="str">
        <f>IF(tblInventory[[#This Row],[Status]]="Discontinued","INACTIVE",
IF(tblInventory[[#This Row],[Stock_Quantity]] &lt; tblInventory[[#This Row],[Reorder_Level]],"REORDER","OK"))</f>
        <v>OK</v>
      </c>
      <c r="X910" s="1" t="str">
        <f t="shared" ca="1" si="29"/>
        <v>Valid</v>
      </c>
    </row>
    <row r="911" spans="1:24">
      <c r="A911" s="1">
        <v>910</v>
      </c>
      <c r="B911" s="1" t="s">
        <v>2714</v>
      </c>
      <c r="C911" s="1" t="s">
        <v>946</v>
      </c>
      <c r="D911" s="1" t="s">
        <v>49</v>
      </c>
      <c r="E911" s="1" t="s">
        <v>2715</v>
      </c>
      <c r="F911" s="1" t="s">
        <v>56</v>
      </c>
      <c r="G911" s="6">
        <v>13</v>
      </c>
      <c r="H911" s="8">
        <f>tblInventory[[#This Row],[Stock_Quantity]] * tblInventory[[#This Row],[Unit_Price]]</f>
        <v>39</v>
      </c>
      <c r="I911" s="1">
        <v>88</v>
      </c>
      <c r="J911" s="1">
        <v>11</v>
      </c>
      <c r="K911" s="8">
        <f>tblInventory[[#This Row],[Reorder_Quantity]]*M911</f>
        <v>33</v>
      </c>
      <c r="L911" s="10">
        <f>tblInventory[[#This Row],[Stock_Quantity]] / tblInventory[[#This Row],[Reorder_Quantity]]</f>
        <v>1.1818181818181819</v>
      </c>
      <c r="M911" s="3">
        <v>3</v>
      </c>
      <c r="N911" s="10">
        <f t="shared" si="28"/>
        <v>0.22071307300509338</v>
      </c>
      <c r="O911" s="1" t="s">
        <v>212</v>
      </c>
      <c r="P911" s="2">
        <v>45417</v>
      </c>
      <c r="Q911" s="2">
        <v>46234</v>
      </c>
      <c r="R911" s="1" t="s">
        <v>2716</v>
      </c>
      <c r="S911" s="1">
        <v>100</v>
      </c>
      <c r="T911" s="1">
        <v>52</v>
      </c>
      <c r="U911" s="1" t="s">
        <v>38</v>
      </c>
      <c r="V911" s="3">
        <f>tblInventory[[#This Row],[Stock_Quantity]]*tblInventory[[#This Row],[Unit_Price]]</f>
        <v>39</v>
      </c>
      <c r="W911" s="1" t="str">
        <f>IF(tblInventory[[#This Row],[Status]]="Discontinued","INACTIVE",
IF(tblInventory[[#This Row],[Stock_Quantity]] &lt; tblInventory[[#This Row],[Reorder_Level]],"REORDER","OK"))</f>
        <v>REORDER</v>
      </c>
      <c r="X911" s="1" t="str">
        <f t="shared" ca="1" si="29"/>
        <v>Valid</v>
      </c>
    </row>
    <row r="912" spans="1:24">
      <c r="A912" s="1">
        <v>911</v>
      </c>
      <c r="B912" s="1" t="s">
        <v>2943</v>
      </c>
      <c r="C912" s="1" t="s">
        <v>946</v>
      </c>
      <c r="D912" s="1" t="s">
        <v>49</v>
      </c>
      <c r="E912" s="1" t="s">
        <v>2944</v>
      </c>
      <c r="F912" s="1" t="s">
        <v>970</v>
      </c>
      <c r="G912" s="6">
        <v>58</v>
      </c>
      <c r="H912" s="8">
        <f>tblInventory[[#This Row],[Stock_Quantity]] * tblInventory[[#This Row],[Unit_Price]]</f>
        <v>174</v>
      </c>
      <c r="I912" s="1">
        <v>12</v>
      </c>
      <c r="J912" s="1">
        <v>99</v>
      </c>
      <c r="K912" s="8">
        <f>tblInventory[[#This Row],[Reorder_Quantity]]*M912</f>
        <v>297</v>
      </c>
      <c r="L912" s="10">
        <f>tblInventory[[#This Row],[Stock_Quantity]] / tblInventory[[#This Row],[Reorder_Quantity]]</f>
        <v>0.58585858585858586</v>
      </c>
      <c r="M912" s="3">
        <v>3</v>
      </c>
      <c r="N912" s="10">
        <f t="shared" si="28"/>
        <v>0.98471986417657054</v>
      </c>
      <c r="O912" s="1" t="s">
        <v>1056</v>
      </c>
      <c r="P912" s="2">
        <v>45992</v>
      </c>
      <c r="Q912" s="2">
        <v>46244</v>
      </c>
      <c r="R912" s="1" t="s">
        <v>2945</v>
      </c>
      <c r="S912" s="1">
        <v>71</v>
      </c>
      <c r="T912" s="1">
        <v>30</v>
      </c>
      <c r="U912" s="1" t="s">
        <v>46</v>
      </c>
      <c r="V912" s="3">
        <f>tblInventory[[#This Row],[Stock_Quantity]]*tblInventory[[#This Row],[Unit_Price]]</f>
        <v>174</v>
      </c>
      <c r="W912" s="1" t="str">
        <f>IF(tblInventory[[#This Row],[Status]]="Discontinued","INACTIVE",
IF(tblInventory[[#This Row],[Stock_Quantity]] &lt; tblInventory[[#This Row],[Reorder_Level]],"REORDER","OK"))</f>
        <v>OK</v>
      </c>
      <c r="X912" s="1" t="str">
        <f t="shared" ca="1" si="29"/>
        <v>Valid</v>
      </c>
    </row>
    <row r="913" spans="1:24">
      <c r="A913" s="1">
        <v>912</v>
      </c>
      <c r="B913" s="1" t="s">
        <v>628</v>
      </c>
      <c r="C913" s="1" t="s">
        <v>629</v>
      </c>
      <c r="D913" s="1" t="s">
        <v>69</v>
      </c>
      <c r="E913" s="1" t="s">
        <v>630</v>
      </c>
      <c r="F913" s="1" t="s">
        <v>631</v>
      </c>
      <c r="G913" s="6">
        <v>29</v>
      </c>
      <c r="H913" s="8">
        <f>tblInventory[[#This Row],[Stock_Quantity]] * tblInventory[[#This Row],[Unit_Price]]</f>
        <v>116</v>
      </c>
      <c r="I913" s="1">
        <v>36</v>
      </c>
      <c r="J913" s="1">
        <v>40</v>
      </c>
      <c r="K913" s="8">
        <f>tblInventory[[#This Row],[Reorder_Quantity]]*M913</f>
        <v>160</v>
      </c>
      <c r="L913" s="10">
        <f>tblInventory[[#This Row],[Stock_Quantity]] / tblInventory[[#This Row],[Reorder_Quantity]]</f>
        <v>0.72499999999999998</v>
      </c>
      <c r="M913" s="3">
        <v>4</v>
      </c>
      <c r="N913" s="10">
        <f t="shared" si="28"/>
        <v>0.49235993208828527</v>
      </c>
      <c r="O913" s="2">
        <v>45515</v>
      </c>
      <c r="P913" s="1" t="s">
        <v>632</v>
      </c>
      <c r="Q913" s="2">
        <v>45657</v>
      </c>
      <c r="R913" s="1" t="s">
        <v>633</v>
      </c>
      <c r="S913" s="1">
        <v>60</v>
      </c>
      <c r="T913" s="1">
        <v>96</v>
      </c>
      <c r="U913" s="1" t="s">
        <v>38</v>
      </c>
      <c r="V913" s="3">
        <f>tblInventory[[#This Row],[Stock_Quantity]]*tblInventory[[#This Row],[Unit_Price]]</f>
        <v>116</v>
      </c>
      <c r="W913" s="1" t="str">
        <f>IF(tblInventory[[#This Row],[Status]]="Discontinued","INACTIVE",
IF(tblInventory[[#This Row],[Stock_Quantity]] &lt; tblInventory[[#This Row],[Reorder_Level]],"REORDER","OK"))</f>
        <v>REORDER</v>
      </c>
      <c r="X913" s="1" t="str">
        <f t="shared" ca="1" si="29"/>
        <v>Expired</v>
      </c>
    </row>
    <row r="914" spans="1:24">
      <c r="A914" s="1">
        <v>913</v>
      </c>
      <c r="B914" s="1" t="s">
        <v>875</v>
      </c>
      <c r="C914" s="1" t="s">
        <v>629</v>
      </c>
      <c r="D914" s="1" t="s">
        <v>69</v>
      </c>
      <c r="E914" s="1" t="s">
        <v>876</v>
      </c>
      <c r="F914" s="1" t="s">
        <v>877</v>
      </c>
      <c r="G914" s="6">
        <v>92</v>
      </c>
      <c r="H914" s="8">
        <f>tblInventory[[#This Row],[Stock_Quantity]] * tblInventory[[#This Row],[Unit_Price]]</f>
        <v>368</v>
      </c>
      <c r="I914" s="1">
        <v>99</v>
      </c>
      <c r="J914" s="1">
        <v>93</v>
      </c>
      <c r="K914" s="8">
        <f>tblInventory[[#This Row],[Reorder_Quantity]]*M914</f>
        <v>372</v>
      </c>
      <c r="L914" s="10">
        <f>tblInventory[[#This Row],[Stock_Quantity]] / tblInventory[[#This Row],[Reorder_Quantity]]</f>
        <v>0.989247311827957</v>
      </c>
      <c r="M914" s="3">
        <v>4</v>
      </c>
      <c r="N914" s="10">
        <f t="shared" si="28"/>
        <v>1.5619694397283532</v>
      </c>
      <c r="O914" s="1" t="s">
        <v>43</v>
      </c>
      <c r="P914" s="1" t="s">
        <v>824</v>
      </c>
      <c r="Q914" s="2">
        <v>45711</v>
      </c>
      <c r="R914" s="1" t="s">
        <v>878</v>
      </c>
      <c r="S914" s="1">
        <v>43</v>
      </c>
      <c r="T914" s="1">
        <v>90</v>
      </c>
      <c r="U914" s="1" t="s">
        <v>24</v>
      </c>
      <c r="V914" s="3">
        <f>tblInventory[[#This Row],[Stock_Quantity]]*tblInventory[[#This Row],[Unit_Price]]</f>
        <v>368</v>
      </c>
      <c r="W914" s="1" t="str">
        <f>IF(tblInventory[[#This Row],[Status]]="Discontinued","INACTIVE",
IF(tblInventory[[#This Row],[Stock_Quantity]] &lt; tblInventory[[#This Row],[Reorder_Level]],"REORDER","OK"))</f>
        <v>INACTIVE</v>
      </c>
      <c r="X914" s="1" t="str">
        <f t="shared" ca="1" si="29"/>
        <v>Expired</v>
      </c>
    </row>
    <row r="915" spans="1:24">
      <c r="A915" s="1">
        <v>914</v>
      </c>
      <c r="B915" s="1" t="s">
        <v>1660</v>
      </c>
      <c r="C915" s="1" t="s">
        <v>629</v>
      </c>
      <c r="D915" s="1" t="s">
        <v>69</v>
      </c>
      <c r="E915" s="1" t="s">
        <v>1661</v>
      </c>
      <c r="F915" s="1" t="s">
        <v>1662</v>
      </c>
      <c r="G915" s="6">
        <v>76</v>
      </c>
      <c r="H915" s="8">
        <f>tblInventory[[#This Row],[Stock_Quantity]] * tblInventory[[#This Row],[Unit_Price]]</f>
        <v>304</v>
      </c>
      <c r="I915" s="1">
        <v>81</v>
      </c>
      <c r="J915" s="1">
        <v>85</v>
      </c>
      <c r="K915" s="8">
        <f>tblInventory[[#This Row],[Reorder_Quantity]]*M915</f>
        <v>340</v>
      </c>
      <c r="L915" s="10">
        <f>tblInventory[[#This Row],[Stock_Quantity]] / tblInventory[[#This Row],[Reorder_Quantity]]</f>
        <v>0.89411764705882357</v>
      </c>
      <c r="M915" s="3">
        <v>4</v>
      </c>
      <c r="N915" s="10">
        <f t="shared" si="28"/>
        <v>1.2903225806451613</v>
      </c>
      <c r="O915" s="2">
        <v>45385</v>
      </c>
      <c r="P915" s="2">
        <v>45577</v>
      </c>
      <c r="Q915" s="2">
        <v>46000</v>
      </c>
      <c r="R915" s="1" t="s">
        <v>1663</v>
      </c>
      <c r="S915" s="1">
        <v>65</v>
      </c>
      <c r="T915" s="1">
        <v>68</v>
      </c>
      <c r="U915" s="1" t="s">
        <v>46</v>
      </c>
      <c r="V915" s="3">
        <f>tblInventory[[#This Row],[Stock_Quantity]]*tblInventory[[#This Row],[Unit_Price]]</f>
        <v>304</v>
      </c>
      <c r="W915" s="1" t="str">
        <f>IF(tblInventory[[#This Row],[Status]]="Discontinued","INACTIVE",
IF(tblInventory[[#This Row],[Stock_Quantity]] &lt; tblInventory[[#This Row],[Reorder_Level]],"REORDER","OK"))</f>
        <v>REORDER</v>
      </c>
      <c r="X915" s="1" t="str">
        <f t="shared" ca="1" si="29"/>
        <v>Valid</v>
      </c>
    </row>
    <row r="916" spans="1:24">
      <c r="A916" s="1">
        <v>915</v>
      </c>
      <c r="B916" s="1" t="s">
        <v>1984</v>
      </c>
      <c r="C916" s="1" t="s">
        <v>629</v>
      </c>
      <c r="D916" s="1" t="s">
        <v>69</v>
      </c>
      <c r="E916" s="1" t="s">
        <v>1985</v>
      </c>
      <c r="F916" s="1" t="s">
        <v>1986</v>
      </c>
      <c r="G916" s="6">
        <v>14</v>
      </c>
      <c r="H916" s="8">
        <f>tblInventory[[#This Row],[Stock_Quantity]] * tblInventory[[#This Row],[Unit_Price]]</f>
        <v>56</v>
      </c>
      <c r="I916" s="1">
        <v>87</v>
      </c>
      <c r="J916" s="1">
        <v>8</v>
      </c>
      <c r="K916" s="8">
        <f>tblInventory[[#This Row],[Reorder_Quantity]]*M916</f>
        <v>32</v>
      </c>
      <c r="L916" s="10">
        <f>tblInventory[[#This Row],[Stock_Quantity]] / tblInventory[[#This Row],[Reorder_Quantity]]</f>
        <v>1.75</v>
      </c>
      <c r="M916" s="3">
        <v>4</v>
      </c>
      <c r="N916" s="10">
        <f t="shared" si="28"/>
        <v>0.23769100169779286</v>
      </c>
      <c r="O916" s="2">
        <v>45568</v>
      </c>
      <c r="P916" s="2">
        <v>45607</v>
      </c>
      <c r="Q916" s="2">
        <v>46009</v>
      </c>
      <c r="R916" s="1" t="s">
        <v>1987</v>
      </c>
      <c r="S916" s="1">
        <v>90</v>
      </c>
      <c r="T916" s="1">
        <v>14</v>
      </c>
      <c r="U916" s="1" t="s">
        <v>46</v>
      </c>
      <c r="V916" s="3">
        <f>tblInventory[[#This Row],[Stock_Quantity]]*tblInventory[[#This Row],[Unit_Price]]</f>
        <v>56</v>
      </c>
      <c r="W916" s="1" t="str">
        <f>IF(tblInventory[[#This Row],[Status]]="Discontinued","INACTIVE",
IF(tblInventory[[#This Row],[Stock_Quantity]] &lt; tblInventory[[#This Row],[Reorder_Level]],"REORDER","OK"))</f>
        <v>REORDER</v>
      </c>
      <c r="X916" s="1" t="str">
        <f t="shared" ca="1" si="29"/>
        <v>Valid</v>
      </c>
    </row>
    <row r="917" spans="1:24">
      <c r="A917" s="1">
        <v>916</v>
      </c>
      <c r="B917" s="1" t="s">
        <v>2213</v>
      </c>
      <c r="C917" s="1" t="s">
        <v>629</v>
      </c>
      <c r="D917" s="1" t="s">
        <v>69</v>
      </c>
      <c r="E917" s="1" t="s">
        <v>2214</v>
      </c>
      <c r="F917" s="1" t="s">
        <v>886</v>
      </c>
      <c r="G917" s="6">
        <v>98</v>
      </c>
      <c r="H917" s="8">
        <f>tblInventory[[#This Row],[Stock_Quantity]] * tblInventory[[#This Row],[Unit_Price]]</f>
        <v>401.79999999999995</v>
      </c>
      <c r="I917" s="1">
        <v>24</v>
      </c>
      <c r="J917" s="1">
        <v>4</v>
      </c>
      <c r="K917" s="8">
        <f>tblInventory[[#This Row],[Reorder_Quantity]]*M917</f>
        <v>16.399999999999999</v>
      </c>
      <c r="L917" s="10">
        <f>tblInventory[[#This Row],[Stock_Quantity]] / tblInventory[[#This Row],[Reorder_Quantity]]</f>
        <v>24.5</v>
      </c>
      <c r="M917" s="3">
        <v>4.0999999999999996</v>
      </c>
      <c r="N917" s="10">
        <f t="shared" si="28"/>
        <v>1.66383701188455</v>
      </c>
      <c r="O917" s="2">
        <v>45507</v>
      </c>
      <c r="P917" s="1" t="s">
        <v>177</v>
      </c>
      <c r="Q917" s="2">
        <v>46079</v>
      </c>
      <c r="R917" s="1" t="s">
        <v>2215</v>
      </c>
      <c r="S917" s="1">
        <v>89</v>
      </c>
      <c r="T917" s="1">
        <v>80</v>
      </c>
      <c r="U917" s="1" t="s">
        <v>46</v>
      </c>
      <c r="V917" s="3">
        <f>tblInventory[[#This Row],[Stock_Quantity]]*tblInventory[[#This Row],[Unit_Price]]</f>
        <v>401.79999999999995</v>
      </c>
      <c r="W917" s="1" t="str">
        <f>IF(tblInventory[[#This Row],[Status]]="Discontinued","INACTIVE",
IF(tblInventory[[#This Row],[Stock_Quantity]] &lt; tblInventory[[#This Row],[Reorder_Level]],"REORDER","OK"))</f>
        <v>OK</v>
      </c>
      <c r="X917" s="1" t="str">
        <f t="shared" ca="1" si="29"/>
        <v>Valid</v>
      </c>
    </row>
    <row r="918" spans="1:24">
      <c r="A918" s="1">
        <v>917</v>
      </c>
      <c r="B918" s="1" t="s">
        <v>2641</v>
      </c>
      <c r="C918" s="1" t="s">
        <v>629</v>
      </c>
      <c r="D918" s="1" t="s">
        <v>69</v>
      </c>
      <c r="E918" s="1" t="s">
        <v>2642</v>
      </c>
      <c r="F918" s="1" t="s">
        <v>1361</v>
      </c>
      <c r="G918" s="6">
        <v>55</v>
      </c>
      <c r="H918" s="8">
        <f>tblInventory[[#This Row],[Stock_Quantity]] * tblInventory[[#This Row],[Unit_Price]]</f>
        <v>220</v>
      </c>
      <c r="I918" s="1">
        <v>25</v>
      </c>
      <c r="J918" s="1">
        <v>87</v>
      </c>
      <c r="K918" s="8">
        <f>tblInventory[[#This Row],[Reorder_Quantity]]*M918</f>
        <v>348</v>
      </c>
      <c r="L918" s="10">
        <f>tblInventory[[#This Row],[Stock_Quantity]] / tblInventory[[#This Row],[Reorder_Quantity]]</f>
        <v>0.63218390804597702</v>
      </c>
      <c r="M918" s="3">
        <v>4</v>
      </c>
      <c r="N918" s="10">
        <f t="shared" si="28"/>
        <v>0.93378607809847203</v>
      </c>
      <c r="O918" s="1" t="s">
        <v>688</v>
      </c>
      <c r="P918" s="2">
        <v>45325</v>
      </c>
      <c r="Q918" s="2">
        <v>46241</v>
      </c>
      <c r="R918" s="1" t="s">
        <v>2643</v>
      </c>
      <c r="S918" s="1">
        <v>69</v>
      </c>
      <c r="T918" s="1">
        <v>48</v>
      </c>
      <c r="U918" s="1" t="s">
        <v>38</v>
      </c>
      <c r="V918" s="3">
        <f>tblInventory[[#This Row],[Stock_Quantity]]*tblInventory[[#This Row],[Unit_Price]]</f>
        <v>220</v>
      </c>
      <c r="W918" s="1" t="str">
        <f>IF(tblInventory[[#This Row],[Status]]="Discontinued","INACTIVE",
IF(tblInventory[[#This Row],[Stock_Quantity]] &lt; tblInventory[[#This Row],[Reorder_Level]],"REORDER","OK"))</f>
        <v>OK</v>
      </c>
      <c r="X918" s="1" t="str">
        <f t="shared" ca="1" si="29"/>
        <v>Valid</v>
      </c>
    </row>
    <row r="919" spans="1:24">
      <c r="A919" s="1">
        <v>918</v>
      </c>
      <c r="B919" s="1" t="s">
        <v>360</v>
      </c>
      <c r="C919" s="1" t="s">
        <v>361</v>
      </c>
      <c r="D919" s="1" t="s">
        <v>100</v>
      </c>
      <c r="E919" s="1" t="s">
        <v>362</v>
      </c>
      <c r="F919" s="1" t="s">
        <v>252</v>
      </c>
      <c r="G919" s="6">
        <v>92</v>
      </c>
      <c r="H919" s="8">
        <f>tblInventory[[#This Row],[Stock_Quantity]] * tblInventory[[#This Row],[Unit_Price]]</f>
        <v>230</v>
      </c>
      <c r="I919" s="1">
        <v>87</v>
      </c>
      <c r="J919" s="1">
        <v>84</v>
      </c>
      <c r="K919" s="8">
        <f>tblInventory[[#This Row],[Reorder_Quantity]]*M919</f>
        <v>210</v>
      </c>
      <c r="L919" s="10">
        <f>tblInventory[[#This Row],[Stock_Quantity]] / tblInventory[[#This Row],[Reorder_Quantity]]</f>
        <v>1.0952380952380953</v>
      </c>
      <c r="M919" s="3">
        <v>2.5</v>
      </c>
      <c r="N919" s="10">
        <f t="shared" si="28"/>
        <v>1.5619694397283532</v>
      </c>
      <c r="O919" s="1" t="s">
        <v>95</v>
      </c>
      <c r="P919" s="1" t="s">
        <v>116</v>
      </c>
      <c r="Q919" s="2">
        <v>45607</v>
      </c>
      <c r="R919" s="1" t="s">
        <v>364</v>
      </c>
      <c r="S919" s="1">
        <v>61</v>
      </c>
      <c r="T919" s="1">
        <v>31</v>
      </c>
      <c r="U919" s="1" t="s">
        <v>38</v>
      </c>
      <c r="V919" s="3">
        <f>tblInventory[[#This Row],[Stock_Quantity]]*tblInventory[[#This Row],[Unit_Price]]</f>
        <v>230</v>
      </c>
      <c r="W919" s="1" t="str">
        <f>IF(tblInventory[[#This Row],[Status]]="Discontinued","INACTIVE",
IF(tblInventory[[#This Row],[Stock_Quantity]] &lt; tblInventory[[#This Row],[Reorder_Level]],"REORDER","OK"))</f>
        <v>OK</v>
      </c>
      <c r="X919" s="1" t="str">
        <f t="shared" ca="1" si="29"/>
        <v>Expired</v>
      </c>
    </row>
    <row r="920" spans="1:24">
      <c r="A920" s="1">
        <v>919</v>
      </c>
      <c r="B920" s="1" t="s">
        <v>1014</v>
      </c>
      <c r="C920" s="1" t="s">
        <v>361</v>
      </c>
      <c r="D920" s="1" t="s">
        <v>100</v>
      </c>
      <c r="E920" s="1" t="s">
        <v>1015</v>
      </c>
      <c r="F920" s="1" t="s">
        <v>1016</v>
      </c>
      <c r="G920" s="6">
        <v>93</v>
      </c>
      <c r="H920" s="8">
        <f>tblInventory[[#This Row],[Stock_Quantity]] * tblInventory[[#This Row],[Unit_Price]]</f>
        <v>232.5</v>
      </c>
      <c r="I920" s="1">
        <v>76</v>
      </c>
      <c r="J920" s="1">
        <v>82</v>
      </c>
      <c r="K920" s="8">
        <f>tblInventory[[#This Row],[Reorder_Quantity]]*M920</f>
        <v>205</v>
      </c>
      <c r="L920" s="10">
        <f>tblInventory[[#This Row],[Stock_Quantity]] / tblInventory[[#This Row],[Reorder_Quantity]]</f>
        <v>1.1341463414634145</v>
      </c>
      <c r="M920" s="3">
        <v>2.5</v>
      </c>
      <c r="N920" s="10">
        <f t="shared" si="28"/>
        <v>1.5789473684210527</v>
      </c>
      <c r="O920" s="1" t="s">
        <v>873</v>
      </c>
      <c r="P920" s="1" t="s">
        <v>334</v>
      </c>
      <c r="Q920" s="2">
        <v>45743</v>
      </c>
      <c r="R920" s="1" t="s">
        <v>1017</v>
      </c>
      <c r="S920" s="1">
        <v>76</v>
      </c>
      <c r="T920" s="1">
        <v>51</v>
      </c>
      <c r="U920" s="1" t="s">
        <v>38</v>
      </c>
      <c r="V920" s="3">
        <f>tblInventory[[#This Row],[Stock_Quantity]]*tblInventory[[#This Row],[Unit_Price]]</f>
        <v>232.5</v>
      </c>
      <c r="W920" s="1" t="str">
        <f>IF(tblInventory[[#This Row],[Status]]="Discontinued","INACTIVE",
IF(tblInventory[[#This Row],[Stock_Quantity]] &lt; tblInventory[[#This Row],[Reorder_Level]],"REORDER","OK"))</f>
        <v>OK</v>
      </c>
      <c r="X920" s="1" t="str">
        <f t="shared" ca="1" si="29"/>
        <v>Expired</v>
      </c>
    </row>
    <row r="921" spans="1:24">
      <c r="A921" s="1">
        <v>920</v>
      </c>
      <c r="B921" s="1" t="s">
        <v>1117</v>
      </c>
      <c r="C921" s="1" t="s">
        <v>361</v>
      </c>
      <c r="D921" s="1" t="s">
        <v>100</v>
      </c>
      <c r="E921" s="1" t="s">
        <v>1118</v>
      </c>
      <c r="F921" s="1" t="s">
        <v>505</v>
      </c>
      <c r="G921" s="6">
        <v>56</v>
      </c>
      <c r="H921" s="8">
        <f>tblInventory[[#This Row],[Stock_Quantity]] * tblInventory[[#This Row],[Unit_Price]]</f>
        <v>140</v>
      </c>
      <c r="I921" s="1">
        <v>62</v>
      </c>
      <c r="J921" s="1">
        <v>64</v>
      </c>
      <c r="K921" s="8">
        <f>tblInventory[[#This Row],[Reorder_Quantity]]*M921</f>
        <v>160</v>
      </c>
      <c r="L921" s="10">
        <f>tblInventory[[#This Row],[Stock_Quantity]] / tblInventory[[#This Row],[Reorder_Quantity]]</f>
        <v>0.875</v>
      </c>
      <c r="M921" s="3">
        <v>2.5</v>
      </c>
      <c r="N921" s="10">
        <f t="shared" si="28"/>
        <v>0.95076400679117146</v>
      </c>
      <c r="O921" s="1" t="s">
        <v>1119</v>
      </c>
      <c r="P921" s="2">
        <v>45360</v>
      </c>
      <c r="Q921" s="2">
        <v>45769</v>
      </c>
      <c r="R921" s="1" t="s">
        <v>1121</v>
      </c>
      <c r="S921" s="1">
        <v>56</v>
      </c>
      <c r="T921" s="1">
        <v>73</v>
      </c>
      <c r="U921" s="1" t="s">
        <v>38</v>
      </c>
      <c r="V921" s="3">
        <f>tblInventory[[#This Row],[Stock_Quantity]]*tblInventory[[#This Row],[Unit_Price]]</f>
        <v>140</v>
      </c>
      <c r="W921" s="1" t="str">
        <f>IF(tblInventory[[#This Row],[Status]]="Discontinued","INACTIVE",
IF(tblInventory[[#This Row],[Stock_Quantity]] &lt; tblInventory[[#This Row],[Reorder_Level]],"REORDER","OK"))</f>
        <v>REORDER</v>
      </c>
      <c r="X921" s="1" t="str">
        <f t="shared" ca="1" si="29"/>
        <v>Expired</v>
      </c>
    </row>
    <row r="922" spans="1:24">
      <c r="A922" s="1">
        <v>921</v>
      </c>
      <c r="B922" s="1" t="s">
        <v>1534</v>
      </c>
      <c r="C922" s="1" t="s">
        <v>361</v>
      </c>
      <c r="D922" s="1" t="s">
        <v>100</v>
      </c>
      <c r="E922" s="1" t="s">
        <v>1535</v>
      </c>
      <c r="F922" s="1" t="s">
        <v>63</v>
      </c>
      <c r="G922" s="6">
        <v>30</v>
      </c>
      <c r="H922" s="8">
        <f>tblInventory[[#This Row],[Stock_Quantity]] * tblInventory[[#This Row],[Unit_Price]]</f>
        <v>75</v>
      </c>
      <c r="I922" s="1">
        <v>91</v>
      </c>
      <c r="J922" s="1">
        <v>34</v>
      </c>
      <c r="K922" s="8">
        <f>tblInventory[[#This Row],[Reorder_Quantity]]*M922</f>
        <v>85</v>
      </c>
      <c r="L922" s="10">
        <f>tblInventory[[#This Row],[Stock_Quantity]] / tblInventory[[#This Row],[Reorder_Quantity]]</f>
        <v>0.88235294117647056</v>
      </c>
      <c r="M922" s="3">
        <v>2.5</v>
      </c>
      <c r="N922" s="10">
        <f t="shared" si="28"/>
        <v>0.50933786078098475</v>
      </c>
      <c r="O922" s="2">
        <v>45603</v>
      </c>
      <c r="P922" s="1" t="s">
        <v>82</v>
      </c>
      <c r="Q922" s="2">
        <v>45846</v>
      </c>
      <c r="R922" s="1" t="s">
        <v>1536</v>
      </c>
      <c r="S922" s="1">
        <v>97</v>
      </c>
      <c r="T922" s="1">
        <v>88</v>
      </c>
      <c r="U922" s="1" t="s">
        <v>46</v>
      </c>
      <c r="V922" s="3">
        <f>tblInventory[[#This Row],[Stock_Quantity]]*tblInventory[[#This Row],[Unit_Price]]</f>
        <v>75</v>
      </c>
      <c r="W922" s="1" t="str">
        <f>IF(tblInventory[[#This Row],[Status]]="Discontinued","INACTIVE",
IF(tblInventory[[#This Row],[Stock_Quantity]] &lt; tblInventory[[#This Row],[Reorder_Level]],"REORDER","OK"))</f>
        <v>REORDER</v>
      </c>
      <c r="X922" s="1" t="str">
        <f t="shared" ca="1" si="29"/>
        <v>Expired</v>
      </c>
    </row>
    <row r="923" spans="1:24">
      <c r="A923" s="1">
        <v>922</v>
      </c>
      <c r="B923" s="1" t="s">
        <v>2248</v>
      </c>
      <c r="C923" s="1" t="s">
        <v>361</v>
      </c>
      <c r="D923" s="1" t="s">
        <v>100</v>
      </c>
      <c r="E923" s="1" t="s">
        <v>2249</v>
      </c>
      <c r="F923" s="1" t="s">
        <v>918</v>
      </c>
      <c r="G923" s="6">
        <v>78</v>
      </c>
      <c r="H923" s="8">
        <f>tblInventory[[#This Row],[Stock_Quantity]] * tblInventory[[#This Row],[Unit_Price]]</f>
        <v>195</v>
      </c>
      <c r="I923" s="1">
        <v>68</v>
      </c>
      <c r="J923" s="1">
        <v>68</v>
      </c>
      <c r="K923" s="8">
        <f>tblInventory[[#This Row],[Reorder_Quantity]]*M923</f>
        <v>170</v>
      </c>
      <c r="L923" s="10">
        <f>tblInventory[[#This Row],[Stock_Quantity]] / tblInventory[[#This Row],[Reorder_Quantity]]</f>
        <v>1.1470588235294117</v>
      </c>
      <c r="M923" s="3">
        <v>2.5</v>
      </c>
      <c r="N923" s="10">
        <f t="shared" si="28"/>
        <v>1.3242784380305603</v>
      </c>
      <c r="O923" s="2">
        <v>45635</v>
      </c>
      <c r="P923" s="2">
        <v>45415</v>
      </c>
      <c r="Q923" s="2">
        <v>46268</v>
      </c>
      <c r="R923" s="1" t="s">
        <v>2250</v>
      </c>
      <c r="S923" s="1">
        <v>89</v>
      </c>
      <c r="T923" s="1">
        <v>24</v>
      </c>
      <c r="U923" s="1" t="s">
        <v>38</v>
      </c>
      <c r="V923" s="3">
        <f>tblInventory[[#This Row],[Stock_Quantity]]*tblInventory[[#This Row],[Unit_Price]]</f>
        <v>195</v>
      </c>
      <c r="W923" s="1" t="str">
        <f>IF(tblInventory[[#This Row],[Status]]="Discontinued","INACTIVE",
IF(tblInventory[[#This Row],[Stock_Quantity]] &lt; tblInventory[[#This Row],[Reorder_Level]],"REORDER","OK"))</f>
        <v>OK</v>
      </c>
      <c r="X923" s="1" t="str">
        <f t="shared" ca="1" si="29"/>
        <v>Valid</v>
      </c>
    </row>
    <row r="924" spans="1:24">
      <c r="A924" s="1">
        <v>923</v>
      </c>
      <c r="B924" s="1" t="s">
        <v>2680</v>
      </c>
      <c r="C924" s="1" t="s">
        <v>361</v>
      </c>
      <c r="D924" s="1" t="s">
        <v>100</v>
      </c>
      <c r="E924" s="1" t="s">
        <v>2681</v>
      </c>
      <c r="F924" s="1" t="s">
        <v>138</v>
      </c>
      <c r="G924" s="6">
        <v>72</v>
      </c>
      <c r="H924" s="8">
        <f>tblInventory[[#This Row],[Stock_Quantity]] * tblInventory[[#This Row],[Unit_Price]]</f>
        <v>180</v>
      </c>
      <c r="I924" s="1">
        <v>20</v>
      </c>
      <c r="J924" s="1">
        <v>71</v>
      </c>
      <c r="K924" s="8">
        <f>tblInventory[[#This Row],[Reorder_Quantity]]*M924</f>
        <v>177.5</v>
      </c>
      <c r="L924" s="10">
        <f>tblInventory[[#This Row],[Stock_Quantity]] / tblInventory[[#This Row],[Reorder_Quantity]]</f>
        <v>1.0140845070422535</v>
      </c>
      <c r="M924" s="3">
        <v>2.5</v>
      </c>
      <c r="N924" s="10">
        <f t="shared" si="28"/>
        <v>1.2224108658743633</v>
      </c>
      <c r="O924" s="1" t="s">
        <v>21</v>
      </c>
      <c r="P924" s="1" t="s">
        <v>766</v>
      </c>
      <c r="Q924" s="2">
        <v>46223</v>
      </c>
      <c r="R924" s="1" t="s">
        <v>2682</v>
      </c>
      <c r="S924" s="1">
        <v>87</v>
      </c>
      <c r="T924" s="1">
        <v>68</v>
      </c>
      <c r="U924" s="1" t="s">
        <v>24</v>
      </c>
      <c r="V924" s="3">
        <f>tblInventory[[#This Row],[Stock_Quantity]]*tblInventory[[#This Row],[Unit_Price]]</f>
        <v>180</v>
      </c>
      <c r="W924" s="1" t="str">
        <f>IF(tblInventory[[#This Row],[Status]]="Discontinued","INACTIVE",
IF(tblInventory[[#This Row],[Stock_Quantity]] &lt; tblInventory[[#This Row],[Reorder_Level]],"REORDER","OK"))</f>
        <v>INACTIVE</v>
      </c>
      <c r="X924" s="1" t="str">
        <f t="shared" ca="1" si="29"/>
        <v>Valid</v>
      </c>
    </row>
    <row r="925" spans="1:24">
      <c r="A925" s="1">
        <v>924</v>
      </c>
      <c r="B925" s="1" t="s">
        <v>2720</v>
      </c>
      <c r="C925" s="1" t="s">
        <v>361</v>
      </c>
      <c r="D925" s="1" t="s">
        <v>100</v>
      </c>
      <c r="E925" s="1" t="s">
        <v>2721</v>
      </c>
      <c r="F925" s="1" t="s">
        <v>931</v>
      </c>
      <c r="G925" s="6">
        <v>61</v>
      </c>
      <c r="H925" s="8">
        <f>tblInventory[[#This Row],[Stock_Quantity]] * tblInventory[[#This Row],[Unit_Price]]</f>
        <v>152.5</v>
      </c>
      <c r="I925" s="1">
        <v>77</v>
      </c>
      <c r="J925" s="1">
        <v>45</v>
      </c>
      <c r="K925" s="8">
        <f>tblInventory[[#This Row],[Reorder_Quantity]]*M925</f>
        <v>112.5</v>
      </c>
      <c r="L925" s="10">
        <f>tblInventory[[#This Row],[Stock_Quantity]] / tblInventory[[#This Row],[Reorder_Quantity]]</f>
        <v>1.3555555555555556</v>
      </c>
      <c r="M925" s="3">
        <v>2.5</v>
      </c>
      <c r="N925" s="10">
        <f t="shared" si="28"/>
        <v>1.0356536502546689</v>
      </c>
      <c r="O925" s="1" t="s">
        <v>519</v>
      </c>
      <c r="P925" s="1" t="s">
        <v>434</v>
      </c>
      <c r="Q925" s="2">
        <v>46061</v>
      </c>
      <c r="R925" s="1" t="s">
        <v>2722</v>
      </c>
      <c r="S925" s="1">
        <v>51</v>
      </c>
      <c r="T925" s="1">
        <v>48</v>
      </c>
      <c r="U925" s="1" t="s">
        <v>38</v>
      </c>
      <c r="V925" s="3">
        <f>tblInventory[[#This Row],[Stock_Quantity]]*tblInventory[[#This Row],[Unit_Price]]</f>
        <v>152.5</v>
      </c>
      <c r="W925" s="1" t="str">
        <f>IF(tblInventory[[#This Row],[Status]]="Discontinued","INACTIVE",
IF(tblInventory[[#This Row],[Stock_Quantity]] &lt; tblInventory[[#This Row],[Reorder_Level]],"REORDER","OK"))</f>
        <v>REORDER</v>
      </c>
      <c r="X925" s="1" t="str">
        <f t="shared" ca="1" si="29"/>
        <v>Valid</v>
      </c>
    </row>
    <row r="926" spans="1:24">
      <c r="A926" s="1">
        <v>925</v>
      </c>
      <c r="B926" s="1" t="s">
        <v>2780</v>
      </c>
      <c r="C926" s="1" t="s">
        <v>361</v>
      </c>
      <c r="D926" s="1" t="s">
        <v>100</v>
      </c>
      <c r="E926" s="1" t="s">
        <v>2781</v>
      </c>
      <c r="F926" s="1" t="s">
        <v>1489</v>
      </c>
      <c r="G926" s="6">
        <v>62</v>
      </c>
      <c r="H926" s="8">
        <f>tblInventory[[#This Row],[Stock_Quantity]] * tblInventory[[#This Row],[Unit_Price]]</f>
        <v>155</v>
      </c>
      <c r="I926" s="1">
        <v>49</v>
      </c>
      <c r="J926" s="1">
        <v>38</v>
      </c>
      <c r="K926" s="8">
        <f>tblInventory[[#This Row],[Reorder_Quantity]]*M926</f>
        <v>95</v>
      </c>
      <c r="L926" s="10">
        <f>tblInventory[[#This Row],[Stock_Quantity]] / tblInventory[[#This Row],[Reorder_Quantity]]</f>
        <v>1.631578947368421</v>
      </c>
      <c r="M926" s="3">
        <v>2.5</v>
      </c>
      <c r="N926" s="10">
        <f t="shared" si="28"/>
        <v>1.0526315789473684</v>
      </c>
      <c r="O926" s="1" t="s">
        <v>1254</v>
      </c>
      <c r="P926" s="1" t="s">
        <v>30</v>
      </c>
      <c r="Q926" s="2">
        <v>46254</v>
      </c>
      <c r="R926" s="1" t="s">
        <v>2782</v>
      </c>
      <c r="S926" s="1">
        <v>42</v>
      </c>
      <c r="T926" s="1">
        <v>44</v>
      </c>
      <c r="U926" s="1" t="s">
        <v>24</v>
      </c>
      <c r="V926" s="3">
        <f>tblInventory[[#This Row],[Stock_Quantity]]*tblInventory[[#This Row],[Unit_Price]]</f>
        <v>155</v>
      </c>
      <c r="W926" s="1" t="str">
        <f>IF(tblInventory[[#This Row],[Status]]="Discontinued","INACTIVE",
IF(tblInventory[[#This Row],[Stock_Quantity]] &lt; tblInventory[[#This Row],[Reorder_Level]],"REORDER","OK"))</f>
        <v>INACTIVE</v>
      </c>
      <c r="X926" s="1" t="str">
        <f t="shared" ca="1" si="29"/>
        <v>Valid</v>
      </c>
    </row>
    <row r="927" spans="1:24">
      <c r="A927" s="1">
        <v>926</v>
      </c>
      <c r="B927" s="1" t="s">
        <v>3540</v>
      </c>
      <c r="C927" s="1" t="s">
        <v>361</v>
      </c>
      <c r="D927" s="1" t="s">
        <v>100</v>
      </c>
      <c r="E927" s="1" t="s">
        <v>3541</v>
      </c>
      <c r="F927" s="1" t="s">
        <v>3062</v>
      </c>
      <c r="G927" s="6">
        <v>42</v>
      </c>
      <c r="H927" s="8">
        <f>tblInventory[[#This Row],[Stock_Quantity]] * tblInventory[[#This Row],[Unit_Price]]</f>
        <v>105</v>
      </c>
      <c r="I927" s="1">
        <v>88</v>
      </c>
      <c r="J927" s="1">
        <v>95</v>
      </c>
      <c r="K927" s="8">
        <f>tblInventory[[#This Row],[Reorder_Quantity]]*M927</f>
        <v>237.5</v>
      </c>
      <c r="L927" s="10">
        <f>tblInventory[[#This Row],[Stock_Quantity]] / tblInventory[[#This Row],[Reorder_Quantity]]</f>
        <v>0.44210526315789472</v>
      </c>
      <c r="M927" s="3">
        <v>2.5</v>
      </c>
      <c r="N927" s="10">
        <f t="shared" si="28"/>
        <v>0.71307300509337868</v>
      </c>
      <c r="O927" s="1" t="s">
        <v>219</v>
      </c>
      <c r="P927" s="1" t="s">
        <v>342</v>
      </c>
      <c r="Q927" s="2">
        <v>46496</v>
      </c>
      <c r="R927" s="1" t="s">
        <v>3542</v>
      </c>
      <c r="S927" s="1">
        <v>67</v>
      </c>
      <c r="T927" s="1">
        <v>94</v>
      </c>
      <c r="U927" s="1" t="s">
        <v>38</v>
      </c>
      <c r="V927" s="3">
        <f>tblInventory[[#This Row],[Stock_Quantity]]*tblInventory[[#This Row],[Unit_Price]]</f>
        <v>105</v>
      </c>
      <c r="W927" s="1" t="str">
        <f>IF(tblInventory[[#This Row],[Status]]="Discontinued","INACTIVE",
IF(tblInventory[[#This Row],[Stock_Quantity]] &lt; tblInventory[[#This Row],[Reorder_Level]],"REORDER","OK"))</f>
        <v>REORDER</v>
      </c>
      <c r="X927" s="1" t="str">
        <f t="shared" ca="1" si="29"/>
        <v>Valid</v>
      </c>
    </row>
    <row r="928" spans="1:24">
      <c r="A928" s="1">
        <v>927</v>
      </c>
      <c r="B928" s="1" t="s">
        <v>732</v>
      </c>
      <c r="C928" s="1" t="s">
        <v>733</v>
      </c>
      <c r="D928" s="1" t="s">
        <v>17</v>
      </c>
      <c r="E928" s="1" t="s">
        <v>734</v>
      </c>
      <c r="F928" s="1" t="s">
        <v>735</v>
      </c>
      <c r="G928" s="6">
        <v>20</v>
      </c>
      <c r="H928" s="8">
        <f>tblInventory[[#This Row],[Stock_Quantity]] * tblInventory[[#This Row],[Unit_Price]]</f>
        <v>36</v>
      </c>
      <c r="I928" s="1">
        <v>20</v>
      </c>
      <c r="J928" s="1">
        <v>56</v>
      </c>
      <c r="K928" s="8">
        <f>tblInventory[[#This Row],[Reorder_Quantity]]*M928</f>
        <v>100.8</v>
      </c>
      <c r="L928" s="10">
        <f>tblInventory[[#This Row],[Stock_Quantity]] / tblInventory[[#This Row],[Reorder_Quantity]]</f>
        <v>0.35714285714285715</v>
      </c>
      <c r="M928" s="3">
        <v>1.8</v>
      </c>
      <c r="N928" s="10">
        <f t="shared" si="28"/>
        <v>0.3395585738539898</v>
      </c>
      <c r="O928" s="2">
        <v>45809</v>
      </c>
      <c r="P928" s="2">
        <v>45297</v>
      </c>
      <c r="Q928" s="2">
        <v>45680</v>
      </c>
      <c r="R928" s="1" t="s">
        <v>736</v>
      </c>
      <c r="S928" s="1">
        <v>62</v>
      </c>
      <c r="T928" s="1">
        <v>69</v>
      </c>
      <c r="U928" s="1" t="s">
        <v>38</v>
      </c>
      <c r="V928" s="3">
        <f>tblInventory[[#This Row],[Stock_Quantity]]*tblInventory[[#This Row],[Unit_Price]]</f>
        <v>36</v>
      </c>
      <c r="W928" s="1" t="str">
        <f>IF(tblInventory[[#This Row],[Status]]="Discontinued","INACTIVE",
IF(tblInventory[[#This Row],[Stock_Quantity]] &lt; tblInventory[[#This Row],[Reorder_Level]],"REORDER","OK"))</f>
        <v>OK</v>
      </c>
      <c r="X928" s="1" t="str">
        <f t="shared" ca="1" si="29"/>
        <v>Expired</v>
      </c>
    </row>
    <row r="929" spans="1:24">
      <c r="A929" s="1">
        <v>928</v>
      </c>
      <c r="B929" s="1" t="s">
        <v>2644</v>
      </c>
      <c r="C929" s="1" t="s">
        <v>733</v>
      </c>
      <c r="D929" s="1" t="s">
        <v>17</v>
      </c>
      <c r="E929" s="1" t="s">
        <v>2645</v>
      </c>
      <c r="F929" s="1" t="s">
        <v>1216</v>
      </c>
      <c r="G929" s="6">
        <v>18</v>
      </c>
      <c r="H929" s="8">
        <f>tblInventory[[#This Row],[Stock_Quantity]] * tblInventory[[#This Row],[Unit_Price]]</f>
        <v>32.4</v>
      </c>
      <c r="I929" s="1">
        <v>86</v>
      </c>
      <c r="J929" s="1">
        <v>20</v>
      </c>
      <c r="K929" s="8">
        <f>tblInventory[[#This Row],[Reorder_Quantity]]*M929</f>
        <v>36</v>
      </c>
      <c r="L929" s="10">
        <f>tblInventory[[#This Row],[Stock_Quantity]] / tblInventory[[#This Row],[Reorder_Quantity]]</f>
        <v>0.9</v>
      </c>
      <c r="M929" s="3">
        <v>1.8</v>
      </c>
      <c r="N929" s="10">
        <f t="shared" si="28"/>
        <v>0.30560271646859083</v>
      </c>
      <c r="O929" s="1" t="s">
        <v>247</v>
      </c>
      <c r="P929" s="2">
        <v>45394</v>
      </c>
      <c r="Q929" s="2">
        <v>46272</v>
      </c>
      <c r="R929" s="1" t="s">
        <v>2646</v>
      </c>
      <c r="S929" s="1">
        <v>64</v>
      </c>
      <c r="T929" s="1">
        <v>34</v>
      </c>
      <c r="U929" s="1" t="s">
        <v>24</v>
      </c>
      <c r="V929" s="3">
        <f>tblInventory[[#This Row],[Stock_Quantity]]*tblInventory[[#This Row],[Unit_Price]]</f>
        <v>32.4</v>
      </c>
      <c r="W929" s="1" t="str">
        <f>IF(tblInventory[[#This Row],[Status]]="Discontinued","INACTIVE",
IF(tblInventory[[#This Row],[Stock_Quantity]] &lt; tblInventory[[#This Row],[Reorder_Level]],"REORDER","OK"))</f>
        <v>INACTIVE</v>
      </c>
      <c r="X929" s="1" t="str">
        <f t="shared" ca="1" si="29"/>
        <v>Valid</v>
      </c>
    </row>
    <row r="930" spans="1:24">
      <c r="A930" s="1">
        <v>929</v>
      </c>
      <c r="B930" s="1" t="s">
        <v>2690</v>
      </c>
      <c r="C930" s="1" t="s">
        <v>733</v>
      </c>
      <c r="D930" s="1" t="s">
        <v>17</v>
      </c>
      <c r="E930" s="1" t="s">
        <v>2691</v>
      </c>
      <c r="F930" s="1" t="s">
        <v>1601</v>
      </c>
      <c r="G930" s="6">
        <v>54</v>
      </c>
      <c r="H930" s="8">
        <f>tblInventory[[#This Row],[Stock_Quantity]] * tblInventory[[#This Row],[Unit_Price]]</f>
        <v>97.2</v>
      </c>
      <c r="I930" s="1">
        <v>53</v>
      </c>
      <c r="J930" s="1">
        <v>33</v>
      </c>
      <c r="K930" s="8">
        <f>tblInventory[[#This Row],[Reorder_Quantity]]*M930</f>
        <v>59.4</v>
      </c>
      <c r="L930" s="10">
        <f>tblInventory[[#This Row],[Stock_Quantity]] / tblInventory[[#This Row],[Reorder_Quantity]]</f>
        <v>1.6363636363636365</v>
      </c>
      <c r="M930" s="3">
        <v>1.8</v>
      </c>
      <c r="N930" s="10">
        <f t="shared" si="28"/>
        <v>0.91680814940577249</v>
      </c>
      <c r="O930" s="2">
        <v>45477</v>
      </c>
      <c r="P930" s="1" t="s">
        <v>682</v>
      </c>
      <c r="Q930" s="2">
        <v>46226</v>
      </c>
      <c r="R930" s="1" t="s">
        <v>2692</v>
      </c>
      <c r="S930" s="1">
        <v>94</v>
      </c>
      <c r="T930" s="1">
        <v>82</v>
      </c>
      <c r="U930" s="1" t="s">
        <v>38</v>
      </c>
      <c r="V930" s="3">
        <f>tblInventory[[#This Row],[Stock_Quantity]]*tblInventory[[#This Row],[Unit_Price]]</f>
        <v>97.2</v>
      </c>
      <c r="W930" s="1" t="str">
        <f>IF(tblInventory[[#This Row],[Status]]="Discontinued","INACTIVE",
IF(tblInventory[[#This Row],[Stock_Quantity]] &lt; tblInventory[[#This Row],[Reorder_Level]],"REORDER","OK"))</f>
        <v>OK</v>
      </c>
      <c r="X930" s="1" t="str">
        <f t="shared" ca="1" si="29"/>
        <v>Valid</v>
      </c>
    </row>
    <row r="931" spans="1:24">
      <c r="A931" s="1">
        <v>930</v>
      </c>
      <c r="B931" s="1" t="s">
        <v>3423</v>
      </c>
      <c r="C931" s="1" t="s">
        <v>733</v>
      </c>
      <c r="D931" s="1" t="s">
        <v>17</v>
      </c>
      <c r="E931" s="1" t="s">
        <v>3424</v>
      </c>
      <c r="F931" s="1" t="s">
        <v>2482</v>
      </c>
      <c r="G931" s="6">
        <v>80</v>
      </c>
      <c r="H931" s="8">
        <f>tblInventory[[#This Row],[Stock_Quantity]] * tblInventory[[#This Row],[Unit_Price]]</f>
        <v>144</v>
      </c>
      <c r="I931" s="1">
        <v>86</v>
      </c>
      <c r="J931" s="1">
        <v>50</v>
      </c>
      <c r="K931" s="8">
        <f>tblInventory[[#This Row],[Reorder_Quantity]]*M931</f>
        <v>90</v>
      </c>
      <c r="L931" s="10">
        <f>tblInventory[[#This Row],[Stock_Quantity]] / tblInventory[[#This Row],[Reorder_Quantity]]</f>
        <v>1.6</v>
      </c>
      <c r="M931" s="3">
        <v>1.8</v>
      </c>
      <c r="N931" s="10">
        <f t="shared" si="28"/>
        <v>1.3582342954159592</v>
      </c>
      <c r="O931" s="2">
        <v>45417</v>
      </c>
      <c r="P931" s="1" t="s">
        <v>298</v>
      </c>
      <c r="Q931" s="2">
        <v>46724</v>
      </c>
      <c r="R931" s="1" t="s">
        <v>3425</v>
      </c>
      <c r="S931" s="1">
        <v>46</v>
      </c>
      <c r="T931" s="1">
        <v>69</v>
      </c>
      <c r="U931" s="1" t="s">
        <v>24</v>
      </c>
      <c r="V931" s="3">
        <f>tblInventory[[#This Row],[Stock_Quantity]]*tblInventory[[#This Row],[Unit_Price]]</f>
        <v>144</v>
      </c>
      <c r="W931" s="1" t="str">
        <f>IF(tblInventory[[#This Row],[Status]]="Discontinued","INACTIVE",
IF(tblInventory[[#This Row],[Stock_Quantity]] &lt; tblInventory[[#This Row],[Reorder_Level]],"REORDER","OK"))</f>
        <v>INACTIVE</v>
      </c>
      <c r="X931" s="1" t="str">
        <f t="shared" ca="1" si="29"/>
        <v>Valid</v>
      </c>
    </row>
    <row r="932" spans="1:24">
      <c r="A932" s="1">
        <v>931</v>
      </c>
      <c r="B932" s="1" t="s">
        <v>91</v>
      </c>
      <c r="C932" s="1" t="s">
        <v>92</v>
      </c>
      <c r="D932" s="1" t="s">
        <v>17</v>
      </c>
      <c r="E932" s="1" t="s">
        <v>93</v>
      </c>
      <c r="F932" s="1" t="s">
        <v>94</v>
      </c>
      <c r="G932" s="6">
        <v>91</v>
      </c>
      <c r="H932" s="8">
        <f>tblInventory[[#This Row],[Stock_Quantity]] * tblInventory[[#This Row],[Unit_Price]]</f>
        <v>182</v>
      </c>
      <c r="I932" s="1">
        <v>98</v>
      </c>
      <c r="J932" s="1">
        <v>6</v>
      </c>
      <c r="K932" s="8">
        <f>tblInventory[[#This Row],[Reorder_Quantity]]*M932</f>
        <v>12</v>
      </c>
      <c r="L932" s="10">
        <f>tblInventory[[#This Row],[Stock_Quantity]] / tblInventory[[#This Row],[Reorder_Quantity]]</f>
        <v>15.166666666666666</v>
      </c>
      <c r="M932" s="3">
        <v>2</v>
      </c>
      <c r="N932" s="10">
        <f t="shared" si="28"/>
        <v>1.5449915110356538</v>
      </c>
      <c r="O932" s="1" t="s">
        <v>95</v>
      </c>
      <c r="P932" s="2">
        <v>45608</v>
      </c>
      <c r="Q932" s="2">
        <v>45565</v>
      </c>
      <c r="R932" s="1" t="s">
        <v>97</v>
      </c>
      <c r="S932" s="1">
        <v>100</v>
      </c>
      <c r="T932" s="1">
        <v>20</v>
      </c>
      <c r="U932" s="1" t="s">
        <v>38</v>
      </c>
      <c r="V932" s="3">
        <f>tblInventory[[#This Row],[Stock_Quantity]]*tblInventory[[#This Row],[Unit_Price]]</f>
        <v>182</v>
      </c>
      <c r="W932" s="1" t="str">
        <f>IF(tblInventory[[#This Row],[Status]]="Discontinued","INACTIVE",
IF(tblInventory[[#This Row],[Stock_Quantity]] &lt; tblInventory[[#This Row],[Reorder_Level]],"REORDER","OK"))</f>
        <v>REORDER</v>
      </c>
      <c r="X932" s="1" t="str">
        <f t="shared" ca="1" si="29"/>
        <v>Expired</v>
      </c>
    </row>
    <row r="933" spans="1:24">
      <c r="A933" s="1">
        <v>932</v>
      </c>
      <c r="B933" s="1" t="s">
        <v>140</v>
      </c>
      <c r="C933" s="1" t="s">
        <v>92</v>
      </c>
      <c r="D933" s="1" t="s">
        <v>17</v>
      </c>
      <c r="E933" s="1" t="s">
        <v>141</v>
      </c>
      <c r="F933" s="1" t="s">
        <v>142</v>
      </c>
      <c r="G933" s="6">
        <v>65</v>
      </c>
      <c r="H933" s="8">
        <f>tblInventory[[#This Row],[Stock_Quantity]] * tblInventory[[#This Row],[Unit_Price]]</f>
        <v>130</v>
      </c>
      <c r="I933" s="1">
        <v>61</v>
      </c>
      <c r="J933" s="1">
        <v>82</v>
      </c>
      <c r="K933" s="8">
        <f>tblInventory[[#This Row],[Reorder_Quantity]]*M933</f>
        <v>164</v>
      </c>
      <c r="L933" s="10">
        <f>tblInventory[[#This Row],[Stock_Quantity]] / tblInventory[[#This Row],[Reorder_Quantity]]</f>
        <v>0.79268292682926833</v>
      </c>
      <c r="M933" s="3">
        <v>2</v>
      </c>
      <c r="N933" s="10">
        <f t="shared" si="28"/>
        <v>1.1035653650254669</v>
      </c>
      <c r="O933" s="1" t="s">
        <v>143</v>
      </c>
      <c r="P933" s="2">
        <v>45871</v>
      </c>
      <c r="Q933" s="2">
        <v>45514</v>
      </c>
      <c r="R933" s="1" t="s">
        <v>145</v>
      </c>
      <c r="S933" s="1">
        <v>29</v>
      </c>
      <c r="T933" s="1">
        <v>11</v>
      </c>
      <c r="U933" s="1" t="s">
        <v>38</v>
      </c>
      <c r="V933" s="3">
        <f>tblInventory[[#This Row],[Stock_Quantity]]*tblInventory[[#This Row],[Unit_Price]]</f>
        <v>130</v>
      </c>
      <c r="W933" s="1" t="str">
        <f>IF(tblInventory[[#This Row],[Status]]="Discontinued","INACTIVE",
IF(tblInventory[[#This Row],[Stock_Quantity]] &lt; tblInventory[[#This Row],[Reorder_Level]],"REORDER","OK"))</f>
        <v>OK</v>
      </c>
      <c r="X933" s="1" t="str">
        <f t="shared" ca="1" si="29"/>
        <v>Expired</v>
      </c>
    </row>
    <row r="934" spans="1:24">
      <c r="A934" s="1">
        <v>933</v>
      </c>
      <c r="B934" s="1" t="s">
        <v>532</v>
      </c>
      <c r="C934" s="1" t="s">
        <v>92</v>
      </c>
      <c r="D934" s="1" t="s">
        <v>17</v>
      </c>
      <c r="E934" s="1" t="s">
        <v>533</v>
      </c>
      <c r="F934" s="1" t="s">
        <v>534</v>
      </c>
      <c r="G934" s="6">
        <v>47</v>
      </c>
      <c r="H934" s="8">
        <f>tblInventory[[#This Row],[Stock_Quantity]] * tblInventory[[#This Row],[Unit_Price]]</f>
        <v>94</v>
      </c>
      <c r="I934" s="1">
        <v>7</v>
      </c>
      <c r="J934" s="1">
        <v>63</v>
      </c>
      <c r="K934" s="8">
        <f>tblInventory[[#This Row],[Reorder_Quantity]]*M934</f>
        <v>126</v>
      </c>
      <c r="L934" s="10">
        <f>tblInventory[[#This Row],[Stock_Quantity]] / tblInventory[[#This Row],[Reorder_Quantity]]</f>
        <v>0.74603174603174605</v>
      </c>
      <c r="M934" s="3">
        <v>2</v>
      </c>
      <c r="N934" s="10">
        <f t="shared" si="28"/>
        <v>0.79796264855687604</v>
      </c>
      <c r="O934" s="1" t="s">
        <v>535</v>
      </c>
      <c r="P934" s="1" t="s">
        <v>536</v>
      </c>
      <c r="Q934" s="2">
        <v>45639</v>
      </c>
      <c r="R934" s="1" t="s">
        <v>537</v>
      </c>
      <c r="S934" s="1">
        <v>29</v>
      </c>
      <c r="T934" s="1">
        <v>20</v>
      </c>
      <c r="U934" s="1" t="s">
        <v>38</v>
      </c>
      <c r="V934" s="3">
        <f>tblInventory[[#This Row],[Stock_Quantity]]*tblInventory[[#This Row],[Unit_Price]]</f>
        <v>94</v>
      </c>
      <c r="W934" s="1" t="str">
        <f>IF(tblInventory[[#This Row],[Status]]="Discontinued","INACTIVE",
IF(tblInventory[[#This Row],[Stock_Quantity]] &lt; tblInventory[[#This Row],[Reorder_Level]],"REORDER","OK"))</f>
        <v>OK</v>
      </c>
      <c r="X934" s="1" t="str">
        <f t="shared" ca="1" si="29"/>
        <v>Expired</v>
      </c>
    </row>
    <row r="935" spans="1:24">
      <c r="A935" s="1">
        <v>934</v>
      </c>
      <c r="B935" s="1" t="s">
        <v>1002</v>
      </c>
      <c r="C935" s="1" t="s">
        <v>92</v>
      </c>
      <c r="D935" s="1" t="s">
        <v>17</v>
      </c>
      <c r="E935" s="1" t="s">
        <v>1003</v>
      </c>
      <c r="F935" s="1" t="s">
        <v>443</v>
      </c>
      <c r="G935" s="6">
        <v>24</v>
      </c>
      <c r="H935" s="8">
        <f>tblInventory[[#This Row],[Stock_Quantity]] * tblInventory[[#This Row],[Unit_Price]]</f>
        <v>48</v>
      </c>
      <c r="I935" s="1">
        <v>69</v>
      </c>
      <c r="J935" s="1">
        <v>2</v>
      </c>
      <c r="K935" s="8">
        <f>tblInventory[[#This Row],[Reorder_Quantity]]*M935</f>
        <v>4</v>
      </c>
      <c r="L935" s="10">
        <f>tblInventory[[#This Row],[Stock_Quantity]] / tblInventory[[#This Row],[Reorder_Quantity]]</f>
        <v>12</v>
      </c>
      <c r="M935" s="3">
        <v>2</v>
      </c>
      <c r="N935" s="10">
        <f t="shared" si="28"/>
        <v>0.40747028862478779</v>
      </c>
      <c r="O935" s="2">
        <v>45422</v>
      </c>
      <c r="P935" s="1" t="s">
        <v>1004</v>
      </c>
      <c r="Q935" s="2">
        <v>45740</v>
      </c>
      <c r="R935" s="1" t="s">
        <v>1005</v>
      </c>
      <c r="S935" s="1">
        <v>20</v>
      </c>
      <c r="T935" s="1">
        <v>20</v>
      </c>
      <c r="U935" s="1" t="s">
        <v>38</v>
      </c>
      <c r="V935" s="3">
        <f>tblInventory[[#This Row],[Stock_Quantity]]*tblInventory[[#This Row],[Unit_Price]]</f>
        <v>48</v>
      </c>
      <c r="W935" s="1" t="str">
        <f>IF(tblInventory[[#This Row],[Status]]="Discontinued","INACTIVE",
IF(tblInventory[[#This Row],[Stock_Quantity]] &lt; tblInventory[[#This Row],[Reorder_Level]],"REORDER","OK"))</f>
        <v>REORDER</v>
      </c>
      <c r="X935" s="1" t="str">
        <f t="shared" ca="1" si="29"/>
        <v>Expired</v>
      </c>
    </row>
    <row r="936" spans="1:24">
      <c r="A936" s="1">
        <v>935</v>
      </c>
      <c r="B936" s="1" t="s">
        <v>1557</v>
      </c>
      <c r="C936" s="1" t="s">
        <v>92</v>
      </c>
      <c r="D936" s="1" t="s">
        <v>17</v>
      </c>
      <c r="E936" s="1" t="s">
        <v>1558</v>
      </c>
      <c r="F936" s="1" t="s">
        <v>1559</v>
      </c>
      <c r="G936" s="6">
        <v>14</v>
      </c>
      <c r="H936" s="8">
        <f>tblInventory[[#This Row],[Stock_Quantity]] * tblInventory[[#This Row],[Unit_Price]]</f>
        <v>28</v>
      </c>
      <c r="I936" s="1">
        <v>16</v>
      </c>
      <c r="J936" s="1">
        <v>93</v>
      </c>
      <c r="K936" s="8">
        <f>tblInventory[[#This Row],[Reorder_Quantity]]*M936</f>
        <v>186</v>
      </c>
      <c r="L936" s="10">
        <f>tblInventory[[#This Row],[Stock_Quantity]] / tblInventory[[#This Row],[Reorder_Quantity]]</f>
        <v>0.15053763440860216</v>
      </c>
      <c r="M936" s="3">
        <v>2</v>
      </c>
      <c r="N936" s="10">
        <f t="shared" si="28"/>
        <v>0.23769100169779286</v>
      </c>
      <c r="O936" s="1" t="s">
        <v>253</v>
      </c>
      <c r="P936" s="2">
        <v>45354</v>
      </c>
      <c r="Q936" s="2">
        <v>45883</v>
      </c>
      <c r="R936" s="1" t="s">
        <v>1560</v>
      </c>
      <c r="S936" s="1">
        <v>39</v>
      </c>
      <c r="T936" s="1">
        <v>30</v>
      </c>
      <c r="U936" s="1" t="s">
        <v>46</v>
      </c>
      <c r="V936" s="3">
        <f>tblInventory[[#This Row],[Stock_Quantity]]*tblInventory[[#This Row],[Unit_Price]]</f>
        <v>28</v>
      </c>
      <c r="W936" s="1" t="str">
        <f>IF(tblInventory[[#This Row],[Status]]="Discontinued","INACTIVE",
IF(tblInventory[[#This Row],[Stock_Quantity]] &lt; tblInventory[[#This Row],[Reorder_Level]],"REORDER","OK"))</f>
        <v>REORDER</v>
      </c>
      <c r="X936" s="1" t="str">
        <f t="shared" ca="1" si="29"/>
        <v>Expired</v>
      </c>
    </row>
    <row r="937" spans="1:24">
      <c r="A937" s="1">
        <v>936</v>
      </c>
      <c r="B937" s="1" t="s">
        <v>1918</v>
      </c>
      <c r="C937" s="1" t="s">
        <v>92</v>
      </c>
      <c r="D937" s="1" t="s">
        <v>17</v>
      </c>
      <c r="E937" s="1" t="s">
        <v>1919</v>
      </c>
      <c r="F937" s="1" t="s">
        <v>1070</v>
      </c>
      <c r="G937" s="6">
        <v>27</v>
      </c>
      <c r="H937" s="8">
        <f>tblInventory[[#This Row],[Stock_Quantity]] * tblInventory[[#This Row],[Unit_Price]]</f>
        <v>54</v>
      </c>
      <c r="I937" s="1">
        <v>64</v>
      </c>
      <c r="J937" s="1">
        <v>78</v>
      </c>
      <c r="K937" s="8">
        <f>tblInventory[[#This Row],[Reorder_Quantity]]*M937</f>
        <v>156</v>
      </c>
      <c r="L937" s="10">
        <f>tblInventory[[#This Row],[Stock_Quantity]] / tblInventory[[#This Row],[Reorder_Quantity]]</f>
        <v>0.34615384615384615</v>
      </c>
      <c r="M937" s="3">
        <v>2</v>
      </c>
      <c r="N937" s="10">
        <f t="shared" si="28"/>
        <v>0.45840407470288624</v>
      </c>
      <c r="O937" s="1" t="s">
        <v>158</v>
      </c>
      <c r="P937" s="2">
        <v>45387</v>
      </c>
      <c r="Q937" s="2">
        <v>45988</v>
      </c>
      <c r="R937" s="1" t="s">
        <v>1920</v>
      </c>
      <c r="S937" s="1">
        <v>57</v>
      </c>
      <c r="T937" s="1">
        <v>4</v>
      </c>
      <c r="U937" s="1" t="s">
        <v>46</v>
      </c>
      <c r="V937" s="3">
        <f>tblInventory[[#This Row],[Stock_Quantity]]*tblInventory[[#This Row],[Unit_Price]]</f>
        <v>54</v>
      </c>
      <c r="W937" s="1" t="str">
        <f>IF(tblInventory[[#This Row],[Status]]="Discontinued","INACTIVE",
IF(tblInventory[[#This Row],[Stock_Quantity]] &lt; tblInventory[[#This Row],[Reorder_Level]],"REORDER","OK"))</f>
        <v>REORDER</v>
      </c>
      <c r="X937" s="1" t="str">
        <f t="shared" ca="1" si="29"/>
        <v>Valid</v>
      </c>
    </row>
    <row r="938" spans="1:24">
      <c r="A938" s="1">
        <v>937</v>
      </c>
      <c r="B938" s="1" t="s">
        <v>2151</v>
      </c>
      <c r="C938" s="1" t="s">
        <v>92</v>
      </c>
      <c r="D938" s="1" t="s">
        <v>17</v>
      </c>
      <c r="E938" s="1" t="s">
        <v>2152</v>
      </c>
      <c r="F938" s="1" t="s">
        <v>2153</v>
      </c>
      <c r="G938" s="6">
        <v>13</v>
      </c>
      <c r="H938" s="8">
        <f>tblInventory[[#This Row],[Stock_Quantity]] * tblInventory[[#This Row],[Unit_Price]]</f>
        <v>26</v>
      </c>
      <c r="I938" s="1">
        <v>32</v>
      </c>
      <c r="J938" s="1">
        <v>79</v>
      </c>
      <c r="K938" s="8">
        <f>tblInventory[[#This Row],[Reorder_Quantity]]*M938</f>
        <v>158</v>
      </c>
      <c r="L938" s="10">
        <f>tblInventory[[#This Row],[Stock_Quantity]] / tblInventory[[#This Row],[Reorder_Quantity]]</f>
        <v>0.16455696202531644</v>
      </c>
      <c r="M938" s="3">
        <v>2</v>
      </c>
      <c r="N938" s="10">
        <f t="shared" si="28"/>
        <v>0.22071307300509338</v>
      </c>
      <c r="O938" s="2">
        <v>45478</v>
      </c>
      <c r="P938" s="1" t="s">
        <v>259</v>
      </c>
      <c r="Q938" s="2">
        <v>46236</v>
      </c>
      <c r="R938" s="1" t="s">
        <v>2154</v>
      </c>
      <c r="S938" s="1">
        <v>38</v>
      </c>
      <c r="T938" s="1">
        <v>61</v>
      </c>
      <c r="U938" s="1" t="s">
        <v>24</v>
      </c>
      <c r="V938" s="3">
        <f>tblInventory[[#This Row],[Stock_Quantity]]*tblInventory[[#This Row],[Unit_Price]]</f>
        <v>26</v>
      </c>
      <c r="W938" s="1" t="str">
        <f>IF(tblInventory[[#This Row],[Status]]="Discontinued","INACTIVE",
IF(tblInventory[[#This Row],[Stock_Quantity]] &lt; tblInventory[[#This Row],[Reorder_Level]],"REORDER","OK"))</f>
        <v>INACTIVE</v>
      </c>
      <c r="X938" s="1" t="str">
        <f t="shared" ca="1" si="29"/>
        <v>Valid</v>
      </c>
    </row>
    <row r="939" spans="1:24">
      <c r="A939" s="1">
        <v>938</v>
      </c>
      <c r="B939" s="1" t="s">
        <v>2763</v>
      </c>
      <c r="C939" s="1" t="s">
        <v>92</v>
      </c>
      <c r="D939" s="1" t="s">
        <v>17</v>
      </c>
      <c r="E939" s="1" t="s">
        <v>2764</v>
      </c>
      <c r="F939" s="1" t="s">
        <v>952</v>
      </c>
      <c r="G939" s="6">
        <v>42</v>
      </c>
      <c r="H939" s="8">
        <f>tblInventory[[#This Row],[Stock_Quantity]] * tblInventory[[#This Row],[Unit_Price]]</f>
        <v>84</v>
      </c>
      <c r="I939" s="1">
        <v>12</v>
      </c>
      <c r="J939" s="1">
        <v>28</v>
      </c>
      <c r="K939" s="8">
        <f>tblInventory[[#This Row],[Reorder_Quantity]]*M939</f>
        <v>56</v>
      </c>
      <c r="L939" s="10">
        <f>tblInventory[[#This Row],[Stock_Quantity]] / tblInventory[[#This Row],[Reorder_Quantity]]</f>
        <v>1.5</v>
      </c>
      <c r="M939" s="3">
        <v>2</v>
      </c>
      <c r="N939" s="10">
        <f t="shared" si="28"/>
        <v>0.71307300509337868</v>
      </c>
      <c r="O939" s="2">
        <v>45568</v>
      </c>
      <c r="P939" s="2">
        <v>45295</v>
      </c>
      <c r="Q939" s="2">
        <v>46249</v>
      </c>
      <c r="R939" s="1" t="s">
        <v>2765</v>
      </c>
      <c r="S939" s="1">
        <v>80</v>
      </c>
      <c r="T939" s="1">
        <v>8</v>
      </c>
      <c r="U939" s="1" t="s">
        <v>24</v>
      </c>
      <c r="V939" s="3">
        <f>tblInventory[[#This Row],[Stock_Quantity]]*tblInventory[[#This Row],[Unit_Price]]</f>
        <v>84</v>
      </c>
      <c r="W939" s="1" t="str">
        <f>IF(tblInventory[[#This Row],[Status]]="Discontinued","INACTIVE",
IF(tblInventory[[#This Row],[Stock_Quantity]] &lt; tblInventory[[#This Row],[Reorder_Level]],"REORDER","OK"))</f>
        <v>INACTIVE</v>
      </c>
      <c r="X939" s="1" t="str">
        <f t="shared" ca="1" si="29"/>
        <v>Valid</v>
      </c>
    </row>
    <row r="940" spans="1:24">
      <c r="A940" s="1">
        <v>939</v>
      </c>
      <c r="B940" s="1" t="s">
        <v>3117</v>
      </c>
      <c r="C940" s="1" t="s">
        <v>92</v>
      </c>
      <c r="D940" s="1" t="s">
        <v>17</v>
      </c>
      <c r="E940" s="1" t="s">
        <v>3118</v>
      </c>
      <c r="F940" s="1" t="s">
        <v>2355</v>
      </c>
      <c r="G940" s="6">
        <v>39</v>
      </c>
      <c r="H940" s="8">
        <f>tblInventory[[#This Row],[Stock_Quantity]] * tblInventory[[#This Row],[Unit_Price]]</f>
        <v>78</v>
      </c>
      <c r="I940" s="1">
        <v>83</v>
      </c>
      <c r="J940" s="1">
        <v>21</v>
      </c>
      <c r="K940" s="8">
        <f>tblInventory[[#This Row],[Reorder_Quantity]]*M940</f>
        <v>42</v>
      </c>
      <c r="L940" s="10">
        <f>tblInventory[[#This Row],[Stock_Quantity]] / tblInventory[[#This Row],[Reorder_Quantity]]</f>
        <v>1.8571428571428572</v>
      </c>
      <c r="M940" s="3">
        <v>2</v>
      </c>
      <c r="N940" s="10">
        <f t="shared" si="28"/>
        <v>0.66213921901528017</v>
      </c>
      <c r="O940" s="1" t="s">
        <v>480</v>
      </c>
      <c r="P940" s="1" t="s">
        <v>910</v>
      </c>
      <c r="Q940" s="2">
        <v>46093</v>
      </c>
      <c r="R940" s="1" t="s">
        <v>3119</v>
      </c>
      <c r="S940" s="1">
        <v>73</v>
      </c>
      <c r="T940" s="1">
        <v>88</v>
      </c>
      <c r="U940" s="1" t="s">
        <v>46</v>
      </c>
      <c r="V940" s="3">
        <f>tblInventory[[#This Row],[Stock_Quantity]]*tblInventory[[#This Row],[Unit_Price]]</f>
        <v>78</v>
      </c>
      <c r="W940" s="1" t="str">
        <f>IF(tblInventory[[#This Row],[Status]]="Discontinued","INACTIVE",
IF(tblInventory[[#This Row],[Stock_Quantity]] &lt; tblInventory[[#This Row],[Reorder_Level]],"REORDER","OK"))</f>
        <v>REORDER</v>
      </c>
      <c r="X940" s="1" t="str">
        <f t="shared" ca="1" si="29"/>
        <v>Valid</v>
      </c>
    </row>
    <row r="941" spans="1:24">
      <c r="A941" s="1">
        <v>940</v>
      </c>
      <c r="B941" s="1" t="s">
        <v>3543</v>
      </c>
      <c r="C941" s="1" t="s">
        <v>92</v>
      </c>
      <c r="D941" s="1" t="s">
        <v>17</v>
      </c>
      <c r="E941" s="1" t="s">
        <v>3544</v>
      </c>
      <c r="F941" s="1" t="s">
        <v>918</v>
      </c>
      <c r="G941" s="6">
        <v>29</v>
      </c>
      <c r="H941" s="8">
        <f>tblInventory[[#This Row],[Stock_Quantity]] * tblInventory[[#This Row],[Unit_Price]]</f>
        <v>58</v>
      </c>
      <c r="I941" s="1">
        <v>54</v>
      </c>
      <c r="J941" s="1">
        <v>54</v>
      </c>
      <c r="K941" s="8">
        <f>tblInventory[[#This Row],[Reorder_Quantity]]*M941</f>
        <v>108</v>
      </c>
      <c r="L941" s="10">
        <f>tblInventory[[#This Row],[Stock_Quantity]] / tblInventory[[#This Row],[Reorder_Quantity]]</f>
        <v>0.53703703703703709</v>
      </c>
      <c r="M941" s="3">
        <v>2</v>
      </c>
      <c r="N941" s="10">
        <f t="shared" si="28"/>
        <v>0.49235993208828527</v>
      </c>
      <c r="O941" s="1" t="s">
        <v>496</v>
      </c>
      <c r="P941" s="1" t="s">
        <v>198</v>
      </c>
      <c r="Q941" s="2">
        <v>46497</v>
      </c>
      <c r="R941" s="1" t="s">
        <v>3545</v>
      </c>
      <c r="S941" s="1">
        <v>58</v>
      </c>
      <c r="T941" s="1">
        <v>63</v>
      </c>
      <c r="U941" s="1" t="s">
        <v>38</v>
      </c>
      <c r="V941" s="3">
        <f>tblInventory[[#This Row],[Stock_Quantity]]*tblInventory[[#This Row],[Unit_Price]]</f>
        <v>58</v>
      </c>
      <c r="W941" s="1" t="str">
        <f>IF(tblInventory[[#This Row],[Status]]="Discontinued","INACTIVE",
IF(tblInventory[[#This Row],[Stock_Quantity]] &lt; tblInventory[[#This Row],[Reorder_Level]],"REORDER","OK"))</f>
        <v>REORDER</v>
      </c>
      <c r="X941" s="1" t="str">
        <f t="shared" ca="1" si="29"/>
        <v>Valid</v>
      </c>
    </row>
    <row r="942" spans="1:24">
      <c r="A942" s="1">
        <v>941</v>
      </c>
      <c r="B942" s="1" t="s">
        <v>3638</v>
      </c>
      <c r="C942" s="1" t="s">
        <v>92</v>
      </c>
      <c r="D942" s="1" t="s">
        <v>17</v>
      </c>
      <c r="E942" s="1" t="s">
        <v>3639</v>
      </c>
      <c r="F942" s="1" t="s">
        <v>2972</v>
      </c>
      <c r="G942" s="6">
        <v>38</v>
      </c>
      <c r="H942" s="8">
        <f>tblInventory[[#This Row],[Stock_Quantity]] * tblInventory[[#This Row],[Unit_Price]]</f>
        <v>76</v>
      </c>
      <c r="I942" s="1">
        <v>82</v>
      </c>
      <c r="J942" s="1">
        <v>17</v>
      </c>
      <c r="K942" s="8">
        <f>tblInventory[[#This Row],[Reorder_Quantity]]*M942</f>
        <v>34</v>
      </c>
      <c r="L942" s="10">
        <f>tblInventory[[#This Row],[Stock_Quantity]] / tblInventory[[#This Row],[Reorder_Quantity]]</f>
        <v>2.2352941176470589</v>
      </c>
      <c r="M942" s="3">
        <v>2</v>
      </c>
      <c r="N942" s="10">
        <f t="shared" si="28"/>
        <v>0.64516129032258063</v>
      </c>
      <c r="O942" s="1" t="s">
        <v>621</v>
      </c>
      <c r="P942" s="1" t="s">
        <v>519</v>
      </c>
      <c r="Q942" s="2">
        <v>46528</v>
      </c>
      <c r="R942" s="1" t="s">
        <v>3640</v>
      </c>
      <c r="S942" s="1">
        <v>52</v>
      </c>
      <c r="T942" s="1">
        <v>47</v>
      </c>
      <c r="U942" s="1" t="s">
        <v>24</v>
      </c>
      <c r="V942" s="3">
        <f>tblInventory[[#This Row],[Stock_Quantity]]*tblInventory[[#This Row],[Unit_Price]]</f>
        <v>76</v>
      </c>
      <c r="W942" s="1" t="str">
        <f>IF(tblInventory[[#This Row],[Status]]="Discontinued","INACTIVE",
IF(tblInventory[[#This Row],[Stock_Quantity]] &lt; tblInventory[[#This Row],[Reorder_Level]],"REORDER","OK"))</f>
        <v>INACTIVE</v>
      </c>
      <c r="X942" s="1" t="str">
        <f t="shared" ca="1" si="29"/>
        <v>Valid</v>
      </c>
    </row>
    <row r="943" spans="1:24">
      <c r="A943" s="1">
        <v>942</v>
      </c>
      <c r="B943" s="1" t="s">
        <v>430</v>
      </c>
      <c r="C943" s="1" t="s">
        <v>431</v>
      </c>
      <c r="D943" s="1" t="s">
        <v>27</v>
      </c>
      <c r="E943" s="1" t="s">
        <v>432</v>
      </c>
      <c r="F943" s="1" t="s">
        <v>433</v>
      </c>
      <c r="G943" s="6">
        <v>99</v>
      </c>
      <c r="H943" s="8">
        <f>tblInventory[[#This Row],[Stock_Quantity]] * tblInventory[[#This Row],[Unit_Price]]</f>
        <v>2475</v>
      </c>
      <c r="I943" s="1">
        <v>87</v>
      </c>
      <c r="J943" s="1">
        <v>10</v>
      </c>
      <c r="K943" s="8">
        <f>tblInventory[[#This Row],[Reorder_Quantity]]*M943</f>
        <v>250</v>
      </c>
      <c r="L943" s="10">
        <f>tblInventory[[#This Row],[Stock_Quantity]] / tblInventory[[#This Row],[Reorder_Quantity]]</f>
        <v>9.9</v>
      </c>
      <c r="M943" s="3">
        <v>25</v>
      </c>
      <c r="N943" s="10">
        <f t="shared" si="28"/>
        <v>1.6808149405772497</v>
      </c>
      <c r="O943" s="2">
        <v>45516</v>
      </c>
      <c r="P943" s="1" t="s">
        <v>434</v>
      </c>
      <c r="Q943" s="2">
        <v>45620</v>
      </c>
      <c r="R943" s="1" t="s">
        <v>435</v>
      </c>
      <c r="S943" s="1">
        <v>93</v>
      </c>
      <c r="T943" s="1">
        <v>70</v>
      </c>
      <c r="U943" s="1" t="s">
        <v>46</v>
      </c>
      <c r="V943" s="3">
        <f>tblInventory[[#This Row],[Stock_Quantity]]*tblInventory[[#This Row],[Unit_Price]]</f>
        <v>2475</v>
      </c>
      <c r="W943" s="1" t="str">
        <f>IF(tblInventory[[#This Row],[Status]]="Discontinued","INACTIVE",
IF(tblInventory[[#This Row],[Stock_Quantity]] &lt; tblInventory[[#This Row],[Reorder_Level]],"REORDER","OK"))</f>
        <v>OK</v>
      </c>
      <c r="X943" s="1" t="str">
        <f t="shared" ca="1" si="29"/>
        <v>Expired</v>
      </c>
    </row>
    <row r="944" spans="1:24">
      <c r="A944" s="1">
        <v>943</v>
      </c>
      <c r="B944" s="1" t="s">
        <v>1010</v>
      </c>
      <c r="C944" s="1" t="s">
        <v>431</v>
      </c>
      <c r="D944" s="1" t="s">
        <v>27</v>
      </c>
      <c r="E944" s="1" t="s">
        <v>1011</v>
      </c>
      <c r="F944" s="1" t="s">
        <v>1012</v>
      </c>
      <c r="G944" s="6">
        <v>36</v>
      </c>
      <c r="H944" s="8">
        <f>tblInventory[[#This Row],[Stock_Quantity]] * tblInventory[[#This Row],[Unit_Price]]</f>
        <v>900</v>
      </c>
      <c r="I944" s="1">
        <v>90</v>
      </c>
      <c r="J944" s="1">
        <v>57</v>
      </c>
      <c r="K944" s="8">
        <f>tblInventory[[#This Row],[Reorder_Quantity]]*M944</f>
        <v>1425</v>
      </c>
      <c r="L944" s="10">
        <f>tblInventory[[#This Row],[Stock_Quantity]] / tblInventory[[#This Row],[Reorder_Quantity]]</f>
        <v>0.63157894736842102</v>
      </c>
      <c r="M944" s="3">
        <v>25</v>
      </c>
      <c r="N944" s="10">
        <f t="shared" si="28"/>
        <v>0.61120543293718166</v>
      </c>
      <c r="O944" s="2">
        <v>45608</v>
      </c>
      <c r="P944" s="2">
        <v>45481</v>
      </c>
      <c r="Q944" s="2">
        <v>45742</v>
      </c>
      <c r="R944" s="1" t="s">
        <v>1013</v>
      </c>
      <c r="S944" s="1">
        <v>35</v>
      </c>
      <c r="T944" s="1">
        <v>68</v>
      </c>
      <c r="U944" s="1" t="s">
        <v>38</v>
      </c>
      <c r="V944" s="3">
        <f>tblInventory[[#This Row],[Stock_Quantity]]*tblInventory[[#This Row],[Unit_Price]]</f>
        <v>900</v>
      </c>
      <c r="W944" s="1" t="str">
        <f>IF(tblInventory[[#This Row],[Status]]="Discontinued","INACTIVE",
IF(tblInventory[[#This Row],[Stock_Quantity]] &lt; tblInventory[[#This Row],[Reorder_Level]],"REORDER","OK"))</f>
        <v>REORDER</v>
      </c>
      <c r="X944" s="1" t="str">
        <f t="shared" ca="1" si="29"/>
        <v>Expired</v>
      </c>
    </row>
    <row r="945" spans="1:24">
      <c r="A945" s="1">
        <v>944</v>
      </c>
      <c r="B945" s="1" t="s">
        <v>1097</v>
      </c>
      <c r="C945" s="1" t="s">
        <v>431</v>
      </c>
      <c r="D945" s="1" t="s">
        <v>27</v>
      </c>
      <c r="E945" s="1" t="s">
        <v>1098</v>
      </c>
      <c r="F945" s="1" t="s">
        <v>631</v>
      </c>
      <c r="G945" s="6">
        <v>50</v>
      </c>
      <c r="H945" s="8">
        <f>tblInventory[[#This Row],[Stock_Quantity]] * tblInventory[[#This Row],[Unit_Price]]</f>
        <v>1275</v>
      </c>
      <c r="I945" s="1">
        <v>100</v>
      </c>
      <c r="J945" s="1">
        <v>91</v>
      </c>
      <c r="K945" s="8">
        <f>tblInventory[[#This Row],[Reorder_Quantity]]*M945</f>
        <v>2320.5</v>
      </c>
      <c r="L945" s="10">
        <f>tblInventory[[#This Row],[Stock_Quantity]] / tblInventory[[#This Row],[Reorder_Quantity]]</f>
        <v>0.5494505494505495</v>
      </c>
      <c r="M945" s="3">
        <v>25.5</v>
      </c>
      <c r="N945" s="10">
        <f t="shared" si="28"/>
        <v>0.84889643463497455</v>
      </c>
      <c r="O945" s="1" t="s">
        <v>144</v>
      </c>
      <c r="P945" s="1" t="s">
        <v>1099</v>
      </c>
      <c r="Q945" s="2">
        <v>45764</v>
      </c>
      <c r="R945" s="1" t="s">
        <v>1100</v>
      </c>
      <c r="S945" s="1">
        <v>29</v>
      </c>
      <c r="T945" s="1">
        <v>31</v>
      </c>
      <c r="U945" s="1" t="s">
        <v>46</v>
      </c>
      <c r="V945" s="3">
        <f>tblInventory[[#This Row],[Stock_Quantity]]*tblInventory[[#This Row],[Unit_Price]]</f>
        <v>1275</v>
      </c>
      <c r="W945" s="1" t="str">
        <f>IF(tblInventory[[#This Row],[Status]]="Discontinued","INACTIVE",
IF(tblInventory[[#This Row],[Stock_Quantity]] &lt; tblInventory[[#This Row],[Reorder_Level]],"REORDER","OK"))</f>
        <v>REORDER</v>
      </c>
      <c r="X945" s="1" t="str">
        <f t="shared" ca="1" si="29"/>
        <v>Expired</v>
      </c>
    </row>
    <row r="946" spans="1:24">
      <c r="A946" s="1">
        <v>945</v>
      </c>
      <c r="B946" s="1" t="s">
        <v>1152</v>
      </c>
      <c r="C946" s="1" t="s">
        <v>431</v>
      </c>
      <c r="D946" s="1" t="s">
        <v>27</v>
      </c>
      <c r="E946" s="1" t="s">
        <v>1153</v>
      </c>
      <c r="F946" s="1" t="s">
        <v>171</v>
      </c>
      <c r="G946" s="6">
        <v>20</v>
      </c>
      <c r="H946" s="8">
        <f>tblInventory[[#This Row],[Stock_Quantity]] * tblInventory[[#This Row],[Unit_Price]]</f>
        <v>500</v>
      </c>
      <c r="I946" s="1">
        <v>43</v>
      </c>
      <c r="J946" s="1">
        <v>43</v>
      </c>
      <c r="K946" s="8">
        <f>tblInventory[[#This Row],[Reorder_Quantity]]*M946</f>
        <v>1075</v>
      </c>
      <c r="L946" s="10">
        <f>tblInventory[[#This Row],[Stock_Quantity]] / tblInventory[[#This Row],[Reorder_Quantity]]</f>
        <v>0.46511627906976744</v>
      </c>
      <c r="M946" s="3">
        <v>25</v>
      </c>
      <c r="N946" s="10">
        <f t="shared" si="28"/>
        <v>0.3395585738539898</v>
      </c>
      <c r="O946" s="2">
        <v>45839</v>
      </c>
      <c r="P946" s="1" t="s">
        <v>122</v>
      </c>
      <c r="Q946" s="2">
        <v>45777</v>
      </c>
      <c r="R946" s="1" t="s">
        <v>1155</v>
      </c>
      <c r="S946" s="1">
        <v>73</v>
      </c>
      <c r="T946" s="1">
        <v>6</v>
      </c>
      <c r="U946" s="1" t="s">
        <v>46</v>
      </c>
      <c r="V946" s="3">
        <f>tblInventory[[#This Row],[Stock_Quantity]]*tblInventory[[#This Row],[Unit_Price]]</f>
        <v>500</v>
      </c>
      <c r="W946" s="1" t="str">
        <f>IF(tblInventory[[#This Row],[Status]]="Discontinued","INACTIVE",
IF(tblInventory[[#This Row],[Stock_Quantity]] &lt; tblInventory[[#This Row],[Reorder_Level]],"REORDER","OK"))</f>
        <v>REORDER</v>
      </c>
      <c r="X946" s="1" t="str">
        <f t="shared" ca="1" si="29"/>
        <v>Expired</v>
      </c>
    </row>
    <row r="947" spans="1:24">
      <c r="A947" s="1">
        <v>946</v>
      </c>
      <c r="B947" s="1" t="s">
        <v>1626</v>
      </c>
      <c r="C947" s="1" t="s">
        <v>431</v>
      </c>
      <c r="D947" s="1" t="s">
        <v>27</v>
      </c>
      <c r="E947" s="1" t="s">
        <v>1627</v>
      </c>
      <c r="F947" s="1" t="s">
        <v>1149</v>
      </c>
      <c r="G947" s="6">
        <v>58</v>
      </c>
      <c r="H947" s="8">
        <f>tblInventory[[#This Row],[Stock_Quantity]] * tblInventory[[#This Row],[Unit_Price]]</f>
        <v>1450</v>
      </c>
      <c r="I947" s="1">
        <v>81</v>
      </c>
      <c r="J947" s="1">
        <v>66</v>
      </c>
      <c r="K947" s="8">
        <f>tblInventory[[#This Row],[Reorder_Quantity]]*M947</f>
        <v>1650</v>
      </c>
      <c r="L947" s="10">
        <f>tblInventory[[#This Row],[Stock_Quantity]] / tblInventory[[#This Row],[Reorder_Quantity]]</f>
        <v>0.87878787878787878</v>
      </c>
      <c r="M947" s="3">
        <v>25</v>
      </c>
      <c r="N947" s="10">
        <f t="shared" si="28"/>
        <v>0.98471986417657054</v>
      </c>
      <c r="O947" s="1" t="s">
        <v>197</v>
      </c>
      <c r="P947" s="1" t="s">
        <v>785</v>
      </c>
      <c r="Q947" s="2">
        <v>45725</v>
      </c>
      <c r="R947" s="1" t="s">
        <v>1628</v>
      </c>
      <c r="S947" s="1">
        <v>85</v>
      </c>
      <c r="T947" s="1">
        <v>78</v>
      </c>
      <c r="U947" s="1" t="s">
        <v>46</v>
      </c>
      <c r="V947" s="3">
        <f>tblInventory[[#This Row],[Stock_Quantity]]*tblInventory[[#This Row],[Unit_Price]]</f>
        <v>1450</v>
      </c>
      <c r="W947" s="1" t="str">
        <f>IF(tblInventory[[#This Row],[Status]]="Discontinued","INACTIVE",
IF(tblInventory[[#This Row],[Stock_Quantity]] &lt; tblInventory[[#This Row],[Reorder_Level]],"REORDER","OK"))</f>
        <v>REORDER</v>
      </c>
      <c r="X947" s="1" t="str">
        <f t="shared" ca="1" si="29"/>
        <v>Expired</v>
      </c>
    </row>
    <row r="948" spans="1:24">
      <c r="A948" s="1">
        <v>947</v>
      </c>
      <c r="B948" s="1" t="s">
        <v>2044</v>
      </c>
      <c r="C948" s="1" t="s">
        <v>431</v>
      </c>
      <c r="D948" s="1" t="s">
        <v>27</v>
      </c>
      <c r="E948" s="1" t="s">
        <v>2045</v>
      </c>
      <c r="F948" s="1" t="s">
        <v>1800</v>
      </c>
      <c r="G948" s="6">
        <v>60</v>
      </c>
      <c r="H948" s="8">
        <f>tblInventory[[#This Row],[Stock_Quantity]] * tblInventory[[#This Row],[Unit_Price]]</f>
        <v>1518</v>
      </c>
      <c r="I948" s="1">
        <v>27</v>
      </c>
      <c r="J948" s="1">
        <v>58</v>
      </c>
      <c r="K948" s="8">
        <f>tblInventory[[#This Row],[Reorder_Quantity]]*M948</f>
        <v>1467.4</v>
      </c>
      <c r="L948" s="10">
        <f>tblInventory[[#This Row],[Stock_Quantity]] / tblInventory[[#This Row],[Reorder_Quantity]]</f>
        <v>1.0344827586206897</v>
      </c>
      <c r="M948" s="3">
        <v>25.3</v>
      </c>
      <c r="N948" s="10">
        <f t="shared" si="28"/>
        <v>1.0186757215619695</v>
      </c>
      <c r="O948" s="1" t="s">
        <v>247</v>
      </c>
      <c r="P948" s="1" t="s">
        <v>1424</v>
      </c>
      <c r="Q948" s="2">
        <v>46143</v>
      </c>
      <c r="R948" s="1" t="s">
        <v>2046</v>
      </c>
      <c r="S948" s="1">
        <v>43</v>
      </c>
      <c r="T948" s="1">
        <v>91</v>
      </c>
      <c r="U948" s="1" t="s">
        <v>46</v>
      </c>
      <c r="V948" s="3">
        <f>tblInventory[[#This Row],[Stock_Quantity]]*tblInventory[[#This Row],[Unit_Price]]</f>
        <v>1518</v>
      </c>
      <c r="W948" s="1" t="str">
        <f>IF(tblInventory[[#This Row],[Status]]="Discontinued","INACTIVE",
IF(tblInventory[[#This Row],[Stock_Quantity]] &lt; tblInventory[[#This Row],[Reorder_Level]],"REORDER","OK"))</f>
        <v>OK</v>
      </c>
      <c r="X948" s="1" t="str">
        <f t="shared" ca="1" si="29"/>
        <v>Valid</v>
      </c>
    </row>
    <row r="949" spans="1:24">
      <c r="A949" s="1">
        <v>948</v>
      </c>
      <c r="B949" s="1" t="s">
        <v>2081</v>
      </c>
      <c r="C949" s="1" t="s">
        <v>431</v>
      </c>
      <c r="D949" s="1" t="s">
        <v>27</v>
      </c>
      <c r="E949" s="1" t="s">
        <v>2082</v>
      </c>
      <c r="F949" s="1" t="s">
        <v>2083</v>
      </c>
      <c r="G949" s="6">
        <v>62</v>
      </c>
      <c r="H949" s="8">
        <f>tblInventory[[#This Row],[Stock_Quantity]] * tblInventory[[#This Row],[Unit_Price]]</f>
        <v>1550</v>
      </c>
      <c r="I949" s="1">
        <v>31</v>
      </c>
      <c r="J949" s="1">
        <v>24</v>
      </c>
      <c r="K949" s="8">
        <f>tblInventory[[#This Row],[Reorder_Quantity]]*M949</f>
        <v>600</v>
      </c>
      <c r="L949" s="10">
        <f>tblInventory[[#This Row],[Stock_Quantity]] / tblInventory[[#This Row],[Reorder_Quantity]]</f>
        <v>2.5833333333333335</v>
      </c>
      <c r="M949" s="3">
        <v>25</v>
      </c>
      <c r="N949" s="10">
        <f t="shared" si="28"/>
        <v>1.0526315789473684</v>
      </c>
      <c r="O949" s="1" t="s">
        <v>304</v>
      </c>
      <c r="P949" s="2">
        <v>45571</v>
      </c>
      <c r="Q949" s="2">
        <v>46039</v>
      </c>
      <c r="R949" s="1" t="s">
        <v>2084</v>
      </c>
      <c r="S949" s="1">
        <v>89</v>
      </c>
      <c r="T949" s="1">
        <v>100</v>
      </c>
      <c r="U949" s="1" t="s">
        <v>38</v>
      </c>
      <c r="V949" s="3">
        <f>tblInventory[[#This Row],[Stock_Quantity]]*tblInventory[[#This Row],[Unit_Price]]</f>
        <v>1550</v>
      </c>
      <c r="W949" s="1" t="str">
        <f>IF(tblInventory[[#This Row],[Status]]="Discontinued","INACTIVE",
IF(tblInventory[[#This Row],[Stock_Quantity]] &lt; tblInventory[[#This Row],[Reorder_Level]],"REORDER","OK"))</f>
        <v>OK</v>
      </c>
      <c r="X949" s="1" t="str">
        <f t="shared" ca="1" si="29"/>
        <v>Valid</v>
      </c>
    </row>
    <row r="950" spans="1:24">
      <c r="A950" s="1">
        <v>949</v>
      </c>
      <c r="B950" s="1" t="s">
        <v>2236</v>
      </c>
      <c r="C950" s="1" t="s">
        <v>431</v>
      </c>
      <c r="D950" s="1" t="s">
        <v>27</v>
      </c>
      <c r="E950" s="1" t="s">
        <v>2237</v>
      </c>
      <c r="F950" s="1" t="s">
        <v>42</v>
      </c>
      <c r="G950" s="6">
        <v>91</v>
      </c>
      <c r="H950" s="8">
        <f>tblInventory[[#This Row],[Stock_Quantity]] * tblInventory[[#This Row],[Unit_Price]]</f>
        <v>2275</v>
      </c>
      <c r="I950" s="1">
        <v>78</v>
      </c>
      <c r="J950" s="1">
        <v>61</v>
      </c>
      <c r="K950" s="8">
        <f>tblInventory[[#This Row],[Reorder_Quantity]]*M950</f>
        <v>1525</v>
      </c>
      <c r="L950" s="10">
        <f>tblInventory[[#This Row],[Stock_Quantity]] / tblInventory[[#This Row],[Reorder_Quantity]]</f>
        <v>1.4918032786885247</v>
      </c>
      <c r="M950" s="3">
        <v>25</v>
      </c>
      <c r="N950" s="10">
        <f t="shared" si="28"/>
        <v>1.5449915110356538</v>
      </c>
      <c r="O950" s="2">
        <v>45417</v>
      </c>
      <c r="P950" s="1" t="s">
        <v>496</v>
      </c>
      <c r="Q950" s="2">
        <v>46145</v>
      </c>
      <c r="R950" s="1" t="s">
        <v>2238</v>
      </c>
      <c r="S950" s="1">
        <v>63</v>
      </c>
      <c r="T950" s="1">
        <v>15</v>
      </c>
      <c r="U950" s="1" t="s">
        <v>38</v>
      </c>
      <c r="V950" s="3">
        <f>tblInventory[[#This Row],[Stock_Quantity]]*tblInventory[[#This Row],[Unit_Price]]</f>
        <v>2275</v>
      </c>
      <c r="W950" s="1" t="str">
        <f>IF(tblInventory[[#This Row],[Status]]="Discontinued","INACTIVE",
IF(tblInventory[[#This Row],[Stock_Quantity]] &lt; tblInventory[[#This Row],[Reorder_Level]],"REORDER","OK"))</f>
        <v>OK</v>
      </c>
      <c r="X950" s="1" t="str">
        <f t="shared" ca="1" si="29"/>
        <v>Valid</v>
      </c>
    </row>
    <row r="951" spans="1:24">
      <c r="A951" s="1">
        <v>950</v>
      </c>
      <c r="B951" s="1" t="s">
        <v>2815</v>
      </c>
      <c r="C951" s="1" t="s">
        <v>431</v>
      </c>
      <c r="D951" s="1" t="s">
        <v>27</v>
      </c>
      <c r="E951" s="1" t="s">
        <v>2816</v>
      </c>
      <c r="F951" s="1" t="s">
        <v>2817</v>
      </c>
      <c r="G951" s="6">
        <v>81</v>
      </c>
      <c r="H951" s="8">
        <f>tblInventory[[#This Row],[Stock_Quantity]] * tblInventory[[#This Row],[Unit_Price]]</f>
        <v>2025</v>
      </c>
      <c r="I951" s="1">
        <v>83</v>
      </c>
      <c r="J951" s="1">
        <v>36</v>
      </c>
      <c r="K951" s="8">
        <f>tblInventory[[#This Row],[Reorder_Quantity]]*M951</f>
        <v>900</v>
      </c>
      <c r="L951" s="10">
        <f>tblInventory[[#This Row],[Stock_Quantity]] / tblInventory[[#This Row],[Reorder_Quantity]]</f>
        <v>2.25</v>
      </c>
      <c r="M951" s="3">
        <v>25</v>
      </c>
      <c r="N951" s="10">
        <f t="shared" si="28"/>
        <v>1.3752122241086588</v>
      </c>
      <c r="O951" s="1" t="s">
        <v>1217</v>
      </c>
      <c r="P951" s="2">
        <v>45839</v>
      </c>
      <c r="Q951" s="2">
        <v>46264</v>
      </c>
      <c r="R951" s="1" t="s">
        <v>2819</v>
      </c>
      <c r="S951" s="1">
        <v>74</v>
      </c>
      <c r="T951" s="1">
        <v>86</v>
      </c>
      <c r="U951" s="1" t="s">
        <v>38</v>
      </c>
      <c r="V951" s="3">
        <f>tblInventory[[#This Row],[Stock_Quantity]]*tblInventory[[#This Row],[Unit_Price]]</f>
        <v>2025</v>
      </c>
      <c r="W951" s="1" t="str">
        <f>IF(tblInventory[[#This Row],[Status]]="Discontinued","INACTIVE",
IF(tblInventory[[#This Row],[Stock_Quantity]] &lt; tblInventory[[#This Row],[Reorder_Level]],"REORDER","OK"))</f>
        <v>REORDER</v>
      </c>
      <c r="X951" s="1" t="str">
        <f t="shared" ca="1" si="29"/>
        <v>Valid</v>
      </c>
    </row>
    <row r="952" spans="1:24">
      <c r="A952" s="1">
        <v>951</v>
      </c>
      <c r="B952" s="1" t="s">
        <v>3060</v>
      </c>
      <c r="C952" s="1" t="s">
        <v>431</v>
      </c>
      <c r="D952" s="1" t="s">
        <v>27</v>
      </c>
      <c r="E952" s="1" t="s">
        <v>3061</v>
      </c>
      <c r="F952" s="1" t="s">
        <v>3062</v>
      </c>
      <c r="G952" s="6">
        <v>35</v>
      </c>
      <c r="H952" s="8">
        <f>tblInventory[[#This Row],[Stock_Quantity]] * tblInventory[[#This Row],[Unit_Price]]</f>
        <v>883.75</v>
      </c>
      <c r="I952" s="1">
        <v>20</v>
      </c>
      <c r="J952" s="1">
        <v>42</v>
      </c>
      <c r="K952" s="8">
        <f>tblInventory[[#This Row],[Reorder_Quantity]]*M952</f>
        <v>1060.5</v>
      </c>
      <c r="L952" s="10">
        <f>tblInventory[[#This Row],[Stock_Quantity]] / tblInventory[[#This Row],[Reorder_Quantity]]</f>
        <v>0.83333333333333337</v>
      </c>
      <c r="M952" s="3">
        <v>25.25</v>
      </c>
      <c r="N952" s="10">
        <f t="shared" si="28"/>
        <v>0.59422750424448223</v>
      </c>
      <c r="O952" s="1" t="s">
        <v>115</v>
      </c>
      <c r="P952" s="2">
        <v>45420</v>
      </c>
      <c r="Q952" s="2">
        <v>46341</v>
      </c>
      <c r="R952" s="1" t="s">
        <v>3063</v>
      </c>
      <c r="S952" s="1">
        <v>53</v>
      </c>
      <c r="T952" s="1">
        <v>56</v>
      </c>
      <c r="U952" s="1" t="s">
        <v>24</v>
      </c>
      <c r="V952" s="3">
        <f>tblInventory[[#This Row],[Stock_Quantity]]*tblInventory[[#This Row],[Unit_Price]]</f>
        <v>883.75</v>
      </c>
      <c r="W952" s="1" t="str">
        <f>IF(tblInventory[[#This Row],[Status]]="Discontinued","INACTIVE",
IF(tblInventory[[#This Row],[Stock_Quantity]] &lt; tblInventory[[#This Row],[Reorder_Level]],"REORDER","OK"))</f>
        <v>INACTIVE</v>
      </c>
      <c r="X952" s="1" t="str">
        <f t="shared" ca="1" si="29"/>
        <v>Valid</v>
      </c>
    </row>
    <row r="953" spans="1:24">
      <c r="A953" s="1">
        <v>952</v>
      </c>
      <c r="B953" s="1" t="s">
        <v>1762</v>
      </c>
      <c r="C953" s="1" t="s">
        <v>1763</v>
      </c>
      <c r="D953" s="1" t="s">
        <v>100</v>
      </c>
      <c r="E953" s="1" t="s">
        <v>1764</v>
      </c>
      <c r="F953" s="1" t="s">
        <v>1463</v>
      </c>
      <c r="G953" s="6">
        <v>17</v>
      </c>
      <c r="H953" s="8">
        <f>tblInventory[[#This Row],[Stock_Quantity]] * tblInventory[[#This Row],[Unit_Price]]</f>
        <v>59.5</v>
      </c>
      <c r="I953" s="1">
        <v>63</v>
      </c>
      <c r="J953" s="1">
        <v>3</v>
      </c>
      <c r="K953" s="8">
        <f>tblInventory[[#This Row],[Reorder_Quantity]]*M953</f>
        <v>10.5</v>
      </c>
      <c r="L953" s="10">
        <f>tblInventory[[#This Row],[Stock_Quantity]] / tblInventory[[#This Row],[Reorder_Quantity]]</f>
        <v>5.666666666666667</v>
      </c>
      <c r="M953" s="3">
        <v>3.5</v>
      </c>
      <c r="N953" s="10">
        <f t="shared" si="28"/>
        <v>0.28862478777589134</v>
      </c>
      <c r="O953" s="2">
        <v>45330</v>
      </c>
      <c r="P953" s="1" t="s">
        <v>279</v>
      </c>
      <c r="Q953" s="2">
        <v>46001</v>
      </c>
      <c r="R953" s="1" t="s">
        <v>1765</v>
      </c>
      <c r="S953" s="1">
        <v>93</v>
      </c>
      <c r="T953" s="1">
        <v>26</v>
      </c>
      <c r="U953" s="1" t="s">
        <v>38</v>
      </c>
      <c r="V953" s="3">
        <f>tblInventory[[#This Row],[Stock_Quantity]]*tblInventory[[#This Row],[Unit_Price]]</f>
        <v>59.5</v>
      </c>
      <c r="W953" s="1" t="str">
        <f>IF(tblInventory[[#This Row],[Status]]="Discontinued","INACTIVE",
IF(tblInventory[[#This Row],[Stock_Quantity]] &lt; tblInventory[[#This Row],[Reorder_Level]],"REORDER","OK"))</f>
        <v>REORDER</v>
      </c>
      <c r="X953" s="1" t="str">
        <f t="shared" ca="1" si="29"/>
        <v>Valid</v>
      </c>
    </row>
    <row r="954" spans="1:24">
      <c r="A954" s="1">
        <v>953</v>
      </c>
      <c r="B954" s="1" t="s">
        <v>1915</v>
      </c>
      <c r="C954" s="1" t="s">
        <v>1763</v>
      </c>
      <c r="D954" s="1" t="s">
        <v>100</v>
      </c>
      <c r="E954" s="1" t="s">
        <v>1916</v>
      </c>
      <c r="F954" s="1" t="s">
        <v>698</v>
      </c>
      <c r="G954" s="6">
        <v>91</v>
      </c>
      <c r="H954" s="8">
        <f>tblInventory[[#This Row],[Stock_Quantity]] * tblInventory[[#This Row],[Unit_Price]]</f>
        <v>318.5</v>
      </c>
      <c r="I954" s="1">
        <v>71</v>
      </c>
      <c r="J954" s="1">
        <v>17</v>
      </c>
      <c r="K954" s="8">
        <f>tblInventory[[#This Row],[Reorder_Quantity]]*M954</f>
        <v>59.5</v>
      </c>
      <c r="L954" s="10">
        <f>tblInventory[[#This Row],[Stock_Quantity]] / tblInventory[[#This Row],[Reorder_Quantity]]</f>
        <v>5.3529411764705879</v>
      </c>
      <c r="M954" s="3">
        <v>3.5</v>
      </c>
      <c r="N954" s="10">
        <f t="shared" si="28"/>
        <v>1.5449915110356538</v>
      </c>
      <c r="O954" s="2">
        <v>45931</v>
      </c>
      <c r="P954" s="2">
        <v>45299</v>
      </c>
      <c r="Q954" s="2">
        <v>45987</v>
      </c>
      <c r="R954" s="1" t="s">
        <v>1917</v>
      </c>
      <c r="S954" s="1">
        <v>74</v>
      </c>
      <c r="T954" s="1">
        <v>57</v>
      </c>
      <c r="U954" s="1" t="s">
        <v>46</v>
      </c>
      <c r="V954" s="3">
        <f>tblInventory[[#This Row],[Stock_Quantity]]*tblInventory[[#This Row],[Unit_Price]]</f>
        <v>318.5</v>
      </c>
      <c r="W954" s="1" t="str">
        <f>IF(tblInventory[[#This Row],[Status]]="Discontinued","INACTIVE",
IF(tblInventory[[#This Row],[Stock_Quantity]] &lt; tblInventory[[#This Row],[Reorder_Level]],"REORDER","OK"))</f>
        <v>OK</v>
      </c>
      <c r="X954" s="1" t="str">
        <f t="shared" ca="1" si="29"/>
        <v>Valid</v>
      </c>
    </row>
    <row r="955" spans="1:24">
      <c r="A955" s="1">
        <v>954</v>
      </c>
      <c r="B955" s="1" t="s">
        <v>3011</v>
      </c>
      <c r="C955" s="1" t="s">
        <v>1763</v>
      </c>
      <c r="D955" s="1" t="s">
        <v>100</v>
      </c>
      <c r="E955" s="1" t="s">
        <v>3012</v>
      </c>
      <c r="F955" s="1" t="s">
        <v>614</v>
      </c>
      <c r="G955" s="6">
        <v>36</v>
      </c>
      <c r="H955" s="8">
        <f>tblInventory[[#This Row],[Stock_Quantity]] * tblInventory[[#This Row],[Unit_Price]]</f>
        <v>126</v>
      </c>
      <c r="I955" s="1">
        <v>53</v>
      </c>
      <c r="J955" s="1">
        <v>92</v>
      </c>
      <c r="K955" s="8">
        <f>tblInventory[[#This Row],[Reorder_Quantity]]*M955</f>
        <v>322</v>
      </c>
      <c r="L955" s="10">
        <f>tblInventory[[#This Row],[Stock_Quantity]] / tblInventory[[#This Row],[Reorder_Quantity]]</f>
        <v>0.39130434782608697</v>
      </c>
      <c r="M955" s="3">
        <v>3.5</v>
      </c>
      <c r="N955" s="10">
        <f t="shared" si="28"/>
        <v>0.61120543293718166</v>
      </c>
      <c r="O955" s="2">
        <v>45480</v>
      </c>
      <c r="P955" s="2">
        <v>45297</v>
      </c>
      <c r="Q955" s="2">
        <v>46325</v>
      </c>
      <c r="R955" s="1" t="s">
        <v>3013</v>
      </c>
      <c r="S955" s="1">
        <v>67</v>
      </c>
      <c r="T955" s="1">
        <v>43</v>
      </c>
      <c r="U955" s="1" t="s">
        <v>38</v>
      </c>
      <c r="V955" s="3">
        <f>tblInventory[[#This Row],[Stock_Quantity]]*tblInventory[[#This Row],[Unit_Price]]</f>
        <v>126</v>
      </c>
      <c r="W955" s="1" t="str">
        <f>IF(tblInventory[[#This Row],[Status]]="Discontinued","INACTIVE",
IF(tblInventory[[#This Row],[Stock_Quantity]] &lt; tblInventory[[#This Row],[Reorder_Level]],"REORDER","OK"))</f>
        <v>REORDER</v>
      </c>
      <c r="X955" s="1" t="str">
        <f t="shared" ca="1" si="29"/>
        <v>Valid</v>
      </c>
    </row>
    <row r="956" spans="1:24">
      <c r="A956" s="1">
        <v>955</v>
      </c>
      <c r="B956" s="1" t="s">
        <v>3293</v>
      </c>
      <c r="C956" s="1" t="s">
        <v>1763</v>
      </c>
      <c r="D956" s="1" t="s">
        <v>100</v>
      </c>
      <c r="E956" s="1" t="s">
        <v>3294</v>
      </c>
      <c r="F956" s="1" t="s">
        <v>1489</v>
      </c>
      <c r="G956" s="6">
        <v>58</v>
      </c>
      <c r="H956" s="8">
        <f>tblInventory[[#This Row],[Stock_Quantity]] * tblInventory[[#This Row],[Unit_Price]]</f>
        <v>203</v>
      </c>
      <c r="I956" s="1">
        <v>48</v>
      </c>
      <c r="J956" s="1">
        <v>9</v>
      </c>
      <c r="K956" s="8">
        <f>tblInventory[[#This Row],[Reorder_Quantity]]*M956</f>
        <v>31.5</v>
      </c>
      <c r="L956" s="10">
        <f>tblInventory[[#This Row],[Stock_Quantity]] / tblInventory[[#This Row],[Reorder_Quantity]]</f>
        <v>6.4444444444444446</v>
      </c>
      <c r="M956" s="3">
        <v>3.5</v>
      </c>
      <c r="N956" s="10">
        <f t="shared" si="28"/>
        <v>0.98471986417657054</v>
      </c>
      <c r="O956" s="2">
        <v>45485</v>
      </c>
      <c r="P956" s="2">
        <v>45359</v>
      </c>
      <c r="Q956" s="2">
        <v>46416</v>
      </c>
      <c r="R956" s="1" t="s">
        <v>3295</v>
      </c>
      <c r="S956" s="1">
        <v>98</v>
      </c>
      <c r="T956" s="1">
        <v>69</v>
      </c>
      <c r="U956" s="1" t="s">
        <v>46</v>
      </c>
      <c r="V956" s="3">
        <f>tblInventory[[#This Row],[Stock_Quantity]]*tblInventory[[#This Row],[Unit_Price]]</f>
        <v>203</v>
      </c>
      <c r="W956" s="1" t="str">
        <f>IF(tblInventory[[#This Row],[Status]]="Discontinued","INACTIVE",
IF(tblInventory[[#This Row],[Stock_Quantity]] &lt; tblInventory[[#This Row],[Reorder_Level]],"REORDER","OK"))</f>
        <v>OK</v>
      </c>
      <c r="X956" s="1" t="str">
        <f t="shared" ca="1" si="29"/>
        <v>Valid</v>
      </c>
    </row>
    <row r="957" spans="1:24">
      <c r="A957" s="1">
        <v>956</v>
      </c>
      <c r="B957" s="1" t="s">
        <v>936</v>
      </c>
      <c r="C957" s="1" t="s">
        <v>937</v>
      </c>
      <c r="D957" s="1" t="s">
        <v>17</v>
      </c>
      <c r="E957" s="1" t="s">
        <v>938</v>
      </c>
      <c r="F957" s="1" t="s">
        <v>727</v>
      </c>
      <c r="G957" s="6">
        <v>67</v>
      </c>
      <c r="H957" s="8">
        <f>tblInventory[[#This Row],[Stock_Quantity]] * tblInventory[[#This Row],[Unit_Price]]</f>
        <v>184.25</v>
      </c>
      <c r="I957" s="1">
        <v>60</v>
      </c>
      <c r="J957" s="1">
        <v>21</v>
      </c>
      <c r="K957" s="8">
        <f>tblInventory[[#This Row],[Reorder_Quantity]]*M957</f>
        <v>57.75</v>
      </c>
      <c r="L957" s="10">
        <f>tblInventory[[#This Row],[Stock_Quantity]] / tblInventory[[#This Row],[Reorder_Quantity]]</f>
        <v>3.1904761904761907</v>
      </c>
      <c r="M957" s="3">
        <v>2.75</v>
      </c>
      <c r="N957" s="10">
        <f t="shared" si="28"/>
        <v>1.137521222410866</v>
      </c>
      <c r="O957" s="2">
        <v>45355</v>
      </c>
      <c r="P957" s="1" t="s">
        <v>586</v>
      </c>
      <c r="Q957" s="2">
        <v>45903</v>
      </c>
      <c r="R957" s="1" t="s">
        <v>939</v>
      </c>
      <c r="S957" s="1">
        <v>30</v>
      </c>
      <c r="T957" s="1">
        <v>6</v>
      </c>
      <c r="U957" s="1" t="s">
        <v>46</v>
      </c>
      <c r="V957" s="3">
        <f>tblInventory[[#This Row],[Stock_Quantity]]*tblInventory[[#This Row],[Unit_Price]]</f>
        <v>184.25</v>
      </c>
      <c r="W957" s="1" t="str">
        <f>IF(tblInventory[[#This Row],[Status]]="Discontinued","INACTIVE",
IF(tblInventory[[#This Row],[Stock_Quantity]] &lt; tblInventory[[#This Row],[Reorder_Level]],"REORDER","OK"))</f>
        <v>OK</v>
      </c>
      <c r="X957" s="1" t="str">
        <f t="shared" ca="1" si="29"/>
        <v>Expired</v>
      </c>
    </row>
    <row r="958" spans="1:24">
      <c r="A958" s="1">
        <v>957</v>
      </c>
      <c r="B958" s="1" t="s">
        <v>2422</v>
      </c>
      <c r="C958" s="1" t="s">
        <v>937</v>
      </c>
      <c r="D958" s="1" t="s">
        <v>17</v>
      </c>
      <c r="E958" s="1" t="s">
        <v>2423</v>
      </c>
      <c r="F958" s="1" t="s">
        <v>238</v>
      </c>
      <c r="G958" s="6">
        <v>41</v>
      </c>
      <c r="H958" s="8">
        <f>tblInventory[[#This Row],[Stock_Quantity]] * tblInventory[[#This Row],[Unit_Price]]</f>
        <v>108.64999999999999</v>
      </c>
      <c r="I958" s="1">
        <v>76</v>
      </c>
      <c r="J958" s="1">
        <v>47</v>
      </c>
      <c r="K958" s="8">
        <f>tblInventory[[#This Row],[Reorder_Quantity]]*M958</f>
        <v>124.55</v>
      </c>
      <c r="L958" s="10">
        <f>tblInventory[[#This Row],[Stock_Quantity]] / tblInventory[[#This Row],[Reorder_Quantity]]</f>
        <v>0.87234042553191493</v>
      </c>
      <c r="M958" s="3">
        <v>2.65</v>
      </c>
      <c r="N958" s="10">
        <f t="shared" si="28"/>
        <v>0.69609507640067914</v>
      </c>
      <c r="O958" s="1" t="s">
        <v>408</v>
      </c>
      <c r="P958" s="1" t="s">
        <v>602</v>
      </c>
      <c r="Q958" s="2">
        <v>46058</v>
      </c>
      <c r="R958" s="1" t="s">
        <v>2424</v>
      </c>
      <c r="S958" s="1">
        <v>50</v>
      </c>
      <c r="T958" s="1">
        <v>50</v>
      </c>
      <c r="U958" s="1" t="s">
        <v>38</v>
      </c>
      <c r="V958" s="3">
        <f>tblInventory[[#This Row],[Stock_Quantity]]*tblInventory[[#This Row],[Unit_Price]]</f>
        <v>108.64999999999999</v>
      </c>
      <c r="W958" s="1" t="str">
        <f>IF(tblInventory[[#This Row],[Status]]="Discontinued","INACTIVE",
IF(tblInventory[[#This Row],[Stock_Quantity]] &lt; tblInventory[[#This Row],[Reorder_Level]],"REORDER","OK"))</f>
        <v>REORDER</v>
      </c>
      <c r="X958" s="1" t="str">
        <f t="shared" ca="1" si="29"/>
        <v>Valid</v>
      </c>
    </row>
    <row r="959" spans="1:24">
      <c r="A959" s="1">
        <v>958</v>
      </c>
      <c r="B959" s="1" t="s">
        <v>2807</v>
      </c>
      <c r="C959" s="1" t="s">
        <v>937</v>
      </c>
      <c r="D959" s="1" t="s">
        <v>17</v>
      </c>
      <c r="E959" s="1" t="s">
        <v>2808</v>
      </c>
      <c r="F959" s="1" t="s">
        <v>2809</v>
      </c>
      <c r="G959" s="6">
        <v>82</v>
      </c>
      <c r="H959" s="8">
        <f>tblInventory[[#This Row],[Stock_Quantity]] * tblInventory[[#This Row],[Unit_Price]]</f>
        <v>225.5</v>
      </c>
      <c r="I959" s="1">
        <v>67</v>
      </c>
      <c r="J959" s="1">
        <v>67</v>
      </c>
      <c r="K959" s="8">
        <f>tblInventory[[#This Row],[Reorder_Quantity]]*M959</f>
        <v>184.25</v>
      </c>
      <c r="L959" s="10">
        <f>tblInventory[[#This Row],[Stock_Quantity]] / tblInventory[[#This Row],[Reorder_Quantity]]</f>
        <v>1.2238805970149254</v>
      </c>
      <c r="M959" s="3">
        <v>2.75</v>
      </c>
      <c r="N959" s="10">
        <f t="shared" si="28"/>
        <v>1.3921901528013583</v>
      </c>
      <c r="O959" s="1" t="s">
        <v>681</v>
      </c>
      <c r="P959" s="2">
        <v>45480</v>
      </c>
      <c r="Q959" s="2">
        <v>46262</v>
      </c>
      <c r="R959" s="1" t="s">
        <v>2810</v>
      </c>
      <c r="S959" s="1">
        <v>26</v>
      </c>
      <c r="T959" s="1">
        <v>1</v>
      </c>
      <c r="U959" s="1" t="s">
        <v>38</v>
      </c>
      <c r="V959" s="3">
        <f>tblInventory[[#This Row],[Stock_Quantity]]*tblInventory[[#This Row],[Unit_Price]]</f>
        <v>225.5</v>
      </c>
      <c r="W959" s="1" t="str">
        <f>IF(tblInventory[[#This Row],[Status]]="Discontinued","INACTIVE",
IF(tblInventory[[#This Row],[Stock_Quantity]] &lt; tblInventory[[#This Row],[Reorder_Level]],"REORDER","OK"))</f>
        <v>OK</v>
      </c>
      <c r="X959" s="1" t="str">
        <f t="shared" ca="1" si="29"/>
        <v>Valid</v>
      </c>
    </row>
    <row r="960" spans="1:24">
      <c r="A960" s="1">
        <v>959</v>
      </c>
      <c r="B960" s="1" t="s">
        <v>2849</v>
      </c>
      <c r="C960" s="1" t="s">
        <v>937</v>
      </c>
      <c r="D960" s="1" t="s">
        <v>17</v>
      </c>
      <c r="E960" s="1" t="s">
        <v>2850</v>
      </c>
      <c r="F960" s="1" t="s">
        <v>56</v>
      </c>
      <c r="G960" s="6">
        <v>38</v>
      </c>
      <c r="H960" s="8">
        <f>tblInventory[[#This Row],[Stock_Quantity]] * tblInventory[[#This Row],[Unit_Price]]</f>
        <v>102.60000000000001</v>
      </c>
      <c r="I960" s="1">
        <v>43</v>
      </c>
      <c r="J960" s="1">
        <v>28</v>
      </c>
      <c r="K960" s="8">
        <f>tblInventory[[#This Row],[Reorder_Quantity]]*M960</f>
        <v>75.600000000000009</v>
      </c>
      <c r="L960" s="10">
        <f>tblInventory[[#This Row],[Stock_Quantity]] / tblInventory[[#This Row],[Reorder_Quantity]]</f>
        <v>1.3571428571428572</v>
      </c>
      <c r="M960" s="3">
        <v>2.7</v>
      </c>
      <c r="N960" s="10">
        <f t="shared" si="28"/>
        <v>0.64516129032258063</v>
      </c>
      <c r="O960" s="2">
        <v>45301</v>
      </c>
      <c r="P960" s="1" t="s">
        <v>909</v>
      </c>
      <c r="Q960" s="2">
        <v>46274</v>
      </c>
      <c r="R960" s="1" t="s">
        <v>2851</v>
      </c>
      <c r="S960" s="1">
        <v>34</v>
      </c>
      <c r="T960" s="1">
        <v>54</v>
      </c>
      <c r="U960" s="1" t="s">
        <v>38</v>
      </c>
      <c r="V960" s="3">
        <f>tblInventory[[#This Row],[Stock_Quantity]]*tblInventory[[#This Row],[Unit_Price]]</f>
        <v>102.60000000000001</v>
      </c>
      <c r="W960" s="1" t="str">
        <f>IF(tblInventory[[#This Row],[Status]]="Discontinued","INACTIVE",
IF(tblInventory[[#This Row],[Stock_Quantity]] &lt; tblInventory[[#This Row],[Reorder_Level]],"REORDER","OK"))</f>
        <v>REORDER</v>
      </c>
      <c r="X960" s="1" t="str">
        <f t="shared" ca="1" si="29"/>
        <v>Valid</v>
      </c>
    </row>
    <row r="961" spans="1:24">
      <c r="A961" s="1">
        <v>960</v>
      </c>
      <c r="B961" s="1" t="s">
        <v>2934</v>
      </c>
      <c r="C961" s="1" t="s">
        <v>937</v>
      </c>
      <c r="D961" s="1" t="s">
        <v>17</v>
      </c>
      <c r="E961" s="1" t="s">
        <v>2935</v>
      </c>
      <c r="F961" s="1" t="s">
        <v>51</v>
      </c>
      <c r="G961" s="6">
        <v>59</v>
      </c>
      <c r="H961" s="8">
        <f>tblInventory[[#This Row],[Stock_Quantity]] * tblInventory[[#This Row],[Unit_Price]]</f>
        <v>162.25</v>
      </c>
      <c r="I961" s="1">
        <v>73</v>
      </c>
      <c r="J961" s="1">
        <v>86</v>
      </c>
      <c r="K961" s="8">
        <f>tblInventory[[#This Row],[Reorder_Quantity]]*M961</f>
        <v>236.5</v>
      </c>
      <c r="L961" s="10">
        <f>tblInventory[[#This Row],[Stock_Quantity]] / tblInventory[[#This Row],[Reorder_Quantity]]</f>
        <v>0.68604651162790697</v>
      </c>
      <c r="M961" s="3">
        <v>2.75</v>
      </c>
      <c r="N961" s="10">
        <f t="shared" si="28"/>
        <v>1.0016977928692701</v>
      </c>
      <c r="O961" s="1" t="s">
        <v>785</v>
      </c>
      <c r="P961" s="2">
        <v>45658</v>
      </c>
      <c r="Q961" s="2">
        <v>46152</v>
      </c>
      <c r="R961" s="1" t="s">
        <v>2936</v>
      </c>
      <c r="S961" s="1">
        <v>32</v>
      </c>
      <c r="T961" s="1">
        <v>56</v>
      </c>
      <c r="U961" s="1" t="s">
        <v>38</v>
      </c>
      <c r="V961" s="3">
        <f>tblInventory[[#This Row],[Stock_Quantity]]*tblInventory[[#This Row],[Unit_Price]]</f>
        <v>162.25</v>
      </c>
      <c r="W961" s="1" t="str">
        <f>IF(tblInventory[[#This Row],[Status]]="Discontinued","INACTIVE",
IF(tblInventory[[#This Row],[Stock_Quantity]] &lt; tblInventory[[#This Row],[Reorder_Level]],"REORDER","OK"))</f>
        <v>REORDER</v>
      </c>
      <c r="X961" s="1" t="str">
        <f t="shared" ca="1" si="29"/>
        <v>Valid</v>
      </c>
    </row>
    <row r="962" spans="1:24">
      <c r="A962" s="1">
        <v>961</v>
      </c>
      <c r="B962" s="1" t="s">
        <v>3290</v>
      </c>
      <c r="C962" s="1" t="s">
        <v>937</v>
      </c>
      <c r="D962" s="1" t="s">
        <v>17</v>
      </c>
      <c r="E962" s="1" t="s">
        <v>3291</v>
      </c>
      <c r="F962" s="1" t="s">
        <v>1086</v>
      </c>
      <c r="G962" s="6">
        <v>60</v>
      </c>
      <c r="H962" s="8">
        <f>tblInventory[[#This Row],[Stock_Quantity]] * tblInventory[[#This Row],[Unit_Price]]</f>
        <v>165</v>
      </c>
      <c r="I962" s="1">
        <v>69</v>
      </c>
      <c r="J962" s="1">
        <v>64</v>
      </c>
      <c r="K962" s="8">
        <f>tblInventory[[#This Row],[Reorder_Quantity]]*M962</f>
        <v>176</v>
      </c>
      <c r="L962" s="10">
        <f>tblInventory[[#This Row],[Stock_Quantity]] / tblInventory[[#This Row],[Reorder_Quantity]]</f>
        <v>0.9375</v>
      </c>
      <c r="M962" s="3">
        <v>2.75</v>
      </c>
      <c r="N962" s="10">
        <f t="shared" ref="N962:N991" si="30">G962 / 58.9</f>
        <v>1.0186757215619695</v>
      </c>
      <c r="O962" s="1" t="s">
        <v>1436</v>
      </c>
      <c r="P962" s="2">
        <v>45538</v>
      </c>
      <c r="Q962" s="2">
        <v>46415</v>
      </c>
      <c r="R962" s="1" t="s">
        <v>3292</v>
      </c>
      <c r="S962" s="1">
        <v>51</v>
      </c>
      <c r="T962" s="1">
        <v>6</v>
      </c>
      <c r="U962" s="1" t="s">
        <v>46</v>
      </c>
      <c r="V962" s="3">
        <f>tblInventory[[#This Row],[Stock_Quantity]]*tblInventory[[#This Row],[Unit_Price]]</f>
        <v>165</v>
      </c>
      <c r="W962" s="1" t="str">
        <f>IF(tblInventory[[#This Row],[Status]]="Discontinued","INACTIVE",
IF(tblInventory[[#This Row],[Stock_Quantity]] &lt; tblInventory[[#This Row],[Reorder_Level]],"REORDER","OK"))</f>
        <v>REORDER</v>
      </c>
      <c r="X962" s="1" t="str">
        <f t="shared" ref="X962:X991" ca="1" si="31">IF(Q962&lt;TODAY(),"Expired","Valid")</f>
        <v>Valid</v>
      </c>
    </row>
    <row r="963" spans="1:24">
      <c r="A963" s="1">
        <v>962</v>
      </c>
      <c r="B963" s="1" t="s">
        <v>3330</v>
      </c>
      <c r="C963" s="1" t="s">
        <v>937</v>
      </c>
      <c r="D963" s="1" t="s">
        <v>17</v>
      </c>
      <c r="E963" s="1" t="s">
        <v>3331</v>
      </c>
      <c r="F963" s="1" t="s">
        <v>3279</v>
      </c>
      <c r="G963" s="6">
        <v>39</v>
      </c>
      <c r="H963" s="8">
        <f>tblInventory[[#This Row],[Stock_Quantity]] * tblInventory[[#This Row],[Unit_Price]]</f>
        <v>107.25</v>
      </c>
      <c r="I963" s="1">
        <v>53</v>
      </c>
      <c r="J963" s="1">
        <v>64</v>
      </c>
      <c r="K963" s="8">
        <f>tblInventory[[#This Row],[Reorder_Quantity]]*M963</f>
        <v>176</v>
      </c>
      <c r="L963" s="10">
        <f>tblInventory[[#This Row],[Stock_Quantity]] / tblInventory[[#This Row],[Reorder_Quantity]]</f>
        <v>0.609375</v>
      </c>
      <c r="M963" s="3">
        <v>2.75</v>
      </c>
      <c r="N963" s="10">
        <f t="shared" si="30"/>
        <v>0.66213921901528017</v>
      </c>
      <c r="O963" s="1" t="s">
        <v>151</v>
      </c>
      <c r="P963" s="2">
        <v>45329</v>
      </c>
      <c r="Q963" s="2">
        <v>46662</v>
      </c>
      <c r="R963" s="1" t="s">
        <v>3332</v>
      </c>
      <c r="S963" s="1">
        <v>92</v>
      </c>
      <c r="T963" s="1">
        <v>8</v>
      </c>
      <c r="U963" s="1" t="s">
        <v>46</v>
      </c>
      <c r="V963" s="3">
        <f>tblInventory[[#This Row],[Stock_Quantity]]*tblInventory[[#This Row],[Unit_Price]]</f>
        <v>107.25</v>
      </c>
      <c r="W963" s="1" t="str">
        <f>IF(tblInventory[[#This Row],[Status]]="Discontinued","INACTIVE",
IF(tblInventory[[#This Row],[Stock_Quantity]] &lt; tblInventory[[#This Row],[Reorder_Level]],"REORDER","OK"))</f>
        <v>REORDER</v>
      </c>
      <c r="X963" s="1" t="str">
        <f t="shared" ca="1" si="31"/>
        <v>Valid</v>
      </c>
    </row>
    <row r="964" spans="1:24">
      <c r="A964" s="1">
        <v>963</v>
      </c>
      <c r="B964" s="1" t="s">
        <v>3454</v>
      </c>
      <c r="C964" s="1" t="s">
        <v>937</v>
      </c>
      <c r="D964" s="1" t="s">
        <v>17</v>
      </c>
      <c r="E964" s="1" t="s">
        <v>3455</v>
      </c>
      <c r="F964" s="1" t="s">
        <v>1521</v>
      </c>
      <c r="G964" s="6">
        <v>86</v>
      </c>
      <c r="H964" s="8">
        <f>tblInventory[[#This Row],[Stock_Quantity]] * tblInventory[[#This Row],[Unit_Price]]</f>
        <v>236.5</v>
      </c>
      <c r="I964" s="1">
        <v>100</v>
      </c>
      <c r="J964" s="1">
        <v>78</v>
      </c>
      <c r="K964" s="8">
        <f>tblInventory[[#This Row],[Reorder_Quantity]]*M964</f>
        <v>214.5</v>
      </c>
      <c r="L964" s="10">
        <f>tblInventory[[#This Row],[Stock_Quantity]] / tblInventory[[#This Row],[Reorder_Quantity]]</f>
        <v>1.1025641025641026</v>
      </c>
      <c r="M964" s="3">
        <v>2.75</v>
      </c>
      <c r="N964" s="10">
        <f t="shared" si="30"/>
        <v>1.4601018675721562</v>
      </c>
      <c r="O964" s="2">
        <v>45447</v>
      </c>
      <c r="P964" s="1" t="s">
        <v>150</v>
      </c>
      <c r="Q964" s="2">
        <v>46468</v>
      </c>
      <c r="R964" s="1" t="s">
        <v>3456</v>
      </c>
      <c r="S964" s="1">
        <v>52</v>
      </c>
      <c r="T964" s="1">
        <v>91</v>
      </c>
      <c r="U964" s="1" t="s">
        <v>38</v>
      </c>
      <c r="V964" s="3">
        <f>tblInventory[[#This Row],[Stock_Quantity]]*tblInventory[[#This Row],[Unit_Price]]</f>
        <v>236.5</v>
      </c>
      <c r="W964" s="1" t="str">
        <f>IF(tblInventory[[#This Row],[Status]]="Discontinued","INACTIVE",
IF(tblInventory[[#This Row],[Stock_Quantity]] &lt; tblInventory[[#This Row],[Reorder_Level]],"REORDER","OK"))</f>
        <v>REORDER</v>
      </c>
      <c r="X964" s="1" t="str">
        <f t="shared" ca="1" si="31"/>
        <v>Valid</v>
      </c>
    </row>
    <row r="965" spans="1:24">
      <c r="A965" s="1">
        <v>964</v>
      </c>
      <c r="B965" s="1" t="s">
        <v>1679</v>
      </c>
      <c r="C965" s="1" t="s">
        <v>1680</v>
      </c>
      <c r="D965" s="1" t="s">
        <v>17</v>
      </c>
      <c r="E965" s="1" t="s">
        <v>1681</v>
      </c>
      <c r="F965" s="1" t="s">
        <v>671</v>
      </c>
      <c r="G965" s="6">
        <v>46</v>
      </c>
      <c r="H965" s="8">
        <f>tblInventory[[#This Row],[Stock_Quantity]] * tblInventory[[#This Row],[Unit_Price]]</f>
        <v>460</v>
      </c>
      <c r="I965" s="1">
        <v>6</v>
      </c>
      <c r="J965" s="1">
        <v>64</v>
      </c>
      <c r="K965" s="8">
        <f>tblInventory[[#This Row],[Reorder_Quantity]]*M965</f>
        <v>640</v>
      </c>
      <c r="L965" s="10">
        <f>tblInventory[[#This Row],[Stock_Quantity]] / tblInventory[[#This Row],[Reorder_Quantity]]</f>
        <v>0.71875</v>
      </c>
      <c r="M965" s="3">
        <v>10</v>
      </c>
      <c r="N965" s="10">
        <f t="shared" si="30"/>
        <v>0.78098471986417661</v>
      </c>
      <c r="O965" s="1" t="s">
        <v>253</v>
      </c>
      <c r="P965" s="1" t="s">
        <v>240</v>
      </c>
      <c r="Q965" s="2">
        <v>45917</v>
      </c>
      <c r="R965" s="1" t="s">
        <v>1682</v>
      </c>
      <c r="S965" s="1">
        <v>63</v>
      </c>
      <c r="T965" s="1">
        <v>29</v>
      </c>
      <c r="U965" s="1" t="s">
        <v>24</v>
      </c>
      <c r="V965" s="3">
        <f>tblInventory[[#This Row],[Stock_Quantity]]*tblInventory[[#This Row],[Unit_Price]]</f>
        <v>460</v>
      </c>
      <c r="W965" s="1" t="str">
        <f>IF(tblInventory[[#This Row],[Status]]="Discontinued","INACTIVE",
IF(tblInventory[[#This Row],[Stock_Quantity]] &lt; tblInventory[[#This Row],[Reorder_Level]],"REORDER","OK"))</f>
        <v>INACTIVE</v>
      </c>
      <c r="X965" s="1" t="str">
        <f t="shared" ca="1" si="31"/>
        <v>Expired</v>
      </c>
    </row>
    <row r="966" spans="1:24">
      <c r="A966" s="1">
        <v>965</v>
      </c>
      <c r="B966" s="1" t="s">
        <v>1726</v>
      </c>
      <c r="C966" s="1" t="s">
        <v>1680</v>
      </c>
      <c r="D966" s="1" t="s">
        <v>17</v>
      </c>
      <c r="E966" s="1" t="s">
        <v>1727</v>
      </c>
      <c r="F966" s="1" t="s">
        <v>1728</v>
      </c>
      <c r="G966" s="6">
        <v>26</v>
      </c>
      <c r="H966" s="8">
        <f>tblInventory[[#This Row],[Stock_Quantity]] * tblInventory[[#This Row],[Unit_Price]]</f>
        <v>260</v>
      </c>
      <c r="I966" s="1">
        <v>21</v>
      </c>
      <c r="J966" s="1">
        <v>47</v>
      </c>
      <c r="K966" s="8">
        <f>tblInventory[[#This Row],[Reorder_Quantity]]*M966</f>
        <v>470</v>
      </c>
      <c r="L966" s="10">
        <f>tblInventory[[#This Row],[Stock_Quantity]] / tblInventory[[#This Row],[Reorder_Quantity]]</f>
        <v>0.55319148936170215</v>
      </c>
      <c r="M966" s="3">
        <v>10</v>
      </c>
      <c r="N966" s="10">
        <f t="shared" si="30"/>
        <v>0.44142614601018676</v>
      </c>
      <c r="O966" s="2">
        <v>45359</v>
      </c>
      <c r="P966" s="1" t="s">
        <v>20</v>
      </c>
      <c r="Q966" s="2">
        <v>45667</v>
      </c>
      <c r="R966" s="1" t="s">
        <v>1729</v>
      </c>
      <c r="S966" s="1">
        <v>40</v>
      </c>
      <c r="T966" s="1">
        <v>59</v>
      </c>
      <c r="U966" s="1" t="s">
        <v>24</v>
      </c>
      <c r="V966" s="3">
        <f>tblInventory[[#This Row],[Stock_Quantity]]*tblInventory[[#This Row],[Unit_Price]]</f>
        <v>260</v>
      </c>
      <c r="W966" s="1" t="str">
        <f>IF(tblInventory[[#This Row],[Status]]="Discontinued","INACTIVE",
IF(tblInventory[[#This Row],[Stock_Quantity]] &lt; tblInventory[[#This Row],[Reorder_Level]],"REORDER","OK"))</f>
        <v>INACTIVE</v>
      </c>
      <c r="X966" s="1" t="str">
        <f t="shared" ca="1" si="31"/>
        <v>Expired</v>
      </c>
    </row>
    <row r="967" spans="1:24">
      <c r="A967" s="1">
        <v>966</v>
      </c>
      <c r="B967" s="1" t="s">
        <v>2663</v>
      </c>
      <c r="C967" s="1" t="s">
        <v>1680</v>
      </c>
      <c r="D967" s="1" t="s">
        <v>17</v>
      </c>
      <c r="E967" s="1" t="s">
        <v>2664</v>
      </c>
      <c r="F967" s="1" t="s">
        <v>2291</v>
      </c>
      <c r="G967" s="6">
        <v>19</v>
      </c>
      <c r="H967" s="8">
        <f>tblInventory[[#This Row],[Stock_Quantity]] * tblInventory[[#This Row],[Unit_Price]]</f>
        <v>190</v>
      </c>
      <c r="I967" s="1">
        <v>77</v>
      </c>
      <c r="J967" s="1">
        <v>66</v>
      </c>
      <c r="K967" s="8">
        <f>tblInventory[[#This Row],[Reorder_Quantity]]*M967</f>
        <v>660</v>
      </c>
      <c r="L967" s="10">
        <f>tblInventory[[#This Row],[Stock_Quantity]] / tblInventory[[#This Row],[Reorder_Quantity]]</f>
        <v>0.2878787878787879</v>
      </c>
      <c r="M967" s="3">
        <v>10</v>
      </c>
      <c r="N967" s="10">
        <f t="shared" si="30"/>
        <v>0.32258064516129031</v>
      </c>
      <c r="O967" s="2">
        <v>45484</v>
      </c>
      <c r="P967" s="1" t="s">
        <v>259</v>
      </c>
      <c r="Q967" s="2">
        <v>46218</v>
      </c>
      <c r="R967" s="1" t="s">
        <v>2665</v>
      </c>
      <c r="S967" s="1">
        <v>62</v>
      </c>
      <c r="T967" s="1">
        <v>100</v>
      </c>
      <c r="U967" s="1" t="s">
        <v>46</v>
      </c>
      <c r="V967" s="3">
        <f>tblInventory[[#This Row],[Stock_Quantity]]*tblInventory[[#This Row],[Unit_Price]]</f>
        <v>190</v>
      </c>
      <c r="W967" s="1" t="str">
        <f>IF(tblInventory[[#This Row],[Status]]="Discontinued","INACTIVE",
IF(tblInventory[[#This Row],[Stock_Quantity]] &lt; tblInventory[[#This Row],[Reorder_Level]],"REORDER","OK"))</f>
        <v>REORDER</v>
      </c>
      <c r="X967" s="1" t="str">
        <f t="shared" ca="1" si="31"/>
        <v>Valid</v>
      </c>
    </row>
    <row r="968" spans="1:24">
      <c r="A968" s="1">
        <v>967</v>
      </c>
      <c r="B968" s="1" t="s">
        <v>2683</v>
      </c>
      <c r="C968" s="1" t="s">
        <v>1680</v>
      </c>
      <c r="D968" s="1" t="s">
        <v>17</v>
      </c>
      <c r="E968" s="1" t="s">
        <v>2684</v>
      </c>
      <c r="F968" s="1" t="s">
        <v>1045</v>
      </c>
      <c r="G968" s="6">
        <v>58</v>
      </c>
      <c r="H968" s="8">
        <f>tblInventory[[#This Row],[Stock_Quantity]] * tblInventory[[#This Row],[Unit_Price]]</f>
        <v>580</v>
      </c>
      <c r="I968" s="1">
        <v>24</v>
      </c>
      <c r="J968" s="1">
        <v>25</v>
      </c>
      <c r="K968" s="8">
        <f>tblInventory[[#This Row],[Reorder_Quantity]]*M968</f>
        <v>250</v>
      </c>
      <c r="L968" s="10">
        <f>tblInventory[[#This Row],[Stock_Quantity]] / tblInventory[[#This Row],[Reorder_Quantity]]</f>
        <v>2.3199999999999998</v>
      </c>
      <c r="M968" s="3">
        <v>10</v>
      </c>
      <c r="N968" s="10">
        <f t="shared" si="30"/>
        <v>0.98471986417657054</v>
      </c>
      <c r="O968" s="1" t="s">
        <v>279</v>
      </c>
      <c r="P968" s="1" t="s">
        <v>317</v>
      </c>
      <c r="Q968" s="2">
        <v>46224</v>
      </c>
      <c r="R968" s="1" t="s">
        <v>2685</v>
      </c>
      <c r="S968" s="1">
        <v>75</v>
      </c>
      <c r="T968" s="1">
        <v>26</v>
      </c>
      <c r="U968" s="1" t="s">
        <v>46</v>
      </c>
      <c r="V968" s="3">
        <f>tblInventory[[#This Row],[Stock_Quantity]]*tblInventory[[#This Row],[Unit_Price]]</f>
        <v>580</v>
      </c>
      <c r="W968" s="1" t="str">
        <f>IF(tblInventory[[#This Row],[Status]]="Discontinued","INACTIVE",
IF(tblInventory[[#This Row],[Stock_Quantity]] &lt; tblInventory[[#This Row],[Reorder_Level]],"REORDER","OK"))</f>
        <v>OK</v>
      </c>
      <c r="X968" s="1" t="str">
        <f t="shared" ca="1" si="31"/>
        <v>Valid</v>
      </c>
    </row>
    <row r="969" spans="1:24">
      <c r="A969" s="1">
        <v>968</v>
      </c>
      <c r="B969" s="1" t="s">
        <v>2998</v>
      </c>
      <c r="C969" s="1" t="s">
        <v>1680</v>
      </c>
      <c r="D969" s="1" t="s">
        <v>17</v>
      </c>
      <c r="E969" s="1" t="s">
        <v>2999</v>
      </c>
      <c r="F969" s="1" t="s">
        <v>3000</v>
      </c>
      <c r="G969" s="6">
        <v>41</v>
      </c>
      <c r="H969" s="8">
        <f>tblInventory[[#This Row],[Stock_Quantity]] * tblInventory[[#This Row],[Unit_Price]]</f>
        <v>399.75</v>
      </c>
      <c r="I969" s="1">
        <v>56</v>
      </c>
      <c r="J969" s="1">
        <v>12</v>
      </c>
      <c r="K969" s="8">
        <f>tblInventory[[#This Row],[Reorder_Quantity]]*M969</f>
        <v>117</v>
      </c>
      <c r="L969" s="10">
        <f>tblInventory[[#This Row],[Stock_Quantity]] / tblInventory[[#This Row],[Reorder_Quantity]]</f>
        <v>3.4166666666666665</v>
      </c>
      <c r="M969" s="3">
        <v>9.75</v>
      </c>
      <c r="N969" s="10">
        <f t="shared" si="30"/>
        <v>0.69609507640067914</v>
      </c>
      <c r="O969" s="2">
        <v>45448</v>
      </c>
      <c r="P969" s="1" t="s">
        <v>286</v>
      </c>
      <c r="Q969" s="2">
        <v>46321</v>
      </c>
      <c r="R969" s="1" t="s">
        <v>3001</v>
      </c>
      <c r="S969" s="1">
        <v>93</v>
      </c>
      <c r="T969" s="1">
        <v>88</v>
      </c>
      <c r="U969" s="1" t="s">
        <v>46</v>
      </c>
      <c r="V969" s="3">
        <f>tblInventory[[#This Row],[Stock_Quantity]]*tblInventory[[#This Row],[Unit_Price]]</f>
        <v>399.75</v>
      </c>
      <c r="W969" s="1" t="str">
        <f>IF(tblInventory[[#This Row],[Status]]="Discontinued","INACTIVE",
IF(tblInventory[[#This Row],[Stock_Quantity]] &lt; tblInventory[[#This Row],[Reorder_Level]],"REORDER","OK"))</f>
        <v>REORDER</v>
      </c>
      <c r="X969" s="1" t="str">
        <f t="shared" ca="1" si="31"/>
        <v>Valid</v>
      </c>
    </row>
    <row r="970" spans="1:24">
      <c r="A970" s="1">
        <v>969</v>
      </c>
      <c r="B970" s="1" t="s">
        <v>3339</v>
      </c>
      <c r="C970" s="1" t="s">
        <v>1680</v>
      </c>
      <c r="D970" s="1" t="s">
        <v>17</v>
      </c>
      <c r="E970" s="1" t="s">
        <v>3340</v>
      </c>
      <c r="F970" s="1" t="s">
        <v>1203</v>
      </c>
      <c r="G970" s="6">
        <v>98</v>
      </c>
      <c r="H970" s="8">
        <f>tblInventory[[#This Row],[Stock_Quantity]] * tblInventory[[#This Row],[Unit_Price]]</f>
        <v>980</v>
      </c>
      <c r="I970" s="1">
        <v>30</v>
      </c>
      <c r="J970" s="1">
        <v>39</v>
      </c>
      <c r="K970" s="8">
        <f>tblInventory[[#This Row],[Reorder_Quantity]]*M970</f>
        <v>390</v>
      </c>
      <c r="L970" s="10">
        <f>tblInventory[[#This Row],[Stock_Quantity]] / tblInventory[[#This Row],[Reorder_Quantity]]</f>
        <v>2.5128205128205128</v>
      </c>
      <c r="M970" s="3">
        <v>10</v>
      </c>
      <c r="N970" s="10">
        <f t="shared" si="30"/>
        <v>1.66383701188455</v>
      </c>
      <c r="O970" s="1" t="s">
        <v>286</v>
      </c>
      <c r="P970" s="1" t="s">
        <v>1418</v>
      </c>
      <c r="Q970" s="2">
        <v>46431</v>
      </c>
      <c r="R970" s="1" t="s">
        <v>3341</v>
      </c>
      <c r="S970" s="1">
        <v>31</v>
      </c>
      <c r="T970" s="1">
        <v>26</v>
      </c>
      <c r="U970" s="1" t="s">
        <v>46</v>
      </c>
      <c r="V970" s="3">
        <f>tblInventory[[#This Row],[Stock_Quantity]]*tblInventory[[#This Row],[Unit_Price]]</f>
        <v>980</v>
      </c>
      <c r="W970" s="1" t="str">
        <f>IF(tblInventory[[#This Row],[Status]]="Discontinued","INACTIVE",
IF(tblInventory[[#This Row],[Stock_Quantity]] &lt; tblInventory[[#This Row],[Reorder_Level]],"REORDER","OK"))</f>
        <v>OK</v>
      </c>
      <c r="X970" s="1" t="str">
        <f t="shared" ca="1" si="31"/>
        <v>Valid</v>
      </c>
    </row>
    <row r="971" spans="1:24">
      <c r="A971" s="1">
        <v>970</v>
      </c>
      <c r="B971" s="1" t="s">
        <v>3370</v>
      </c>
      <c r="C971" s="1" t="s">
        <v>1680</v>
      </c>
      <c r="D971" s="1" t="s">
        <v>17</v>
      </c>
      <c r="E971" s="1" t="s">
        <v>3371</v>
      </c>
      <c r="F971" s="1" t="s">
        <v>303</v>
      </c>
      <c r="G971" s="6">
        <v>72</v>
      </c>
      <c r="H971" s="8">
        <f>tblInventory[[#This Row],[Stock_Quantity]] * tblInventory[[#This Row],[Unit_Price]]</f>
        <v>702</v>
      </c>
      <c r="I971" s="1">
        <v>82</v>
      </c>
      <c r="J971" s="1">
        <v>52</v>
      </c>
      <c r="K971" s="8">
        <f>tblInventory[[#This Row],[Reorder_Quantity]]*M971</f>
        <v>507</v>
      </c>
      <c r="L971" s="10">
        <f>tblInventory[[#This Row],[Stock_Quantity]] / tblInventory[[#This Row],[Reorder_Quantity]]</f>
        <v>1.3846153846153846</v>
      </c>
      <c r="M971" s="3">
        <v>9.75</v>
      </c>
      <c r="N971" s="10">
        <f t="shared" si="30"/>
        <v>1.2224108658743633</v>
      </c>
      <c r="O971" s="2">
        <v>45359</v>
      </c>
      <c r="P971" s="2">
        <v>45542</v>
      </c>
      <c r="Q971" s="2">
        <v>46441</v>
      </c>
      <c r="R971" s="1" t="s">
        <v>3372</v>
      </c>
      <c r="S971" s="1">
        <v>51</v>
      </c>
      <c r="T971" s="1">
        <v>95</v>
      </c>
      <c r="U971" s="1" t="s">
        <v>38</v>
      </c>
      <c r="V971" s="3">
        <f>tblInventory[[#This Row],[Stock_Quantity]]*tblInventory[[#This Row],[Unit_Price]]</f>
        <v>702</v>
      </c>
      <c r="W971" s="1" t="str">
        <f>IF(tblInventory[[#This Row],[Status]]="Discontinued","INACTIVE",
IF(tblInventory[[#This Row],[Stock_Quantity]] &lt; tblInventory[[#This Row],[Reorder_Level]],"REORDER","OK"))</f>
        <v>REORDER</v>
      </c>
      <c r="X971" s="1" t="str">
        <f t="shared" ca="1" si="31"/>
        <v>Valid</v>
      </c>
    </row>
    <row r="972" spans="1:24">
      <c r="A972" s="1">
        <v>971</v>
      </c>
      <c r="B972" s="1" t="s">
        <v>3620</v>
      </c>
      <c r="C972" s="1" t="s">
        <v>1680</v>
      </c>
      <c r="D972" s="1" t="s">
        <v>17</v>
      </c>
      <c r="E972" s="1" t="s">
        <v>3621</v>
      </c>
      <c r="F972" s="1" t="s">
        <v>303</v>
      </c>
      <c r="G972" s="6">
        <v>32</v>
      </c>
      <c r="H972" s="8">
        <f>tblInventory[[#This Row],[Stock_Quantity]] * tblInventory[[#This Row],[Unit_Price]]</f>
        <v>320</v>
      </c>
      <c r="I972" s="1">
        <v>91</v>
      </c>
      <c r="J972" s="1">
        <v>80</v>
      </c>
      <c r="K972" s="8">
        <f>tblInventory[[#This Row],[Reorder_Quantity]]*M972</f>
        <v>800</v>
      </c>
      <c r="L972" s="10">
        <f>tblInventory[[#This Row],[Stock_Quantity]] / tblInventory[[#This Row],[Reorder_Quantity]]</f>
        <v>0.4</v>
      </c>
      <c r="M972" s="3">
        <v>10</v>
      </c>
      <c r="N972" s="10">
        <f t="shared" si="30"/>
        <v>0.54329371816638372</v>
      </c>
      <c r="O972" s="1" t="s">
        <v>335</v>
      </c>
      <c r="P972" s="1" t="s">
        <v>596</v>
      </c>
      <c r="Q972" s="2">
        <v>46522</v>
      </c>
      <c r="R972" s="1" t="s">
        <v>3622</v>
      </c>
      <c r="S972" s="1">
        <v>69</v>
      </c>
      <c r="T972" s="1">
        <v>80</v>
      </c>
      <c r="U972" s="1" t="s">
        <v>24</v>
      </c>
      <c r="V972" s="3">
        <f>tblInventory[[#This Row],[Stock_Quantity]]*tblInventory[[#This Row],[Unit_Price]]</f>
        <v>320</v>
      </c>
      <c r="W972" s="1" t="str">
        <f>IF(tblInventory[[#This Row],[Status]]="Discontinued","INACTIVE",
IF(tblInventory[[#This Row],[Stock_Quantity]] &lt; tblInventory[[#This Row],[Reorder_Level]],"REORDER","OK"))</f>
        <v>INACTIVE</v>
      </c>
      <c r="X972" s="1" t="str">
        <f t="shared" ca="1" si="31"/>
        <v>Valid</v>
      </c>
    </row>
    <row r="973" spans="1:24">
      <c r="A973" s="1">
        <v>972</v>
      </c>
      <c r="B973" s="1" t="s">
        <v>1420</v>
      </c>
      <c r="C973" s="1" t="s">
        <v>1421</v>
      </c>
      <c r="D973" s="1" t="s">
        <v>69</v>
      </c>
      <c r="E973" s="1" t="s">
        <v>1422</v>
      </c>
      <c r="F973" s="1" t="s">
        <v>1423</v>
      </c>
      <c r="G973" s="6">
        <v>59</v>
      </c>
      <c r="H973" s="8">
        <f>tblInventory[[#This Row],[Stock_Quantity]] * tblInventory[[#This Row],[Unit_Price]]</f>
        <v>103.25</v>
      </c>
      <c r="I973" s="1">
        <v>27</v>
      </c>
      <c r="J973" s="1">
        <v>63</v>
      </c>
      <c r="K973" s="8">
        <f>tblInventory[[#This Row],[Reorder_Quantity]]*M973</f>
        <v>110.25</v>
      </c>
      <c r="L973" s="10">
        <f>tblInventory[[#This Row],[Stock_Quantity]] / tblInventory[[#This Row],[Reorder_Quantity]]</f>
        <v>0.93650793650793651</v>
      </c>
      <c r="M973" s="3">
        <v>1.75</v>
      </c>
      <c r="N973" s="10">
        <f t="shared" si="30"/>
        <v>1.0016977928692701</v>
      </c>
      <c r="O973" s="1" t="s">
        <v>956</v>
      </c>
      <c r="P973" s="1" t="s">
        <v>1424</v>
      </c>
      <c r="Q973" s="2">
        <v>45876</v>
      </c>
      <c r="R973" s="1" t="s">
        <v>1425</v>
      </c>
      <c r="S973" s="1">
        <v>92</v>
      </c>
      <c r="T973" s="1">
        <v>82</v>
      </c>
      <c r="U973" s="1" t="s">
        <v>24</v>
      </c>
      <c r="V973" s="3">
        <f>tblInventory[[#This Row],[Stock_Quantity]]*tblInventory[[#This Row],[Unit_Price]]</f>
        <v>103.25</v>
      </c>
      <c r="W973" s="1" t="str">
        <f>IF(tblInventory[[#This Row],[Status]]="Discontinued","INACTIVE",
IF(tblInventory[[#This Row],[Stock_Quantity]] &lt; tblInventory[[#This Row],[Reorder_Level]],"REORDER","OK"))</f>
        <v>INACTIVE</v>
      </c>
      <c r="X973" s="1" t="str">
        <f t="shared" ca="1" si="31"/>
        <v>Expired</v>
      </c>
    </row>
    <row r="974" spans="1:24">
      <c r="A974" s="1">
        <v>973</v>
      </c>
      <c r="B974" s="1" t="s">
        <v>1736</v>
      </c>
      <c r="C974" s="1" t="s">
        <v>1421</v>
      </c>
      <c r="D974" s="1" t="s">
        <v>69</v>
      </c>
      <c r="E974" s="1" t="s">
        <v>1737</v>
      </c>
      <c r="F974" s="1" t="s">
        <v>896</v>
      </c>
      <c r="G974" s="6">
        <v>76</v>
      </c>
      <c r="H974" s="8">
        <f>tblInventory[[#This Row],[Stock_Quantity]] * tblInventory[[#This Row],[Unit_Price]]</f>
        <v>133</v>
      </c>
      <c r="I974" s="1">
        <v>98</v>
      </c>
      <c r="J974" s="1">
        <v>41</v>
      </c>
      <c r="K974" s="8">
        <f>tblInventory[[#This Row],[Reorder_Quantity]]*M974</f>
        <v>71.75</v>
      </c>
      <c r="L974" s="10">
        <f>tblInventory[[#This Row],[Stock_Quantity]] / tblInventory[[#This Row],[Reorder_Quantity]]</f>
        <v>1.8536585365853659</v>
      </c>
      <c r="M974" s="3">
        <v>1.75</v>
      </c>
      <c r="N974" s="10">
        <f t="shared" si="30"/>
        <v>1.2903225806451613</v>
      </c>
      <c r="O974" s="1" t="s">
        <v>83</v>
      </c>
      <c r="P974" s="1" t="s">
        <v>770</v>
      </c>
      <c r="Q974" s="2">
        <v>45757</v>
      </c>
      <c r="R974" s="1" t="s">
        <v>1738</v>
      </c>
      <c r="S974" s="1">
        <v>62</v>
      </c>
      <c r="T974" s="1">
        <v>48</v>
      </c>
      <c r="U974" s="1" t="s">
        <v>38</v>
      </c>
      <c r="V974" s="3">
        <f>tblInventory[[#This Row],[Stock_Quantity]]*tblInventory[[#This Row],[Unit_Price]]</f>
        <v>133</v>
      </c>
      <c r="W974" s="1" t="str">
        <f>IF(tblInventory[[#This Row],[Status]]="Discontinued","INACTIVE",
IF(tblInventory[[#This Row],[Stock_Quantity]] &lt; tblInventory[[#This Row],[Reorder_Level]],"REORDER","OK"))</f>
        <v>REORDER</v>
      </c>
      <c r="X974" s="1" t="str">
        <f t="shared" ca="1" si="31"/>
        <v>Expired</v>
      </c>
    </row>
    <row r="975" spans="1:24">
      <c r="A975" s="1">
        <v>974</v>
      </c>
      <c r="B975" s="1" t="s">
        <v>1847</v>
      </c>
      <c r="C975" s="1" t="s">
        <v>1421</v>
      </c>
      <c r="D975" s="1" t="s">
        <v>69</v>
      </c>
      <c r="E975" s="1" t="s">
        <v>1848</v>
      </c>
      <c r="F975" s="1" t="s">
        <v>1216</v>
      </c>
      <c r="G975" s="6">
        <v>92</v>
      </c>
      <c r="H975" s="8">
        <f>tblInventory[[#This Row],[Stock_Quantity]] * tblInventory[[#This Row],[Unit_Price]]</f>
        <v>161</v>
      </c>
      <c r="I975" s="1">
        <v>92</v>
      </c>
      <c r="J975" s="1">
        <v>28</v>
      </c>
      <c r="K975" s="8">
        <f>tblInventory[[#This Row],[Reorder_Quantity]]*M975</f>
        <v>49</v>
      </c>
      <c r="L975" s="10">
        <f>tblInventory[[#This Row],[Stock_Quantity]] / tblInventory[[#This Row],[Reorder_Quantity]]</f>
        <v>3.2857142857142856</v>
      </c>
      <c r="M975" s="3">
        <v>1.75</v>
      </c>
      <c r="N975" s="10">
        <f t="shared" si="30"/>
        <v>1.5619694397283532</v>
      </c>
      <c r="O975" s="1" t="s">
        <v>277</v>
      </c>
      <c r="P975" s="2">
        <v>45574</v>
      </c>
      <c r="Q975" s="2">
        <v>45819</v>
      </c>
      <c r="R975" s="1" t="s">
        <v>1849</v>
      </c>
      <c r="S975" s="1">
        <v>50</v>
      </c>
      <c r="T975" s="1">
        <v>67</v>
      </c>
      <c r="U975" s="1" t="s">
        <v>24</v>
      </c>
      <c r="V975" s="3">
        <f>tblInventory[[#This Row],[Stock_Quantity]]*tblInventory[[#This Row],[Unit_Price]]</f>
        <v>161</v>
      </c>
      <c r="W975" s="1" t="str">
        <f>IF(tblInventory[[#This Row],[Status]]="Discontinued","INACTIVE",
IF(tblInventory[[#This Row],[Stock_Quantity]] &lt; tblInventory[[#This Row],[Reorder_Level]],"REORDER","OK"))</f>
        <v>INACTIVE</v>
      </c>
      <c r="X975" s="1" t="str">
        <f t="shared" ca="1" si="31"/>
        <v>Expired</v>
      </c>
    </row>
    <row r="976" spans="1:24">
      <c r="A976" s="1">
        <v>975</v>
      </c>
      <c r="B976" s="1" t="s">
        <v>1981</v>
      </c>
      <c r="C976" s="1" t="s">
        <v>1421</v>
      </c>
      <c r="D976" s="1" t="s">
        <v>69</v>
      </c>
      <c r="E976" s="1" t="s">
        <v>1982</v>
      </c>
      <c r="F976" s="1" t="s">
        <v>19</v>
      </c>
      <c r="G976" s="6">
        <v>55</v>
      </c>
      <c r="H976" s="8">
        <f>tblInventory[[#This Row],[Stock_Quantity]] * tblInventory[[#This Row],[Unit_Price]]</f>
        <v>93.5</v>
      </c>
      <c r="I976" s="1">
        <v>50</v>
      </c>
      <c r="J976" s="1">
        <v>56</v>
      </c>
      <c r="K976" s="8">
        <f>tblInventory[[#This Row],[Reorder_Quantity]]*M976</f>
        <v>95.2</v>
      </c>
      <c r="L976" s="10">
        <f>tblInventory[[#This Row],[Stock_Quantity]] / tblInventory[[#This Row],[Reorder_Quantity]]</f>
        <v>0.9821428571428571</v>
      </c>
      <c r="M976" s="3">
        <v>1.7</v>
      </c>
      <c r="N976" s="10">
        <f t="shared" si="30"/>
        <v>0.93378607809847203</v>
      </c>
      <c r="O976" s="2">
        <v>45297</v>
      </c>
      <c r="P976" s="2">
        <v>45546</v>
      </c>
      <c r="Q976" s="2">
        <v>46008</v>
      </c>
      <c r="R976" s="1" t="s">
        <v>1983</v>
      </c>
      <c r="S976" s="1">
        <v>62</v>
      </c>
      <c r="T976" s="1">
        <v>26</v>
      </c>
      <c r="U976" s="1" t="s">
        <v>38</v>
      </c>
      <c r="V976" s="3">
        <f>tblInventory[[#This Row],[Stock_Quantity]]*tblInventory[[#This Row],[Unit_Price]]</f>
        <v>93.5</v>
      </c>
      <c r="W976" s="1" t="str">
        <f>IF(tblInventory[[#This Row],[Status]]="Discontinued","INACTIVE",
IF(tblInventory[[#This Row],[Stock_Quantity]] &lt; tblInventory[[#This Row],[Reorder_Level]],"REORDER","OK"))</f>
        <v>OK</v>
      </c>
      <c r="X976" s="1" t="str">
        <f t="shared" ca="1" si="31"/>
        <v>Valid</v>
      </c>
    </row>
    <row r="977" spans="1:24">
      <c r="A977" s="1">
        <v>976</v>
      </c>
      <c r="B977" s="1" t="s">
        <v>2110</v>
      </c>
      <c r="C977" s="1" t="s">
        <v>1421</v>
      </c>
      <c r="D977" s="1" t="s">
        <v>69</v>
      </c>
      <c r="E977" s="1" t="s">
        <v>2111</v>
      </c>
      <c r="F977" s="1" t="s">
        <v>543</v>
      </c>
      <c r="G977" s="6">
        <v>85</v>
      </c>
      <c r="H977" s="8">
        <f>tblInventory[[#This Row],[Stock_Quantity]] * tblInventory[[#This Row],[Unit_Price]]</f>
        <v>148.75</v>
      </c>
      <c r="I977" s="1">
        <v>83</v>
      </c>
      <c r="J977" s="1">
        <v>13</v>
      </c>
      <c r="K977" s="8">
        <f>tblInventory[[#This Row],[Reorder_Quantity]]*M977</f>
        <v>22.75</v>
      </c>
      <c r="L977" s="10">
        <f>tblInventory[[#This Row],[Stock_Quantity]] / tblInventory[[#This Row],[Reorder_Quantity]]</f>
        <v>6.5384615384615383</v>
      </c>
      <c r="M977" s="3">
        <v>1.75</v>
      </c>
      <c r="N977" s="10">
        <f t="shared" si="30"/>
        <v>1.4431239388794568</v>
      </c>
      <c r="O977" s="2">
        <v>45416</v>
      </c>
      <c r="P977" s="1" t="s">
        <v>199</v>
      </c>
      <c r="Q977" s="2">
        <v>46048</v>
      </c>
      <c r="R977" s="1" t="s">
        <v>2112</v>
      </c>
      <c r="S977" s="1">
        <v>49</v>
      </c>
      <c r="T977" s="1">
        <v>75</v>
      </c>
      <c r="U977" s="1" t="s">
        <v>38</v>
      </c>
      <c r="V977" s="3">
        <f>tblInventory[[#This Row],[Stock_Quantity]]*tblInventory[[#This Row],[Unit_Price]]</f>
        <v>148.75</v>
      </c>
      <c r="W977" s="1" t="str">
        <f>IF(tblInventory[[#This Row],[Status]]="Discontinued","INACTIVE",
IF(tblInventory[[#This Row],[Stock_Quantity]] &lt; tblInventory[[#This Row],[Reorder_Level]],"REORDER","OK"))</f>
        <v>OK</v>
      </c>
      <c r="X977" s="1" t="str">
        <f t="shared" ca="1" si="31"/>
        <v>Valid</v>
      </c>
    </row>
    <row r="978" spans="1:24">
      <c r="A978" s="1">
        <v>977</v>
      </c>
      <c r="B978" s="1" t="s">
        <v>2336</v>
      </c>
      <c r="C978" s="1" t="s">
        <v>1421</v>
      </c>
      <c r="D978" s="1" t="s">
        <v>69</v>
      </c>
      <c r="E978" s="1" t="s">
        <v>2337</v>
      </c>
      <c r="F978" s="1" t="s">
        <v>1818</v>
      </c>
      <c r="G978" s="6">
        <v>63</v>
      </c>
      <c r="H978" s="8">
        <f>tblInventory[[#This Row],[Stock_Quantity]] * tblInventory[[#This Row],[Unit_Price]]</f>
        <v>107.1</v>
      </c>
      <c r="I978" s="1">
        <v>12</v>
      </c>
      <c r="J978" s="1">
        <v>82</v>
      </c>
      <c r="K978" s="8">
        <f>tblInventory[[#This Row],[Reorder_Quantity]]*M978</f>
        <v>139.4</v>
      </c>
      <c r="L978" s="10">
        <f>tblInventory[[#This Row],[Stock_Quantity]] / tblInventory[[#This Row],[Reorder_Quantity]]</f>
        <v>0.76829268292682928</v>
      </c>
      <c r="M978" s="3">
        <v>1.7</v>
      </c>
      <c r="N978" s="10">
        <f t="shared" si="30"/>
        <v>1.069609507640068</v>
      </c>
      <c r="O978" s="1" t="s">
        <v>409</v>
      </c>
      <c r="P978" s="2">
        <v>45298</v>
      </c>
      <c r="Q978" s="2">
        <v>46177</v>
      </c>
      <c r="R978" s="1" t="s">
        <v>2338</v>
      </c>
      <c r="S978" s="1">
        <v>56</v>
      </c>
      <c r="T978" s="1">
        <v>31</v>
      </c>
      <c r="U978" s="1" t="s">
        <v>38</v>
      </c>
      <c r="V978" s="3">
        <f>tblInventory[[#This Row],[Stock_Quantity]]*tblInventory[[#This Row],[Unit_Price]]</f>
        <v>107.1</v>
      </c>
      <c r="W978" s="1" t="str">
        <f>IF(tblInventory[[#This Row],[Status]]="Discontinued","INACTIVE",
IF(tblInventory[[#This Row],[Stock_Quantity]] &lt; tblInventory[[#This Row],[Reorder_Level]],"REORDER","OK"))</f>
        <v>OK</v>
      </c>
      <c r="X978" s="1" t="str">
        <f t="shared" ca="1" si="31"/>
        <v>Valid</v>
      </c>
    </row>
    <row r="979" spans="1:24">
      <c r="A979" s="1">
        <v>978</v>
      </c>
      <c r="B979" s="1" t="s">
        <v>2666</v>
      </c>
      <c r="C979" s="1" t="s">
        <v>1421</v>
      </c>
      <c r="D979" s="1" t="s">
        <v>69</v>
      </c>
      <c r="E979" s="1" t="s">
        <v>2667</v>
      </c>
      <c r="F979" s="1" t="s">
        <v>1728</v>
      </c>
      <c r="G979" s="6">
        <v>12</v>
      </c>
      <c r="H979" s="8">
        <f>tblInventory[[#This Row],[Stock_Quantity]] * tblInventory[[#This Row],[Unit_Price]]</f>
        <v>21</v>
      </c>
      <c r="I979" s="1">
        <v>83</v>
      </c>
      <c r="J979" s="1">
        <v>93</v>
      </c>
      <c r="K979" s="8">
        <f>tblInventory[[#This Row],[Reorder_Quantity]]*M979</f>
        <v>162.75</v>
      </c>
      <c r="L979" s="10">
        <f>tblInventory[[#This Row],[Stock_Quantity]] / tblInventory[[#This Row],[Reorder_Quantity]]</f>
        <v>0.12903225806451613</v>
      </c>
      <c r="M979" s="3">
        <v>1.75</v>
      </c>
      <c r="N979" s="10">
        <f t="shared" si="30"/>
        <v>0.2037351443123939</v>
      </c>
      <c r="O979" s="1" t="s">
        <v>496</v>
      </c>
      <c r="P979" s="1" t="s">
        <v>233</v>
      </c>
      <c r="Q979" s="2">
        <v>46219</v>
      </c>
      <c r="R979" s="1" t="s">
        <v>2668</v>
      </c>
      <c r="S979" s="1">
        <v>22</v>
      </c>
      <c r="T979" s="1">
        <v>9</v>
      </c>
      <c r="U979" s="1" t="s">
        <v>38</v>
      </c>
      <c r="V979" s="3">
        <f>tblInventory[[#This Row],[Stock_Quantity]]*tblInventory[[#This Row],[Unit_Price]]</f>
        <v>21</v>
      </c>
      <c r="W979" s="1" t="str">
        <f>IF(tblInventory[[#This Row],[Status]]="Discontinued","INACTIVE",
IF(tblInventory[[#This Row],[Stock_Quantity]] &lt; tblInventory[[#This Row],[Reorder_Level]],"REORDER","OK"))</f>
        <v>REORDER</v>
      </c>
      <c r="X979" s="1" t="str">
        <f t="shared" ca="1" si="31"/>
        <v>Valid</v>
      </c>
    </row>
    <row r="980" spans="1:24">
      <c r="A980" s="1">
        <v>979</v>
      </c>
      <c r="B980" s="1" t="s">
        <v>3210</v>
      </c>
      <c r="C980" s="1" t="s">
        <v>1421</v>
      </c>
      <c r="D980" s="1" t="s">
        <v>69</v>
      </c>
      <c r="E980" s="1" t="s">
        <v>3211</v>
      </c>
      <c r="F980" s="1" t="s">
        <v>3212</v>
      </c>
      <c r="G980" s="6">
        <v>80</v>
      </c>
      <c r="H980" s="8">
        <f>tblInventory[[#This Row],[Stock_Quantity]] * tblInventory[[#This Row],[Unit_Price]]</f>
        <v>140</v>
      </c>
      <c r="I980" s="1">
        <v>69</v>
      </c>
      <c r="J980" s="1">
        <v>71</v>
      </c>
      <c r="K980" s="8">
        <f>tblInventory[[#This Row],[Reorder_Quantity]]*M980</f>
        <v>124.25</v>
      </c>
      <c r="L980" s="10">
        <f>tblInventory[[#This Row],[Stock_Quantity]] / tblInventory[[#This Row],[Reorder_Quantity]]</f>
        <v>1.1267605633802817</v>
      </c>
      <c r="M980" s="3">
        <v>1.75</v>
      </c>
      <c r="N980" s="10">
        <f t="shared" si="30"/>
        <v>1.3582342954159592</v>
      </c>
      <c r="O980" s="1" t="s">
        <v>396</v>
      </c>
      <c r="P980" s="2">
        <v>45356</v>
      </c>
      <c r="Q980" s="2">
        <v>46419</v>
      </c>
      <c r="R980" s="1" t="s">
        <v>3213</v>
      </c>
      <c r="S980" s="1">
        <v>41</v>
      </c>
      <c r="T980" s="1">
        <v>43</v>
      </c>
      <c r="U980" s="1" t="s">
        <v>38</v>
      </c>
      <c r="V980" s="3">
        <f>tblInventory[[#This Row],[Stock_Quantity]]*tblInventory[[#This Row],[Unit_Price]]</f>
        <v>140</v>
      </c>
      <c r="W980" s="1" t="str">
        <f>IF(tblInventory[[#This Row],[Status]]="Discontinued","INACTIVE",
IF(tblInventory[[#This Row],[Stock_Quantity]] &lt; tblInventory[[#This Row],[Reorder_Level]],"REORDER","OK"))</f>
        <v>OK</v>
      </c>
      <c r="X980" s="1" t="str">
        <f t="shared" ca="1" si="31"/>
        <v>Valid</v>
      </c>
    </row>
    <row r="981" spans="1:24">
      <c r="A981" s="1">
        <v>980</v>
      </c>
      <c r="B981" s="1" t="s">
        <v>3284</v>
      </c>
      <c r="C981" s="1" t="s">
        <v>1421</v>
      </c>
      <c r="D981" s="1" t="s">
        <v>69</v>
      </c>
      <c r="E981" s="1" t="s">
        <v>3285</v>
      </c>
      <c r="F981" s="1" t="s">
        <v>765</v>
      </c>
      <c r="G981" s="6">
        <v>86</v>
      </c>
      <c r="H981" s="8">
        <f>tblInventory[[#This Row],[Stock_Quantity]] * tblInventory[[#This Row],[Unit_Price]]</f>
        <v>150.5</v>
      </c>
      <c r="I981" s="1">
        <v>20</v>
      </c>
      <c r="J981" s="1">
        <v>67</v>
      </c>
      <c r="K981" s="8">
        <f>tblInventory[[#This Row],[Reorder_Quantity]]*M981</f>
        <v>117.25</v>
      </c>
      <c r="L981" s="10">
        <f>tblInventory[[#This Row],[Stock_Quantity]] / tblInventory[[#This Row],[Reorder_Quantity]]</f>
        <v>1.2835820895522387</v>
      </c>
      <c r="M981" s="3">
        <v>1.75</v>
      </c>
      <c r="N981" s="10">
        <f t="shared" si="30"/>
        <v>1.4601018675721562</v>
      </c>
      <c r="O981" s="2">
        <v>45993</v>
      </c>
      <c r="P981" s="2">
        <v>45480</v>
      </c>
      <c r="Q981" s="2">
        <v>46413</v>
      </c>
      <c r="R981" s="1" t="s">
        <v>3286</v>
      </c>
      <c r="S981" s="1">
        <v>83</v>
      </c>
      <c r="T981" s="1">
        <v>82</v>
      </c>
      <c r="U981" s="1" t="s">
        <v>24</v>
      </c>
      <c r="V981" s="3">
        <f>tblInventory[[#This Row],[Stock_Quantity]]*tblInventory[[#This Row],[Unit_Price]]</f>
        <v>150.5</v>
      </c>
      <c r="W981" s="1" t="str">
        <f>IF(tblInventory[[#This Row],[Status]]="Discontinued","INACTIVE",
IF(tblInventory[[#This Row],[Stock_Quantity]] &lt; tblInventory[[#This Row],[Reorder_Level]],"REORDER","OK"))</f>
        <v>INACTIVE</v>
      </c>
      <c r="X981" s="1" t="str">
        <f t="shared" ca="1" si="31"/>
        <v>Valid</v>
      </c>
    </row>
    <row r="982" spans="1:24">
      <c r="A982" s="1">
        <v>981</v>
      </c>
      <c r="B982" s="1" t="s">
        <v>267</v>
      </c>
      <c r="C982" s="1" t="s">
        <v>268</v>
      </c>
      <c r="D982" s="1" t="s">
        <v>49</v>
      </c>
      <c r="E982" s="1" t="s">
        <v>269</v>
      </c>
      <c r="F982" s="1" t="s">
        <v>270</v>
      </c>
      <c r="G982" s="6">
        <v>61</v>
      </c>
      <c r="H982" s="8">
        <f>tblInventory[[#This Row],[Stock_Quantity]] * tblInventory[[#This Row],[Unit_Price]]</f>
        <v>152.5</v>
      </c>
      <c r="I982" s="1">
        <v>90</v>
      </c>
      <c r="J982" s="1">
        <v>26</v>
      </c>
      <c r="K982" s="8">
        <f>tblInventory[[#This Row],[Reorder_Quantity]]*M982</f>
        <v>65</v>
      </c>
      <c r="L982" s="10">
        <f>tblInventory[[#This Row],[Stock_Quantity]] / tblInventory[[#This Row],[Reorder_Quantity]]</f>
        <v>2.3461538461538463</v>
      </c>
      <c r="M982" s="3">
        <v>2.5</v>
      </c>
      <c r="N982" s="10">
        <f t="shared" si="30"/>
        <v>1.0356536502546689</v>
      </c>
      <c r="O982" s="1" t="s">
        <v>271</v>
      </c>
      <c r="P982" s="2">
        <v>45482</v>
      </c>
      <c r="Q982" s="2">
        <v>45592</v>
      </c>
      <c r="R982" s="1" t="s">
        <v>272</v>
      </c>
      <c r="S982" s="1">
        <v>79</v>
      </c>
      <c r="T982" s="1">
        <v>84</v>
      </c>
      <c r="U982" s="1" t="s">
        <v>24</v>
      </c>
      <c r="V982" s="3">
        <f>tblInventory[[#This Row],[Stock_Quantity]]*tblInventory[[#This Row],[Unit_Price]]</f>
        <v>152.5</v>
      </c>
      <c r="W982" s="1" t="str">
        <f>IF(tblInventory[[#This Row],[Status]]="Discontinued","INACTIVE",
IF(tblInventory[[#This Row],[Stock_Quantity]] &lt; tblInventory[[#This Row],[Reorder_Level]],"REORDER","OK"))</f>
        <v>INACTIVE</v>
      </c>
      <c r="X982" s="1" t="str">
        <f t="shared" ca="1" si="31"/>
        <v>Expired</v>
      </c>
    </row>
    <row r="983" spans="1:24">
      <c r="A983" s="1">
        <v>982</v>
      </c>
      <c r="B983" s="1" t="s">
        <v>370</v>
      </c>
      <c r="C983" s="1" t="s">
        <v>268</v>
      </c>
      <c r="D983" s="1" t="s">
        <v>49</v>
      </c>
      <c r="E983" s="1" t="s">
        <v>371</v>
      </c>
      <c r="F983" s="1" t="s">
        <v>218</v>
      </c>
      <c r="G983" s="6">
        <v>26</v>
      </c>
      <c r="H983" s="8">
        <f>tblInventory[[#This Row],[Stock_Quantity]] * tblInventory[[#This Row],[Unit_Price]]</f>
        <v>65</v>
      </c>
      <c r="I983" s="1">
        <v>18</v>
      </c>
      <c r="J983" s="1">
        <v>62</v>
      </c>
      <c r="K983" s="8">
        <f>tblInventory[[#This Row],[Reorder_Quantity]]*M983</f>
        <v>155</v>
      </c>
      <c r="L983" s="10">
        <f>tblInventory[[#This Row],[Stock_Quantity]] / tblInventory[[#This Row],[Reorder_Quantity]]</f>
        <v>0.41935483870967744</v>
      </c>
      <c r="M983" s="3">
        <v>2.5</v>
      </c>
      <c r="N983" s="10">
        <f t="shared" si="30"/>
        <v>0.44142614601018676</v>
      </c>
      <c r="O983" s="1" t="s">
        <v>334</v>
      </c>
      <c r="P983" s="1" t="s">
        <v>372</v>
      </c>
      <c r="Q983" s="2">
        <v>45609</v>
      </c>
      <c r="R983" s="1" t="s">
        <v>373</v>
      </c>
      <c r="S983" s="1">
        <v>57</v>
      </c>
      <c r="T983" s="1">
        <v>86</v>
      </c>
      <c r="U983" s="1" t="s">
        <v>24</v>
      </c>
      <c r="V983" s="3">
        <f>tblInventory[[#This Row],[Stock_Quantity]]*tblInventory[[#This Row],[Unit_Price]]</f>
        <v>65</v>
      </c>
      <c r="W983" s="1" t="str">
        <f>IF(tblInventory[[#This Row],[Status]]="Discontinued","INACTIVE",
IF(tblInventory[[#This Row],[Stock_Quantity]] &lt; tblInventory[[#This Row],[Reorder_Level]],"REORDER","OK"))</f>
        <v>INACTIVE</v>
      </c>
      <c r="X983" s="1" t="str">
        <f t="shared" ca="1" si="31"/>
        <v>Expired</v>
      </c>
    </row>
    <row r="984" spans="1:24">
      <c r="A984" s="1">
        <v>983</v>
      </c>
      <c r="B984" s="1" t="s">
        <v>599</v>
      </c>
      <c r="C984" s="1" t="s">
        <v>268</v>
      </c>
      <c r="D984" s="1" t="s">
        <v>49</v>
      </c>
      <c r="E984" s="1" t="s">
        <v>600</v>
      </c>
      <c r="F984" s="1" t="s">
        <v>601</v>
      </c>
      <c r="G984" s="6">
        <v>43</v>
      </c>
      <c r="H984" s="8">
        <f>tblInventory[[#This Row],[Stock_Quantity]] * tblInventory[[#This Row],[Unit_Price]]</f>
        <v>107.5</v>
      </c>
      <c r="I984" s="1">
        <v>66</v>
      </c>
      <c r="J984" s="1">
        <v>85</v>
      </c>
      <c r="K984" s="8">
        <f>tblInventory[[#This Row],[Reorder_Quantity]]*M984</f>
        <v>212.5</v>
      </c>
      <c r="L984" s="10">
        <f>tblInventory[[#This Row],[Stock_Quantity]] / tblInventory[[#This Row],[Reorder_Quantity]]</f>
        <v>0.50588235294117645</v>
      </c>
      <c r="M984" s="3">
        <v>2.5</v>
      </c>
      <c r="N984" s="10">
        <f t="shared" si="30"/>
        <v>0.7300509337860781</v>
      </c>
      <c r="O984" s="1" t="s">
        <v>602</v>
      </c>
      <c r="P984" s="1" t="s">
        <v>603</v>
      </c>
      <c r="Q984" s="2">
        <v>45652</v>
      </c>
      <c r="R984" s="1" t="s">
        <v>605</v>
      </c>
      <c r="S984" s="1">
        <v>66</v>
      </c>
      <c r="T984" s="1">
        <v>65</v>
      </c>
      <c r="U984" s="1" t="s">
        <v>24</v>
      </c>
      <c r="V984" s="3">
        <f>tblInventory[[#This Row],[Stock_Quantity]]*tblInventory[[#This Row],[Unit_Price]]</f>
        <v>107.5</v>
      </c>
      <c r="W984" s="1" t="str">
        <f>IF(tblInventory[[#This Row],[Status]]="Discontinued","INACTIVE",
IF(tblInventory[[#This Row],[Stock_Quantity]] &lt; tblInventory[[#This Row],[Reorder_Level]],"REORDER","OK"))</f>
        <v>INACTIVE</v>
      </c>
      <c r="X984" s="1" t="str">
        <f t="shared" ca="1" si="31"/>
        <v>Expired</v>
      </c>
    </row>
    <row r="985" spans="1:24">
      <c r="A985" s="1">
        <v>984</v>
      </c>
      <c r="B985" s="1" t="s">
        <v>1243</v>
      </c>
      <c r="C985" s="1" t="s">
        <v>268</v>
      </c>
      <c r="D985" s="1" t="s">
        <v>49</v>
      </c>
      <c r="E985" s="1" t="s">
        <v>1244</v>
      </c>
      <c r="F985" s="1" t="s">
        <v>347</v>
      </c>
      <c r="G985" s="6">
        <v>29</v>
      </c>
      <c r="H985" s="8">
        <f>tblInventory[[#This Row],[Stock_Quantity]] * tblInventory[[#This Row],[Unit_Price]]</f>
        <v>72.5</v>
      </c>
      <c r="I985" s="1">
        <v>18</v>
      </c>
      <c r="J985" s="1">
        <v>86</v>
      </c>
      <c r="K985" s="8">
        <f>tblInventory[[#This Row],[Reorder_Quantity]]*M985</f>
        <v>215</v>
      </c>
      <c r="L985" s="10">
        <f>tblInventory[[#This Row],[Stock_Quantity]] / tblInventory[[#This Row],[Reorder_Quantity]]</f>
        <v>0.33720930232558138</v>
      </c>
      <c r="M985" s="3">
        <v>2.5</v>
      </c>
      <c r="N985" s="10">
        <f t="shared" si="30"/>
        <v>0.49235993208828527</v>
      </c>
      <c r="O985" s="1" t="s">
        <v>394</v>
      </c>
      <c r="P985" s="1" t="s">
        <v>128</v>
      </c>
      <c r="Q985" s="2">
        <v>45800</v>
      </c>
      <c r="R985" s="1" t="s">
        <v>1245</v>
      </c>
      <c r="S985" s="1">
        <v>53</v>
      </c>
      <c r="T985" s="1">
        <v>69</v>
      </c>
      <c r="U985" s="1" t="s">
        <v>46</v>
      </c>
      <c r="V985" s="3">
        <f>tblInventory[[#This Row],[Stock_Quantity]]*tblInventory[[#This Row],[Unit_Price]]</f>
        <v>72.5</v>
      </c>
      <c r="W985" s="1" t="str">
        <f>IF(tblInventory[[#This Row],[Status]]="Discontinued","INACTIVE",
IF(tblInventory[[#This Row],[Stock_Quantity]] &lt; tblInventory[[#This Row],[Reorder_Level]],"REORDER","OK"))</f>
        <v>OK</v>
      </c>
      <c r="X985" s="1" t="str">
        <f t="shared" ca="1" si="31"/>
        <v>Expired</v>
      </c>
    </row>
    <row r="986" spans="1:24">
      <c r="A986" s="1">
        <v>985</v>
      </c>
      <c r="B986" s="1" t="s">
        <v>1252</v>
      </c>
      <c r="C986" s="1" t="s">
        <v>268</v>
      </c>
      <c r="D986" s="1" t="s">
        <v>49</v>
      </c>
      <c r="E986" s="1" t="s">
        <v>1253</v>
      </c>
      <c r="F986" s="1" t="s">
        <v>970</v>
      </c>
      <c r="G986" s="6">
        <v>59</v>
      </c>
      <c r="H986" s="8">
        <f>tblInventory[[#This Row],[Stock_Quantity]] * tblInventory[[#This Row],[Unit_Price]]</f>
        <v>147.5</v>
      </c>
      <c r="I986" s="1">
        <v>91</v>
      </c>
      <c r="J986" s="1">
        <v>24</v>
      </c>
      <c r="K986" s="8">
        <f>tblInventory[[#This Row],[Reorder_Quantity]]*M986</f>
        <v>60</v>
      </c>
      <c r="L986" s="10">
        <f>tblInventory[[#This Row],[Stock_Quantity]] / tblInventory[[#This Row],[Reorder_Quantity]]</f>
        <v>2.4583333333333335</v>
      </c>
      <c r="M986" s="3">
        <v>2.5</v>
      </c>
      <c r="N986" s="10">
        <f t="shared" si="30"/>
        <v>1.0016977928692701</v>
      </c>
      <c r="O986" s="1" t="s">
        <v>496</v>
      </c>
      <c r="P986" s="1" t="s">
        <v>21</v>
      </c>
      <c r="Q986" s="2">
        <v>45803</v>
      </c>
      <c r="R986" s="1" t="s">
        <v>1255</v>
      </c>
      <c r="S986" s="1">
        <v>54</v>
      </c>
      <c r="T986" s="1">
        <v>87</v>
      </c>
      <c r="U986" s="1" t="s">
        <v>46</v>
      </c>
      <c r="V986" s="3">
        <f>tblInventory[[#This Row],[Stock_Quantity]]*tblInventory[[#This Row],[Unit_Price]]</f>
        <v>147.5</v>
      </c>
      <c r="W986" s="1" t="str">
        <f>IF(tblInventory[[#This Row],[Status]]="Discontinued","INACTIVE",
IF(tblInventory[[#This Row],[Stock_Quantity]] &lt; tblInventory[[#This Row],[Reorder_Level]],"REORDER","OK"))</f>
        <v>REORDER</v>
      </c>
      <c r="X986" s="1" t="str">
        <f t="shared" ca="1" si="31"/>
        <v>Expired</v>
      </c>
    </row>
    <row r="987" spans="1:24">
      <c r="A987" s="1">
        <v>986</v>
      </c>
      <c r="B987" s="1" t="s">
        <v>1588</v>
      </c>
      <c r="C987" s="1" t="s">
        <v>268</v>
      </c>
      <c r="D987" s="1" t="s">
        <v>49</v>
      </c>
      <c r="E987" s="1" t="s">
        <v>1589</v>
      </c>
      <c r="F987" s="1" t="s">
        <v>871</v>
      </c>
      <c r="G987" s="6">
        <v>52</v>
      </c>
      <c r="H987" s="8">
        <f>tblInventory[[#This Row],[Stock_Quantity]] * tblInventory[[#This Row],[Unit_Price]]</f>
        <v>130</v>
      </c>
      <c r="I987" s="1">
        <v>79</v>
      </c>
      <c r="J987" s="1">
        <v>87</v>
      </c>
      <c r="K987" s="8">
        <f>tblInventory[[#This Row],[Reorder_Quantity]]*M987</f>
        <v>217.5</v>
      </c>
      <c r="L987" s="10">
        <f>tblInventory[[#This Row],[Stock_Quantity]] / tblInventory[[#This Row],[Reorder_Quantity]]</f>
        <v>0.5977011494252874</v>
      </c>
      <c r="M987" s="3">
        <v>2.5</v>
      </c>
      <c r="N987" s="10">
        <f t="shared" si="30"/>
        <v>0.88285229202037352</v>
      </c>
      <c r="O987" s="2">
        <v>45602</v>
      </c>
      <c r="P987" s="2">
        <v>45386</v>
      </c>
      <c r="Q987" s="2">
        <v>45892</v>
      </c>
      <c r="R987" s="1" t="s">
        <v>1590</v>
      </c>
      <c r="S987" s="1">
        <v>36</v>
      </c>
      <c r="T987" s="1">
        <v>100</v>
      </c>
      <c r="U987" s="1" t="s">
        <v>24</v>
      </c>
      <c r="V987" s="3">
        <f>tblInventory[[#This Row],[Stock_Quantity]]*tblInventory[[#This Row],[Unit_Price]]</f>
        <v>130</v>
      </c>
      <c r="W987" s="1" t="str">
        <f>IF(tblInventory[[#This Row],[Status]]="Discontinued","INACTIVE",
IF(tblInventory[[#This Row],[Stock_Quantity]] &lt; tblInventory[[#This Row],[Reorder_Level]],"REORDER","OK"))</f>
        <v>INACTIVE</v>
      </c>
      <c r="X987" s="1" t="str">
        <f t="shared" ca="1" si="31"/>
        <v>Expired</v>
      </c>
    </row>
    <row r="988" spans="1:24">
      <c r="A988" s="1">
        <v>987</v>
      </c>
      <c r="B988" s="1" t="s">
        <v>2190</v>
      </c>
      <c r="C988" s="1" t="s">
        <v>268</v>
      </c>
      <c r="D988" s="1" t="s">
        <v>49</v>
      </c>
      <c r="E988" s="1" t="s">
        <v>2191</v>
      </c>
      <c r="F988" s="1" t="s">
        <v>114</v>
      </c>
      <c r="G988" s="6">
        <v>43</v>
      </c>
      <c r="H988" s="8">
        <f>tblInventory[[#This Row],[Stock_Quantity]] * tblInventory[[#This Row],[Unit_Price]]</f>
        <v>107.5</v>
      </c>
      <c r="I988" s="1">
        <v>21</v>
      </c>
      <c r="J988" s="1">
        <v>31</v>
      </c>
      <c r="K988" s="8">
        <f>tblInventory[[#This Row],[Reorder_Quantity]]*M988</f>
        <v>77.5</v>
      </c>
      <c r="L988" s="10">
        <f>tblInventory[[#This Row],[Stock_Quantity]] / tblInventory[[#This Row],[Reorder_Quantity]]</f>
        <v>1.3870967741935485</v>
      </c>
      <c r="M988" s="3">
        <v>2.5</v>
      </c>
      <c r="N988" s="10">
        <f t="shared" si="30"/>
        <v>0.7300509337860781</v>
      </c>
      <c r="O988" s="1" t="s">
        <v>43</v>
      </c>
      <c r="P988" s="1" t="s">
        <v>1060</v>
      </c>
      <c r="Q988" s="2">
        <v>46072</v>
      </c>
      <c r="R988" s="1" t="s">
        <v>2192</v>
      </c>
      <c r="S988" s="1">
        <v>22</v>
      </c>
      <c r="T988" s="1">
        <v>25</v>
      </c>
      <c r="U988" s="1" t="s">
        <v>38</v>
      </c>
      <c r="V988" s="3">
        <f>tblInventory[[#This Row],[Stock_Quantity]]*tblInventory[[#This Row],[Unit_Price]]</f>
        <v>107.5</v>
      </c>
      <c r="W988" s="1" t="str">
        <f>IF(tblInventory[[#This Row],[Status]]="Discontinued","INACTIVE",
IF(tblInventory[[#This Row],[Stock_Quantity]] &lt; tblInventory[[#This Row],[Reorder_Level]],"REORDER","OK"))</f>
        <v>OK</v>
      </c>
      <c r="X988" s="1" t="str">
        <f t="shared" ca="1" si="31"/>
        <v>Valid</v>
      </c>
    </row>
    <row r="989" spans="1:24">
      <c r="A989" s="1">
        <v>988</v>
      </c>
      <c r="B989" s="1" t="s">
        <v>2548</v>
      </c>
      <c r="C989" s="1" t="s">
        <v>268</v>
      </c>
      <c r="D989" s="1" t="s">
        <v>49</v>
      </c>
      <c r="E989" s="1" t="s">
        <v>2549</v>
      </c>
      <c r="F989" s="1" t="s">
        <v>2550</v>
      </c>
      <c r="G989" s="6">
        <v>89</v>
      </c>
      <c r="H989" s="8">
        <f>tblInventory[[#This Row],[Stock_Quantity]] * tblInventory[[#This Row],[Unit_Price]]</f>
        <v>222.5</v>
      </c>
      <c r="I989" s="1">
        <v>56</v>
      </c>
      <c r="J989" s="1">
        <v>74</v>
      </c>
      <c r="K989" s="8">
        <f>tblInventory[[#This Row],[Reorder_Quantity]]*M989</f>
        <v>185</v>
      </c>
      <c r="L989" s="10">
        <f>tblInventory[[#This Row],[Stock_Quantity]] / tblInventory[[#This Row],[Reorder_Quantity]]</f>
        <v>1.2027027027027026</v>
      </c>
      <c r="M989" s="3">
        <v>2.5</v>
      </c>
      <c r="N989" s="10">
        <f t="shared" si="30"/>
        <v>1.5110356536502547</v>
      </c>
      <c r="O989" s="2">
        <v>45576</v>
      </c>
      <c r="P989" s="1" t="s">
        <v>1327</v>
      </c>
      <c r="Q989" s="2">
        <v>46271</v>
      </c>
      <c r="R989" s="1" t="s">
        <v>2551</v>
      </c>
      <c r="S989" s="1">
        <v>27</v>
      </c>
      <c r="T989" s="1">
        <v>51</v>
      </c>
      <c r="U989" s="1" t="s">
        <v>38</v>
      </c>
      <c r="V989" s="3">
        <f>tblInventory[[#This Row],[Stock_Quantity]]*tblInventory[[#This Row],[Unit_Price]]</f>
        <v>222.5</v>
      </c>
      <c r="W989" s="1" t="str">
        <f>IF(tblInventory[[#This Row],[Status]]="Discontinued","INACTIVE",
IF(tblInventory[[#This Row],[Stock_Quantity]] &lt; tblInventory[[#This Row],[Reorder_Level]],"REORDER","OK"))</f>
        <v>OK</v>
      </c>
      <c r="X989" s="1" t="str">
        <f t="shared" ca="1" si="31"/>
        <v>Valid</v>
      </c>
    </row>
    <row r="990" spans="1:24">
      <c r="A990" s="1">
        <v>989</v>
      </c>
      <c r="B990" s="1" t="s">
        <v>3345</v>
      </c>
      <c r="C990" s="1" t="s">
        <v>268</v>
      </c>
      <c r="D990" s="1" t="s">
        <v>49</v>
      </c>
      <c r="E990" s="1" t="s">
        <v>3346</v>
      </c>
      <c r="F990" s="1" t="s">
        <v>565</v>
      </c>
      <c r="G990" s="6">
        <v>98</v>
      </c>
      <c r="H990" s="8">
        <f>tblInventory[[#This Row],[Stock_Quantity]] * tblInventory[[#This Row],[Unit_Price]]</f>
        <v>245</v>
      </c>
      <c r="I990" s="1">
        <v>14</v>
      </c>
      <c r="J990" s="1">
        <v>11</v>
      </c>
      <c r="K990" s="8">
        <f>tblInventory[[#This Row],[Reorder_Quantity]]*M990</f>
        <v>27.5</v>
      </c>
      <c r="L990" s="10">
        <f>tblInventory[[#This Row],[Stock_Quantity]] / tblInventory[[#This Row],[Reorder_Quantity]]</f>
        <v>8.9090909090909083</v>
      </c>
      <c r="M990" s="3">
        <v>2.5</v>
      </c>
      <c r="N990" s="10">
        <f t="shared" si="30"/>
        <v>1.66383701188455</v>
      </c>
      <c r="O990" s="1" t="s">
        <v>44</v>
      </c>
      <c r="P990" s="2">
        <v>45303</v>
      </c>
      <c r="Q990" s="2">
        <v>46433</v>
      </c>
      <c r="R990" s="1" t="s">
        <v>3347</v>
      </c>
      <c r="S990" s="1">
        <v>48</v>
      </c>
      <c r="T990" s="1">
        <v>38</v>
      </c>
      <c r="U990" s="1" t="s">
        <v>24</v>
      </c>
      <c r="V990" s="3">
        <f>tblInventory[[#This Row],[Stock_Quantity]]*tblInventory[[#This Row],[Unit_Price]]</f>
        <v>245</v>
      </c>
      <c r="W990" s="1" t="str">
        <f>IF(tblInventory[[#This Row],[Status]]="Discontinued","INACTIVE",
IF(tblInventory[[#This Row],[Stock_Quantity]] &lt; tblInventory[[#This Row],[Reorder_Level]],"REORDER","OK"))</f>
        <v>INACTIVE</v>
      </c>
      <c r="X990" s="1" t="str">
        <f t="shared" ca="1" si="31"/>
        <v>Valid</v>
      </c>
    </row>
    <row r="991" spans="1:24">
      <c r="A991" s="1">
        <v>990</v>
      </c>
      <c r="B991" s="1" t="s">
        <v>3466</v>
      </c>
      <c r="C991" s="1" t="s">
        <v>268</v>
      </c>
      <c r="D991" s="1" t="s">
        <v>49</v>
      </c>
      <c r="E991" s="1" t="s">
        <v>3467</v>
      </c>
      <c r="F991" s="1" t="s">
        <v>922</v>
      </c>
      <c r="G991" s="6">
        <v>63</v>
      </c>
      <c r="H991" s="8">
        <f>tblInventory[[#This Row],[Stock_Quantity]] * tblInventory[[#This Row],[Unit_Price]]</f>
        <v>157.5</v>
      </c>
      <c r="I991" s="1">
        <v>56</v>
      </c>
      <c r="J991" s="1">
        <v>33</v>
      </c>
      <c r="K991" s="8">
        <f>tblInventory[[#This Row],[Reorder_Quantity]]*M991</f>
        <v>82.5</v>
      </c>
      <c r="L991" s="10">
        <f>tblInventory[[#This Row],[Stock_Quantity]] / tblInventory[[#This Row],[Reorder_Quantity]]</f>
        <v>1.9090909090909092</v>
      </c>
      <c r="M991" s="3">
        <v>2.5</v>
      </c>
      <c r="N991" s="10">
        <f t="shared" si="30"/>
        <v>1.069609507640068</v>
      </c>
      <c r="O991" s="2">
        <v>45901</v>
      </c>
      <c r="P991" s="2">
        <v>45479</v>
      </c>
      <c r="Q991" s="2">
        <v>46472</v>
      </c>
      <c r="R991" s="1" t="s">
        <v>3468</v>
      </c>
      <c r="S991" s="1">
        <v>35</v>
      </c>
      <c r="T991" s="1">
        <v>16</v>
      </c>
      <c r="U991" s="1" t="s">
        <v>38</v>
      </c>
      <c r="V991" s="3">
        <f>tblInventory[[#This Row],[Stock_Quantity]]*tblInventory[[#This Row],[Unit_Price]]</f>
        <v>157.5</v>
      </c>
      <c r="W991" s="1" t="str">
        <f>IF(tblInventory[[#This Row],[Status]]="Discontinued","INACTIVE",
IF(tblInventory[[#This Row],[Stock_Quantity]] &lt; tblInventory[[#This Row],[Reorder_Level]],"REORDER","OK"))</f>
        <v>OK</v>
      </c>
      <c r="X991" s="1" t="str">
        <f t="shared" ca="1" si="31"/>
        <v>Valid</v>
      </c>
    </row>
  </sheetData>
  <phoneticPr fontId="4" type="noConversion"/>
  <conditionalFormatting sqref="U1:U991 T992:T1048576">
    <cfRule type="containsText" dxfId="3" priority="2" operator="containsText" text="Back">
      <formula>NOT(ISERROR(SEARCH("Back",T1)))</formula>
    </cfRule>
    <cfRule type="containsText" dxfId="2" priority="3" operator="containsText" text="Active">
      <formula>NOT(ISERROR(SEARCH("Active",T1)))</formula>
    </cfRule>
  </conditionalFormatting>
  <conditionalFormatting sqref="W2:W991">
    <cfRule type="containsText" dxfId="1" priority="4" operator="containsText" text="REORDER">
      <formula>NOT(ISERROR(SEARCH("REORDER",W2)))</formula>
    </cfRule>
  </conditionalFormatting>
  <conditionalFormatting sqref="X1:X991 W992:W1048576">
    <cfRule type="containsText" dxfId="0" priority="1" operator="containsText" text="valid">
      <formula>NOT(ISERROR(SEARCH("valid",W1)))</formula>
    </cfRule>
  </conditionalFormatting>
  <pageMargins left="0.75" right="0.75" top="1" bottom="1" header="0.5" footer="0.5"/>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A4900-DE99-44E2-99EF-26E7F224BC3E}">
  <dimension ref="B1:L2141"/>
  <sheetViews>
    <sheetView workbookViewId="0">
      <selection activeCell="J20" sqref="J20"/>
    </sheetView>
  </sheetViews>
  <sheetFormatPr defaultRowHeight="14.4"/>
  <cols>
    <col min="1" max="1" width="3.77734375" customWidth="1"/>
    <col min="2" max="2" width="17.6640625" bestFit="1" customWidth="1"/>
    <col min="3" max="3" width="13.109375" style="1" bestFit="1" customWidth="1"/>
    <col min="4" max="4" width="15.109375" style="1" bestFit="1" customWidth="1"/>
    <col min="5" max="5" width="19.6640625" style="1" bestFit="1" customWidth="1"/>
    <col min="6" max="6" width="10.77734375" style="1" bestFit="1" customWidth="1"/>
    <col min="7" max="7" width="19.88671875" style="1" customWidth="1"/>
    <col min="8" max="8" width="18.77734375" style="1" customWidth="1"/>
    <col min="9" max="9" width="19" style="1" customWidth="1"/>
    <col min="10" max="10" width="29.6640625" style="1" bestFit="1" customWidth="1"/>
    <col min="11" max="11" width="21.88671875" style="1" customWidth="1"/>
    <col min="12" max="12" width="18.88671875" customWidth="1"/>
    <col min="13" max="106" width="10.77734375" bestFit="1" customWidth="1"/>
    <col min="107" max="115" width="9.77734375" bestFit="1" customWidth="1"/>
    <col min="116" max="137" width="10.77734375" bestFit="1" customWidth="1"/>
    <col min="138" max="146" width="9.77734375" bestFit="1" customWidth="1"/>
    <col min="147" max="165" width="10.77734375" bestFit="1" customWidth="1"/>
    <col min="166" max="174" width="9.77734375" bestFit="1" customWidth="1"/>
    <col min="175" max="196" width="10.77734375" bestFit="1" customWidth="1"/>
    <col min="197" max="205" width="9.77734375" bestFit="1" customWidth="1"/>
    <col min="206" max="226" width="10.77734375" bestFit="1" customWidth="1"/>
    <col min="227" max="235" width="9.77734375" bestFit="1" customWidth="1"/>
    <col min="236" max="257" width="10.77734375" bestFit="1" customWidth="1"/>
    <col min="258" max="266" width="9.77734375" bestFit="1" customWidth="1"/>
    <col min="267" max="287" width="10.77734375" bestFit="1" customWidth="1"/>
    <col min="288" max="296" width="9.77734375" bestFit="1" customWidth="1"/>
    <col min="297" max="318" width="10.77734375" bestFit="1" customWidth="1"/>
    <col min="319" max="327" width="9.77734375" bestFit="1" customWidth="1"/>
    <col min="328" max="349" width="10.77734375" bestFit="1" customWidth="1"/>
    <col min="350" max="358" width="9.77734375" bestFit="1" customWidth="1"/>
    <col min="359" max="379" width="10.77734375" bestFit="1" customWidth="1"/>
    <col min="380" max="388" width="9.77734375" bestFit="1" customWidth="1"/>
    <col min="389" max="410" width="10.77734375" bestFit="1" customWidth="1"/>
    <col min="411" max="419" width="9.77734375" bestFit="1" customWidth="1"/>
    <col min="420" max="440" width="10.77734375" bestFit="1" customWidth="1"/>
    <col min="441" max="449" width="9.77734375" bestFit="1" customWidth="1"/>
    <col min="450" max="471" width="10.77734375" bestFit="1" customWidth="1"/>
    <col min="472" max="480" width="9.77734375" bestFit="1" customWidth="1"/>
    <col min="481" max="502" width="10.77734375" bestFit="1" customWidth="1"/>
    <col min="503" max="511" width="9.77734375" bestFit="1" customWidth="1"/>
    <col min="512" max="530" width="10.77734375" bestFit="1" customWidth="1"/>
    <col min="531" max="539" width="9.77734375" bestFit="1" customWidth="1"/>
    <col min="540" max="561" width="10.77734375" bestFit="1" customWidth="1"/>
    <col min="562" max="570" width="9.77734375" bestFit="1" customWidth="1"/>
    <col min="571" max="591" width="10.77734375" bestFit="1" customWidth="1"/>
    <col min="592" max="600" width="9.77734375" bestFit="1" customWidth="1"/>
    <col min="601" max="622" width="10.77734375" bestFit="1" customWidth="1"/>
    <col min="623" max="631" width="9.77734375" bestFit="1" customWidth="1"/>
    <col min="632" max="652" width="10.77734375" bestFit="1" customWidth="1"/>
    <col min="653" max="661" width="9.77734375" bestFit="1" customWidth="1"/>
    <col min="662" max="683" width="10.77734375" bestFit="1" customWidth="1"/>
    <col min="684" max="692" width="9.77734375" bestFit="1" customWidth="1"/>
    <col min="693" max="714" width="10.77734375" bestFit="1" customWidth="1"/>
    <col min="715" max="723" width="9.77734375" bestFit="1" customWidth="1"/>
    <col min="724" max="744" width="10.77734375" bestFit="1" customWidth="1"/>
    <col min="745" max="753" width="9.77734375" bestFit="1" customWidth="1"/>
    <col min="754" max="775" width="10.77734375" bestFit="1" customWidth="1"/>
    <col min="776" max="784" width="9.77734375" bestFit="1" customWidth="1"/>
    <col min="785" max="805" width="10.77734375" bestFit="1" customWidth="1"/>
    <col min="806" max="814" width="9.77734375" bestFit="1" customWidth="1"/>
    <col min="815" max="836" width="10.77734375" bestFit="1" customWidth="1"/>
    <col min="837" max="842" width="9.77734375" bestFit="1" customWidth="1"/>
    <col min="843" max="861" width="10.77734375" bestFit="1" customWidth="1"/>
    <col min="862" max="867" width="9.77734375" bestFit="1" customWidth="1"/>
    <col min="868" max="883" width="10.77734375" bestFit="1" customWidth="1"/>
    <col min="884" max="889" width="9.77734375" bestFit="1" customWidth="1"/>
    <col min="890" max="908" width="10.77734375" bestFit="1" customWidth="1"/>
    <col min="909" max="914" width="9.77734375" bestFit="1" customWidth="1"/>
    <col min="915" max="932" width="10.77734375" bestFit="1" customWidth="1"/>
    <col min="933" max="938" width="9.77734375" bestFit="1" customWidth="1"/>
    <col min="939" max="957" width="10.77734375" bestFit="1" customWidth="1"/>
    <col min="958" max="992" width="9.77734375" bestFit="1" customWidth="1"/>
    <col min="993" max="993" width="10.77734375" bestFit="1" customWidth="1"/>
  </cols>
  <sheetData>
    <row r="1" spans="2:11">
      <c r="C1"/>
    </row>
    <row r="2" spans="2:11" ht="15" thickBot="1"/>
    <row r="3" spans="2:11">
      <c r="B3" s="11"/>
      <c r="C3" s="12"/>
      <c r="D3" s="12"/>
      <c r="E3" s="12"/>
      <c r="F3" s="12"/>
      <c r="G3" s="12"/>
      <c r="H3" s="12"/>
      <c r="I3" s="12"/>
      <c r="J3" s="12"/>
      <c r="K3" s="13"/>
    </row>
    <row r="4" spans="2:11">
      <c r="B4" s="68" t="s">
        <v>3692</v>
      </c>
      <c r="C4" s="69"/>
      <c r="D4" s="69"/>
      <c r="E4" s="69"/>
      <c r="F4" s="69"/>
      <c r="G4" s="69"/>
      <c r="H4" s="69"/>
      <c r="I4" s="69"/>
      <c r="J4" s="69"/>
      <c r="K4" s="70"/>
    </row>
    <row r="5" spans="2:11" ht="16.2" customHeight="1">
      <c r="B5" s="14" t="s">
        <v>3693</v>
      </c>
      <c r="C5" s="15" t="s">
        <v>3694</v>
      </c>
      <c r="D5" s="16" t="s">
        <v>3695</v>
      </c>
      <c r="E5" s="15" t="s">
        <v>3696</v>
      </c>
      <c r="F5" s="16" t="s">
        <v>3698</v>
      </c>
      <c r="G5" s="16" t="s">
        <v>3699</v>
      </c>
      <c r="H5" s="16" t="s">
        <v>3700</v>
      </c>
      <c r="I5" s="16" t="s">
        <v>3701</v>
      </c>
      <c r="J5" s="16" t="s">
        <v>3704</v>
      </c>
      <c r="K5" s="17" t="s">
        <v>3705</v>
      </c>
    </row>
    <row r="6" spans="2:11">
      <c r="B6" s="18" cm="1">
        <f t="array" ref="B6">COUNTA(_xlfn.UNIQUE(_xlfn._xlws.FILTER(tblInventory[Product_ID], tblInventory[Reorder_Status]="REORDER")))</f>
        <v>292</v>
      </c>
      <c r="C6" s="1">
        <f ca="1">COUNTIFS(tblInventory[Expiration_Date],"&lt;="&amp;TODAY()+30, tblInventory[Expiration_Date],"&gt;"&amp;TODAY(), tblInventory[Status], "&lt;&gt;Inactive")</f>
        <v>30</v>
      </c>
      <c r="D6" s="3">
        <f>SUM(tblInventory[Stock_Value2])</f>
        <v>332654.7100000002</v>
      </c>
      <c r="E6" s="1">
        <f>COUNTIFS(tblInventory[Inventory_Turnover_Rate],"&lt;2", tblInventory[Status], "&lt;&gt;Inactive")</f>
        <v>10</v>
      </c>
      <c r="F6" s="19">
        <f>SUMIFS(tblInventory[Reorder_Value], tblInventory[Reorder_Status], "REORDER", tblInventory[Status], "&lt;&gt;Discontinued")</f>
        <v>88948.790000000008</v>
      </c>
      <c r="G6" s="1">
        <f ca="1">COUNTIFS(tblInventory[Expiration_Date],"&lt;"&amp;TODAY(), tblInventory[Status], "&lt;&gt;Inactive")</f>
        <v>432</v>
      </c>
      <c r="H6" s="10">
        <f>AVERAGE(tblInventory[Inventory_Turnover_Rate])</f>
        <v>50.150505050505053</v>
      </c>
      <c r="I6" s="10">
        <f>AVERAGE(tblInventory[Stock_Coverage_Days])</f>
        <v>0.94412718012039198</v>
      </c>
      <c r="J6" s="1">
        <f>COUNTIFS(tblInventory[Stock_Value],"&gt;=1500", tblInventory[Status], "&lt;&gt;Discontinued")</f>
        <v>16</v>
      </c>
      <c r="K6" s="20">
        <f>AVERAGE(tblInventory[Reorder_Frequency])</f>
        <v>2.8296742104508166</v>
      </c>
    </row>
    <row r="7" spans="2:11" ht="15" thickBot="1">
      <c r="B7" s="21"/>
      <c r="C7" s="22"/>
      <c r="D7" s="22"/>
      <c r="E7" s="22"/>
      <c r="F7" s="22"/>
      <c r="G7" s="22"/>
      <c r="H7" s="22"/>
      <c r="I7" s="22"/>
      <c r="J7" s="22"/>
      <c r="K7" s="23"/>
    </row>
    <row r="8" spans="2:11" ht="15" thickBot="1"/>
    <row r="9" spans="2:11">
      <c r="B9" s="28"/>
      <c r="C9" s="29"/>
      <c r="D9" s="29" t="s">
        <v>3710</v>
      </c>
      <c r="E9" s="29"/>
      <c r="F9" s="29"/>
      <c r="G9" s="30"/>
    </row>
    <row r="10" spans="2:11">
      <c r="B10" s="24"/>
      <c r="G10" s="25"/>
    </row>
    <row r="11" spans="2:11">
      <c r="B11" s="24"/>
      <c r="G11" s="25"/>
    </row>
    <row r="12" spans="2:11">
      <c r="B12" s="24"/>
      <c r="G12" s="25"/>
    </row>
    <row r="13" spans="2:11" ht="15" thickBot="1">
      <c r="B13" s="24"/>
      <c r="C13"/>
      <c r="D13"/>
      <c r="F13"/>
      <c r="G13" s="25"/>
    </row>
    <row r="14" spans="2:11" ht="15" thickBot="1">
      <c r="B14" s="33" t="s">
        <v>3707</v>
      </c>
      <c r="C14" s="37" t="s">
        <v>3709</v>
      </c>
      <c r="D14"/>
      <c r="F14"/>
      <c r="G14" s="25"/>
    </row>
    <row r="15" spans="2:11">
      <c r="B15" s="34" t="s">
        <v>49</v>
      </c>
      <c r="C15" s="49">
        <v>18558</v>
      </c>
      <c r="D15"/>
      <c r="F15"/>
      <c r="G15" s="25"/>
    </row>
    <row r="16" spans="2:11">
      <c r="B16" s="31" t="s">
        <v>69</v>
      </c>
      <c r="C16" s="50">
        <v>10534</v>
      </c>
      <c r="D16"/>
      <c r="F16"/>
      <c r="G16" s="25"/>
    </row>
    <row r="17" spans="2:7">
      <c r="B17" s="31" t="s">
        <v>17</v>
      </c>
      <c r="C17" s="50">
        <v>8240</v>
      </c>
      <c r="D17"/>
      <c r="F17"/>
      <c r="G17" s="25"/>
    </row>
    <row r="18" spans="2:7">
      <c r="B18" s="31" t="s">
        <v>155</v>
      </c>
      <c r="C18" s="50">
        <v>5601</v>
      </c>
      <c r="D18"/>
      <c r="F18"/>
      <c r="G18" s="25"/>
    </row>
    <row r="19" spans="2:7">
      <c r="B19" s="31" t="s">
        <v>100</v>
      </c>
      <c r="C19" s="50">
        <v>4175</v>
      </c>
      <c r="D19"/>
      <c r="F19"/>
      <c r="G19" s="25"/>
    </row>
    <row r="20" spans="2:7">
      <c r="B20" s="31" t="s">
        <v>61</v>
      </c>
      <c r="C20" s="50">
        <v>4123</v>
      </c>
      <c r="D20"/>
      <c r="F20"/>
      <c r="G20" s="25"/>
    </row>
    <row r="21" spans="2:7" ht="15" thickBot="1">
      <c r="B21" s="32" t="s">
        <v>27</v>
      </c>
      <c r="C21" s="50">
        <v>3822</v>
      </c>
      <c r="D21"/>
      <c r="F21"/>
      <c r="G21" s="25"/>
    </row>
    <row r="22" spans="2:7" ht="15" thickBot="1">
      <c r="B22" s="35" t="s">
        <v>3708</v>
      </c>
      <c r="C22" s="51">
        <v>55053</v>
      </c>
      <c r="D22"/>
      <c r="F22"/>
      <c r="G22" s="25"/>
    </row>
    <row r="23" spans="2:7">
      <c r="B23" s="24"/>
      <c r="C23"/>
      <c r="D23"/>
      <c r="F23"/>
      <c r="G23" s="25"/>
    </row>
    <row r="24" spans="2:7">
      <c r="B24" s="24"/>
      <c r="C24"/>
      <c r="D24"/>
      <c r="F24"/>
      <c r="G24" s="25"/>
    </row>
    <row r="25" spans="2:7" ht="15" thickBot="1">
      <c r="B25" s="21"/>
      <c r="C25" s="27"/>
      <c r="D25" s="27"/>
      <c r="E25" s="22"/>
      <c r="F25" s="27"/>
      <c r="G25" s="23"/>
    </row>
    <row r="26" spans="2:7" ht="15" thickBot="1">
      <c r="C26"/>
      <c r="D26"/>
      <c r="F26"/>
    </row>
    <row r="27" spans="2:7">
      <c r="B27" s="64" t="s">
        <v>3712</v>
      </c>
      <c r="C27" s="65"/>
      <c r="D27" s="65"/>
      <c r="E27" s="65"/>
      <c r="F27" s="65"/>
      <c r="G27" s="66"/>
    </row>
    <row r="28" spans="2:7" ht="15" thickBot="1">
      <c r="B28" s="24"/>
      <c r="C28"/>
      <c r="D28"/>
      <c r="F28"/>
      <c r="G28" s="25"/>
    </row>
    <row r="29" spans="2:7" ht="15" thickBot="1">
      <c r="B29" s="33" t="s">
        <v>3707</v>
      </c>
      <c r="C29" s="37" t="s">
        <v>3711</v>
      </c>
      <c r="D29"/>
      <c r="F29"/>
      <c r="G29" s="25"/>
    </row>
    <row r="30" spans="2:7">
      <c r="B30" s="34" t="s">
        <v>100</v>
      </c>
      <c r="C30" s="49">
        <v>74</v>
      </c>
      <c r="D30"/>
      <c r="F30"/>
      <c r="G30" s="25"/>
    </row>
    <row r="31" spans="2:7">
      <c r="B31" s="31" t="s">
        <v>27</v>
      </c>
      <c r="C31" s="50">
        <v>75</v>
      </c>
      <c r="D31"/>
      <c r="F31"/>
      <c r="G31" s="25"/>
    </row>
    <row r="32" spans="2:7">
      <c r="B32" s="31" t="s">
        <v>61</v>
      </c>
      <c r="C32" s="50">
        <v>77</v>
      </c>
      <c r="D32"/>
      <c r="E32"/>
      <c r="F32"/>
      <c r="G32" s="25"/>
    </row>
    <row r="33" spans="2:7">
      <c r="B33" s="31" t="s">
        <v>155</v>
      </c>
      <c r="C33" s="50">
        <v>90</v>
      </c>
      <c r="G33" s="25"/>
    </row>
    <row r="34" spans="2:7">
      <c r="B34" s="31" t="s">
        <v>17</v>
      </c>
      <c r="C34" s="50">
        <v>162</v>
      </c>
      <c r="G34" s="25"/>
    </row>
    <row r="35" spans="2:7">
      <c r="B35" s="31" t="s">
        <v>69</v>
      </c>
      <c r="C35" s="50">
        <v>180</v>
      </c>
      <c r="G35" s="25"/>
    </row>
    <row r="36" spans="2:7" ht="15" thickBot="1">
      <c r="B36" s="32" t="s">
        <v>49</v>
      </c>
      <c r="C36" s="50">
        <v>332</v>
      </c>
      <c r="G36" s="25"/>
    </row>
    <row r="37" spans="2:7" ht="15" thickBot="1">
      <c r="B37" s="35" t="s">
        <v>3708</v>
      </c>
      <c r="C37" s="51">
        <v>990</v>
      </c>
      <c r="G37" s="25"/>
    </row>
    <row r="38" spans="2:7">
      <c r="B38" s="24"/>
      <c r="G38" s="25"/>
    </row>
    <row r="39" spans="2:7">
      <c r="B39" s="24"/>
      <c r="G39" s="25"/>
    </row>
    <row r="40" spans="2:7">
      <c r="B40" s="24"/>
      <c r="G40" s="25"/>
    </row>
    <row r="41" spans="2:7">
      <c r="B41" s="24"/>
      <c r="G41" s="25"/>
    </row>
    <row r="42" spans="2:7">
      <c r="B42" s="24"/>
      <c r="G42" s="25"/>
    </row>
    <row r="43" spans="2:7" ht="15" thickBot="1">
      <c r="B43" s="21"/>
      <c r="C43" s="22"/>
      <c r="D43" s="22"/>
      <c r="E43" s="22"/>
      <c r="F43" s="22"/>
      <c r="G43" s="23"/>
    </row>
    <row r="44" spans="2:7" ht="15" thickBot="1"/>
    <row r="45" spans="2:7">
      <c r="B45" s="64" t="s">
        <v>3714</v>
      </c>
      <c r="C45" s="65"/>
      <c r="D45" s="65"/>
      <c r="E45" s="65"/>
      <c r="F45" s="65"/>
      <c r="G45" s="66"/>
    </row>
    <row r="46" spans="2:7" ht="15" thickBot="1">
      <c r="B46" s="24"/>
      <c r="G46" s="25"/>
    </row>
    <row r="47" spans="2:7" ht="15" thickBot="1">
      <c r="B47" s="38" t="s">
        <v>14</v>
      </c>
      <c r="C47" s="39" t="s">
        <v>3713</v>
      </c>
      <c r="D47"/>
      <c r="G47" s="25"/>
    </row>
    <row r="48" spans="2:7" ht="15" thickBot="1">
      <c r="B48" s="24"/>
      <c r="D48"/>
      <c r="G48" s="25"/>
    </row>
    <row r="49" spans="2:7" ht="15" thickBot="1">
      <c r="B49" s="33" t="s">
        <v>3707</v>
      </c>
      <c r="C49" s="37" t="s">
        <v>3709</v>
      </c>
      <c r="D49"/>
      <c r="G49" s="25"/>
    </row>
    <row r="50" spans="2:7">
      <c r="B50" s="34" t="s">
        <v>100</v>
      </c>
      <c r="C50" s="49">
        <v>3004</v>
      </c>
      <c r="D50"/>
      <c r="G50" s="25"/>
    </row>
    <row r="51" spans="2:7">
      <c r="B51" s="31" t="s">
        <v>27</v>
      </c>
      <c r="C51" s="50">
        <v>2890</v>
      </c>
      <c r="D51"/>
      <c r="G51" s="25"/>
    </row>
    <row r="52" spans="2:7">
      <c r="B52" s="31" t="s">
        <v>69</v>
      </c>
      <c r="C52" s="50">
        <v>6719</v>
      </c>
      <c r="D52"/>
      <c r="G52" s="25"/>
    </row>
    <row r="53" spans="2:7">
      <c r="B53" s="31" t="s">
        <v>49</v>
      </c>
      <c r="C53" s="50">
        <v>12360</v>
      </c>
      <c r="D53"/>
      <c r="G53" s="25"/>
    </row>
    <row r="54" spans="2:7">
      <c r="B54" s="31" t="s">
        <v>17</v>
      </c>
      <c r="C54" s="50">
        <v>5579</v>
      </c>
      <c r="D54"/>
      <c r="G54" s="25"/>
    </row>
    <row r="55" spans="2:7">
      <c r="B55" s="31" t="s">
        <v>61</v>
      </c>
      <c r="C55" s="50">
        <v>2599</v>
      </c>
      <c r="D55"/>
      <c r="G55" s="25"/>
    </row>
    <row r="56" spans="2:7" ht="15" thickBot="1">
      <c r="B56" s="32" t="s">
        <v>155</v>
      </c>
      <c r="C56" s="50">
        <v>3673</v>
      </c>
      <c r="D56"/>
      <c r="G56" s="25"/>
    </row>
    <row r="57" spans="2:7" ht="15" thickBot="1">
      <c r="B57" s="35" t="s">
        <v>3708</v>
      </c>
      <c r="C57" s="51">
        <v>36824</v>
      </c>
      <c r="D57"/>
      <c r="G57" s="25"/>
    </row>
    <row r="58" spans="2:7">
      <c r="B58" s="24"/>
      <c r="C58"/>
      <c r="D58"/>
      <c r="G58" s="25"/>
    </row>
    <row r="59" spans="2:7">
      <c r="B59" s="24"/>
      <c r="C59"/>
      <c r="D59"/>
      <c r="G59" s="25"/>
    </row>
    <row r="60" spans="2:7">
      <c r="B60" s="24"/>
      <c r="C60"/>
      <c r="D60"/>
      <c r="G60" s="25"/>
    </row>
    <row r="61" spans="2:7" ht="15" thickBot="1">
      <c r="B61" s="21"/>
      <c r="C61" s="27"/>
      <c r="D61" s="27"/>
      <c r="E61" s="22"/>
      <c r="F61" s="22"/>
      <c r="G61" s="23"/>
    </row>
    <row r="62" spans="2:7" ht="15" thickBot="1">
      <c r="C62"/>
      <c r="D62"/>
    </row>
    <row r="63" spans="2:7">
      <c r="B63" s="64" t="s">
        <v>3716</v>
      </c>
      <c r="C63" s="65"/>
      <c r="D63" s="65"/>
      <c r="E63" s="65"/>
      <c r="F63" s="65"/>
      <c r="G63" s="66"/>
    </row>
    <row r="64" spans="2:7" ht="15" thickBot="1">
      <c r="B64" s="24"/>
      <c r="C64"/>
      <c r="D64"/>
      <c r="G64" s="25"/>
    </row>
    <row r="65" spans="2:7" ht="15" thickBot="1">
      <c r="B65" s="33" t="s">
        <v>3707</v>
      </c>
      <c r="C65" s="37" t="s">
        <v>3715</v>
      </c>
      <c r="G65" s="25"/>
    </row>
    <row r="66" spans="2:7">
      <c r="B66" s="34" t="s">
        <v>35</v>
      </c>
      <c r="C66" s="41">
        <v>7214.3700000000008</v>
      </c>
      <c r="G66" s="25"/>
    </row>
    <row r="67" spans="2:7">
      <c r="B67" s="31" t="s">
        <v>121</v>
      </c>
      <c r="C67" s="42">
        <v>5875.62</v>
      </c>
      <c r="G67" s="25"/>
    </row>
    <row r="68" spans="2:7">
      <c r="B68" s="31" t="s">
        <v>692</v>
      </c>
      <c r="C68" s="42">
        <v>4854.8999999999996</v>
      </c>
      <c r="G68" s="25"/>
    </row>
    <row r="69" spans="2:7">
      <c r="B69" s="31" t="s">
        <v>970</v>
      </c>
      <c r="C69" s="42">
        <v>3862.5</v>
      </c>
      <c r="G69" s="25"/>
    </row>
    <row r="70" spans="2:7">
      <c r="B70" s="31" t="s">
        <v>1800</v>
      </c>
      <c r="C70" s="42">
        <v>3511.4</v>
      </c>
      <c r="G70" s="25"/>
    </row>
    <row r="71" spans="2:7">
      <c r="B71" s="31" t="s">
        <v>2557</v>
      </c>
      <c r="C71" s="42">
        <v>3479.5</v>
      </c>
      <c r="G71" s="25"/>
    </row>
    <row r="72" spans="2:7">
      <c r="B72" s="31" t="s">
        <v>1187</v>
      </c>
      <c r="C72" s="42">
        <v>3436</v>
      </c>
      <c r="G72" s="25"/>
    </row>
    <row r="73" spans="2:7">
      <c r="B73" s="31" t="s">
        <v>238</v>
      </c>
      <c r="C73" s="42">
        <v>3264.55</v>
      </c>
      <c r="G73" s="25"/>
    </row>
    <row r="74" spans="2:7">
      <c r="B74" s="31" t="s">
        <v>347</v>
      </c>
      <c r="C74" s="42">
        <v>3015.8</v>
      </c>
      <c r="G74" s="25"/>
    </row>
    <row r="75" spans="2:7" ht="15" thickBot="1">
      <c r="B75" s="32" t="s">
        <v>849</v>
      </c>
      <c r="C75" s="42">
        <v>3007.3</v>
      </c>
      <c r="G75" s="25"/>
    </row>
    <row r="76" spans="2:7" ht="15" thickBot="1">
      <c r="B76" s="35" t="s">
        <v>3708</v>
      </c>
      <c r="C76" s="43">
        <v>41521.94</v>
      </c>
      <c r="G76" s="25"/>
    </row>
    <row r="77" spans="2:7">
      <c r="C77"/>
      <c r="G77" s="25"/>
    </row>
    <row r="78" spans="2:7">
      <c r="B78" s="24"/>
      <c r="C78"/>
      <c r="G78" s="25"/>
    </row>
    <row r="79" spans="2:7">
      <c r="B79" s="24"/>
      <c r="C79"/>
      <c r="G79" s="25"/>
    </row>
    <row r="80" spans="2:7" ht="15" thickBot="1">
      <c r="B80" s="21"/>
      <c r="C80" s="27"/>
      <c r="D80" s="22"/>
      <c r="E80" s="22"/>
      <c r="F80" s="22"/>
      <c r="G80" s="23"/>
    </row>
    <row r="81" spans="2:8" ht="15" thickBot="1"/>
    <row r="82" spans="2:8">
      <c r="B82" s="67" t="s">
        <v>3727</v>
      </c>
      <c r="C82" s="71"/>
      <c r="D82" s="71"/>
      <c r="E82" s="71"/>
      <c r="F82" s="71"/>
      <c r="G82" s="71"/>
      <c r="H82" s="72"/>
    </row>
    <row r="83" spans="2:8" ht="15" thickBot="1">
      <c r="B83" s="24"/>
      <c r="H83" s="25"/>
    </row>
    <row r="84" spans="2:8" ht="15" thickBot="1">
      <c r="B84" s="38" t="s">
        <v>3689</v>
      </c>
      <c r="C84" s="60" t="s">
        <v>3722</v>
      </c>
      <c r="H84" s="25"/>
    </row>
    <row r="85" spans="2:8" ht="15" thickBot="1">
      <c r="B85" s="24"/>
      <c r="C85"/>
      <c r="H85" s="25"/>
    </row>
    <row r="86" spans="2:8" ht="15" thickBot="1">
      <c r="B86" s="38" t="s">
        <v>3720</v>
      </c>
      <c r="C86" s="44" t="s">
        <v>3719</v>
      </c>
      <c r="D86"/>
      <c r="E86"/>
      <c r="F86"/>
      <c r="G86"/>
      <c r="H86" s="25"/>
    </row>
    <row r="87" spans="2:8">
      <c r="B87" s="55" t="s">
        <v>301</v>
      </c>
      <c r="C87" s="11">
        <v>241</v>
      </c>
      <c r="D87"/>
      <c r="E87"/>
      <c r="F87"/>
      <c r="G87"/>
      <c r="H87" s="25"/>
    </row>
    <row r="88" spans="2:8">
      <c r="B88" s="26" t="s">
        <v>997</v>
      </c>
      <c r="C88" s="24">
        <v>234</v>
      </c>
      <c r="D88"/>
      <c r="E88"/>
      <c r="F88"/>
      <c r="G88"/>
      <c r="H88" s="25"/>
    </row>
    <row r="89" spans="2:8">
      <c r="B89" s="26" t="s">
        <v>1470</v>
      </c>
      <c r="C89" s="24">
        <v>228</v>
      </c>
      <c r="D89"/>
      <c r="E89"/>
      <c r="F89"/>
      <c r="G89"/>
      <c r="H89" s="25"/>
    </row>
    <row r="90" spans="2:8">
      <c r="B90" s="26" t="s">
        <v>1763</v>
      </c>
      <c r="C90" s="24">
        <v>202</v>
      </c>
      <c r="D90"/>
      <c r="E90"/>
      <c r="F90"/>
      <c r="G90"/>
      <c r="H90" s="25"/>
    </row>
    <row r="91" spans="2:8">
      <c r="B91" s="26" t="s">
        <v>492</v>
      </c>
      <c r="C91" s="24">
        <v>194</v>
      </c>
      <c r="D91"/>
      <c r="E91"/>
      <c r="F91"/>
      <c r="G91"/>
      <c r="H91" s="25"/>
    </row>
    <row r="92" spans="2:8">
      <c r="B92" s="26" t="s">
        <v>584</v>
      </c>
      <c r="C92" s="24">
        <v>179</v>
      </c>
      <c r="D92"/>
      <c r="E92"/>
      <c r="F92"/>
      <c r="G92"/>
      <c r="H92" s="25"/>
    </row>
    <row r="93" spans="2:8">
      <c r="B93" s="26" t="s">
        <v>733</v>
      </c>
      <c r="C93" s="24">
        <v>172</v>
      </c>
      <c r="D93"/>
      <c r="E93"/>
      <c r="F93"/>
      <c r="G93"/>
      <c r="H93" s="25"/>
    </row>
    <row r="94" spans="2:8">
      <c r="B94" s="26" t="s">
        <v>1296</v>
      </c>
      <c r="C94" s="24">
        <v>160</v>
      </c>
      <c r="D94"/>
      <c r="E94"/>
      <c r="F94"/>
      <c r="G94"/>
      <c r="H94" s="25"/>
    </row>
    <row r="95" spans="2:8">
      <c r="B95" s="26" t="s">
        <v>54</v>
      </c>
      <c r="C95" s="24">
        <v>159</v>
      </c>
      <c r="D95"/>
      <c r="E95"/>
      <c r="F95"/>
      <c r="G95"/>
      <c r="H95" s="25"/>
    </row>
    <row r="96" spans="2:8" ht="15" thickBot="1">
      <c r="B96" s="48" t="s">
        <v>2471</v>
      </c>
      <c r="C96" s="24">
        <v>159</v>
      </c>
      <c r="D96"/>
      <c r="E96"/>
      <c r="F96"/>
      <c r="G96"/>
      <c r="H96" s="25"/>
    </row>
    <row r="97" spans="2:8" ht="15" thickBot="1">
      <c r="B97" s="56" t="s">
        <v>3708</v>
      </c>
      <c r="C97" s="21">
        <v>1928</v>
      </c>
      <c r="D97"/>
      <c r="E97"/>
      <c r="F97"/>
      <c r="G97"/>
      <c r="H97" s="25"/>
    </row>
    <row r="98" spans="2:8">
      <c r="B98" s="24"/>
      <c r="C98"/>
      <c r="D98"/>
      <c r="E98"/>
      <c r="F98"/>
      <c r="G98"/>
      <c r="H98" s="25"/>
    </row>
    <row r="99" spans="2:8">
      <c r="B99" s="24"/>
      <c r="C99"/>
      <c r="D99"/>
      <c r="E99"/>
      <c r="F99"/>
      <c r="G99"/>
      <c r="H99" s="25"/>
    </row>
    <row r="100" spans="2:8" ht="15" thickBot="1">
      <c r="B100" s="21"/>
      <c r="C100" s="27"/>
      <c r="D100" s="27"/>
      <c r="E100" s="27"/>
      <c r="F100" s="27"/>
      <c r="G100" s="27"/>
      <c r="H100" s="23"/>
    </row>
    <row r="101" spans="2:8">
      <c r="C101"/>
      <c r="D101"/>
      <c r="E101"/>
      <c r="F101"/>
      <c r="G101"/>
    </row>
    <row r="102" spans="2:8" ht="15" thickBot="1">
      <c r="C102"/>
      <c r="D102"/>
      <c r="F102"/>
      <c r="G102"/>
    </row>
    <row r="103" spans="2:8">
      <c r="B103" s="64" t="s">
        <v>3721</v>
      </c>
      <c r="C103" s="65"/>
      <c r="D103" s="65"/>
      <c r="E103" s="65"/>
      <c r="F103" s="65"/>
      <c r="G103" s="66"/>
    </row>
    <row r="104" spans="2:8" ht="15" thickBot="1">
      <c r="B104" s="24"/>
      <c r="C104"/>
      <c r="D104"/>
      <c r="E104"/>
      <c r="F104"/>
      <c r="G104" s="45"/>
    </row>
    <row r="105" spans="2:8" ht="15" thickBot="1">
      <c r="B105" s="33" t="s">
        <v>3707</v>
      </c>
      <c r="C105" s="37" t="s">
        <v>3718</v>
      </c>
      <c r="D105"/>
      <c r="E105"/>
      <c r="F105"/>
      <c r="G105" s="45"/>
    </row>
    <row r="106" spans="2:8">
      <c r="B106" s="34" t="s">
        <v>758</v>
      </c>
      <c r="C106" s="49">
        <v>220</v>
      </c>
      <c r="D106"/>
      <c r="E106"/>
      <c r="F106"/>
      <c r="G106" s="45"/>
    </row>
    <row r="107" spans="2:8">
      <c r="B107" s="31" t="s">
        <v>1763</v>
      </c>
      <c r="C107" s="50">
        <v>195</v>
      </c>
      <c r="D107"/>
      <c r="E107"/>
      <c r="F107"/>
      <c r="G107" s="45"/>
    </row>
    <row r="108" spans="2:8">
      <c r="B108" s="31" t="s">
        <v>1470</v>
      </c>
      <c r="C108" s="50">
        <v>191</v>
      </c>
      <c r="D108"/>
      <c r="E108"/>
      <c r="F108"/>
      <c r="G108" s="45"/>
    </row>
    <row r="109" spans="2:8">
      <c r="B109" s="31" t="s">
        <v>54</v>
      </c>
      <c r="C109" s="50">
        <v>177</v>
      </c>
      <c r="D109"/>
      <c r="E109"/>
      <c r="F109"/>
      <c r="G109" s="45"/>
    </row>
    <row r="110" spans="2:8">
      <c r="B110" s="31" t="s">
        <v>1644</v>
      </c>
      <c r="C110" s="50">
        <v>170</v>
      </c>
      <c r="D110"/>
      <c r="E110"/>
      <c r="F110"/>
      <c r="G110" s="45"/>
    </row>
    <row r="111" spans="2:8" ht="15" thickBot="1">
      <c r="B111" s="32" t="s">
        <v>1194</v>
      </c>
      <c r="C111" s="50">
        <v>159</v>
      </c>
      <c r="D111"/>
      <c r="E111"/>
      <c r="F111"/>
      <c r="G111" s="45"/>
    </row>
    <row r="112" spans="2:8">
      <c r="B112" s="31" t="s">
        <v>147</v>
      </c>
      <c r="C112" s="50">
        <v>149</v>
      </c>
      <c r="D112"/>
      <c r="E112"/>
      <c r="F112"/>
      <c r="G112" s="45"/>
    </row>
    <row r="113" spans="2:11">
      <c r="B113" s="31" t="s">
        <v>229</v>
      </c>
      <c r="C113" s="50">
        <v>146</v>
      </c>
      <c r="D113"/>
      <c r="E113"/>
      <c r="F113"/>
      <c r="G113" s="45"/>
    </row>
    <row r="114" spans="2:11">
      <c r="B114" s="31" t="s">
        <v>674</v>
      </c>
      <c r="C114" s="50">
        <v>138</v>
      </c>
      <c r="D114"/>
      <c r="E114"/>
      <c r="F114"/>
      <c r="G114" s="45"/>
    </row>
    <row r="115" spans="2:11" ht="15" thickBot="1">
      <c r="B115" s="32" t="s">
        <v>1750</v>
      </c>
      <c r="C115" s="50">
        <v>128</v>
      </c>
      <c r="D115"/>
      <c r="E115"/>
      <c r="F115"/>
      <c r="G115" s="45"/>
    </row>
    <row r="116" spans="2:11" ht="15" thickBot="1">
      <c r="B116" s="35" t="s">
        <v>3708</v>
      </c>
      <c r="C116" s="51">
        <v>1673</v>
      </c>
      <c r="E116"/>
      <c r="F116"/>
      <c r="G116" s="45"/>
    </row>
    <row r="117" spans="2:11">
      <c r="B117" s="24"/>
      <c r="C117"/>
      <c r="E117"/>
      <c r="F117"/>
      <c r="G117" s="45"/>
    </row>
    <row r="118" spans="2:11">
      <c r="B118" s="24"/>
      <c r="C118"/>
      <c r="E118"/>
      <c r="F118"/>
      <c r="G118" s="45"/>
    </row>
    <row r="119" spans="2:11">
      <c r="B119" s="24"/>
      <c r="C119"/>
      <c r="E119"/>
      <c r="F119"/>
      <c r="G119" s="45"/>
    </row>
    <row r="120" spans="2:11" ht="15" thickBot="1">
      <c r="B120" s="21"/>
      <c r="C120" s="27"/>
      <c r="D120" s="22"/>
      <c r="E120" s="27"/>
      <c r="F120" s="27"/>
      <c r="G120" s="46"/>
    </row>
    <row r="121" spans="2:11" ht="15" thickBot="1">
      <c r="C121"/>
      <c r="D121"/>
      <c r="E121"/>
    </row>
    <row r="122" spans="2:11" ht="15" thickBot="1">
      <c r="C122"/>
      <c r="D122"/>
      <c r="E122"/>
    </row>
    <row r="123" spans="2:11" ht="15" thickBot="1">
      <c r="B123" s="64" t="s">
        <v>3725</v>
      </c>
      <c r="C123" s="65"/>
      <c r="D123" s="65"/>
      <c r="E123" s="65"/>
      <c r="F123" s="65"/>
      <c r="G123" s="66"/>
    </row>
    <row r="124" spans="2:11" ht="15" thickBot="1">
      <c r="B124" s="36" t="s">
        <v>3707</v>
      </c>
      <c r="C124" s="37" t="s">
        <v>3717</v>
      </c>
      <c r="D124"/>
      <c r="E124"/>
      <c r="F124"/>
      <c r="G124" s="45"/>
      <c r="H124"/>
      <c r="I124"/>
      <c r="J124"/>
    </row>
    <row r="125" spans="2:11">
      <c r="B125" s="26" t="s">
        <v>46</v>
      </c>
      <c r="C125" s="49">
        <v>332</v>
      </c>
      <c r="D125"/>
      <c r="E125"/>
      <c r="F125"/>
      <c r="G125" s="45"/>
      <c r="H125"/>
      <c r="I125"/>
      <c r="J125"/>
      <c r="K125"/>
    </row>
    <row r="126" spans="2:11">
      <c r="B126" s="26" t="s">
        <v>38</v>
      </c>
      <c r="C126" s="50">
        <v>325</v>
      </c>
      <c r="D126"/>
      <c r="E126"/>
      <c r="F126"/>
      <c r="G126" s="45"/>
      <c r="H126"/>
      <c r="I126"/>
      <c r="J126"/>
      <c r="K126"/>
    </row>
    <row r="127" spans="2:11" ht="15" thickBot="1">
      <c r="B127" s="26" t="s">
        <v>24</v>
      </c>
      <c r="C127" s="50">
        <v>333</v>
      </c>
      <c r="D127"/>
      <c r="E127"/>
      <c r="F127"/>
      <c r="G127" s="45"/>
      <c r="H127"/>
      <c r="I127"/>
      <c r="J127"/>
      <c r="K127"/>
    </row>
    <row r="128" spans="2:11" ht="15" thickBot="1">
      <c r="B128" s="35" t="s">
        <v>3708</v>
      </c>
      <c r="C128" s="51">
        <v>990</v>
      </c>
      <c r="D128"/>
      <c r="E128"/>
      <c r="F128"/>
      <c r="G128" s="45"/>
      <c r="H128"/>
      <c r="I128"/>
      <c r="J128"/>
      <c r="K128"/>
    </row>
    <row r="129" spans="2:12">
      <c r="B129" s="24"/>
      <c r="C129"/>
      <c r="D129"/>
      <c r="E129"/>
      <c r="F129"/>
      <c r="G129" s="45"/>
      <c r="H129"/>
      <c r="I129"/>
      <c r="J129"/>
      <c r="K129"/>
    </row>
    <row r="130" spans="2:12" ht="16.8">
      <c r="B130" s="24"/>
      <c r="C130"/>
      <c r="D130"/>
      <c r="E130"/>
      <c r="F130"/>
      <c r="G130" s="45"/>
      <c r="H130"/>
      <c r="I130"/>
      <c r="J130"/>
      <c r="K130"/>
      <c r="L130" s="47"/>
    </row>
    <row r="131" spans="2:12" ht="16.8">
      <c r="B131" s="24"/>
      <c r="C131"/>
      <c r="D131"/>
      <c r="E131"/>
      <c r="F131"/>
      <c r="G131" s="45"/>
      <c r="H131"/>
      <c r="I131"/>
      <c r="J131"/>
      <c r="K131"/>
      <c r="L131" s="47"/>
    </row>
    <row r="132" spans="2:12" ht="16.8">
      <c r="B132" s="24"/>
      <c r="C132"/>
      <c r="D132"/>
      <c r="E132"/>
      <c r="F132"/>
      <c r="G132" s="45"/>
      <c r="H132"/>
      <c r="I132"/>
      <c r="J132"/>
      <c r="K132"/>
      <c r="L132" s="47"/>
    </row>
    <row r="133" spans="2:12" ht="16.8">
      <c r="B133" s="24"/>
      <c r="C133"/>
      <c r="D133"/>
      <c r="E133"/>
      <c r="F133"/>
      <c r="G133" s="45"/>
      <c r="H133"/>
      <c r="I133"/>
      <c r="J133"/>
      <c r="K133"/>
      <c r="L133" s="47"/>
    </row>
    <row r="134" spans="2:12" ht="17.399999999999999" thickBot="1">
      <c r="B134" s="21"/>
      <c r="C134" s="27"/>
      <c r="D134" s="27"/>
      <c r="E134" s="27"/>
      <c r="F134" s="27"/>
      <c r="G134" s="46"/>
      <c r="H134"/>
      <c r="I134"/>
      <c r="J134"/>
      <c r="K134"/>
      <c r="L134" s="47"/>
    </row>
    <row r="135" spans="2:12" ht="16.8">
      <c r="C135"/>
      <c r="D135"/>
      <c r="E135"/>
      <c r="F135"/>
      <c r="G135"/>
      <c r="H135"/>
      <c r="I135"/>
      <c r="J135"/>
      <c r="L135" s="47"/>
    </row>
    <row r="136" spans="2:12" ht="17.399999999999999" thickBot="1">
      <c r="C136"/>
      <c r="D136"/>
      <c r="E136"/>
      <c r="F136"/>
      <c r="G136"/>
      <c r="H136"/>
      <c r="I136"/>
      <c r="J136"/>
      <c r="L136" s="47"/>
    </row>
    <row r="137" spans="2:12">
      <c r="B137" s="67" t="s">
        <v>3726</v>
      </c>
      <c r="C137" s="65"/>
      <c r="D137" s="65"/>
      <c r="E137" s="65"/>
      <c r="F137" s="65"/>
      <c r="G137" s="65"/>
      <c r="H137" s="65"/>
      <c r="I137" s="66"/>
      <c r="J137"/>
    </row>
    <row r="138" spans="2:12" ht="15" thickBot="1">
      <c r="B138" s="24"/>
      <c r="C138"/>
      <c r="D138"/>
      <c r="E138"/>
      <c r="F138"/>
      <c r="G138"/>
      <c r="H138"/>
      <c r="I138" s="45"/>
      <c r="J138"/>
    </row>
    <row r="139" spans="2:12" ht="15" thickBot="1">
      <c r="B139" s="36" t="s">
        <v>3707</v>
      </c>
      <c r="C139" s="44" t="s">
        <v>3723</v>
      </c>
      <c r="D139" s="40" t="s">
        <v>3715</v>
      </c>
      <c r="E139"/>
      <c r="F139"/>
      <c r="G139"/>
      <c r="H139"/>
      <c r="I139" s="45"/>
      <c r="J139"/>
    </row>
    <row r="140" spans="2:12">
      <c r="B140" s="26" t="s">
        <v>100</v>
      </c>
      <c r="C140" s="57">
        <v>16788.799999999996</v>
      </c>
      <c r="D140" s="59">
        <v>16186.15</v>
      </c>
      <c r="E140"/>
      <c r="F140"/>
      <c r="G140"/>
      <c r="H140"/>
      <c r="I140" s="45"/>
      <c r="J140"/>
    </row>
    <row r="141" spans="2:12">
      <c r="B141" s="26" t="s">
        <v>27</v>
      </c>
      <c r="C141" s="58">
        <v>62942.25</v>
      </c>
      <c r="D141" s="52">
        <v>58898.100000000006</v>
      </c>
      <c r="E141"/>
      <c r="F141"/>
      <c r="G141"/>
      <c r="H141"/>
      <c r="I141" s="45"/>
      <c r="J141"/>
    </row>
    <row r="142" spans="2:12">
      <c r="B142" s="26" t="s">
        <v>69</v>
      </c>
      <c r="C142" s="58">
        <v>50601.95</v>
      </c>
      <c r="D142" s="52">
        <v>41215.649999999994</v>
      </c>
      <c r="E142"/>
      <c r="F142"/>
      <c r="G142"/>
      <c r="H142"/>
      <c r="I142" s="45"/>
      <c r="J142"/>
    </row>
    <row r="143" spans="2:12">
      <c r="B143" s="26" t="s">
        <v>49</v>
      </c>
      <c r="C143" s="58">
        <v>90625.11</v>
      </c>
      <c r="D143" s="52">
        <v>79331.040000000066</v>
      </c>
      <c r="E143"/>
      <c r="F143"/>
      <c r="G143"/>
      <c r="H143"/>
      <c r="I143" s="45"/>
      <c r="J143"/>
    </row>
    <row r="144" spans="2:12">
      <c r="B144" s="26" t="s">
        <v>17</v>
      </c>
      <c r="C144" s="58">
        <v>31969.200000000004</v>
      </c>
      <c r="D144" s="52">
        <v>34645.199999999997</v>
      </c>
      <c r="E144"/>
      <c r="F144"/>
      <c r="G144"/>
      <c r="H144"/>
      <c r="I144" s="45"/>
      <c r="J144"/>
    </row>
    <row r="145" spans="2:10">
      <c r="B145" s="26" t="s">
        <v>61</v>
      </c>
      <c r="C145" s="58">
        <v>17211.5</v>
      </c>
      <c r="D145" s="52">
        <v>15920.699999999999</v>
      </c>
      <c r="E145"/>
      <c r="F145"/>
      <c r="G145"/>
      <c r="H145"/>
      <c r="I145" s="45"/>
      <c r="J145"/>
    </row>
    <row r="146" spans="2:10" ht="15" thickBot="1">
      <c r="B146" s="26" t="s">
        <v>155</v>
      </c>
      <c r="C146" s="58">
        <v>62515.899999999994</v>
      </c>
      <c r="D146" s="52">
        <v>59288.2</v>
      </c>
      <c r="E146"/>
      <c r="F146"/>
      <c r="G146"/>
      <c r="H146"/>
      <c r="I146" s="45"/>
      <c r="J146"/>
    </row>
    <row r="147" spans="2:10" ht="15" thickBot="1">
      <c r="B147" s="35" t="s">
        <v>3708</v>
      </c>
      <c r="C147" s="54">
        <v>332654.70999999996</v>
      </c>
      <c r="D147" s="53">
        <v>305485.0400000001</v>
      </c>
      <c r="E147"/>
      <c r="F147"/>
      <c r="G147"/>
      <c r="H147"/>
      <c r="I147" s="45"/>
      <c r="J147"/>
    </row>
    <row r="148" spans="2:10">
      <c r="B148" s="24"/>
      <c r="C148"/>
      <c r="D148"/>
      <c r="E148"/>
      <c r="F148"/>
      <c r="G148"/>
      <c r="H148"/>
      <c r="I148" s="45"/>
      <c r="J148"/>
    </row>
    <row r="149" spans="2:10">
      <c r="B149" s="24"/>
      <c r="C149"/>
      <c r="D149"/>
      <c r="E149"/>
      <c r="F149"/>
      <c r="G149"/>
      <c r="H149"/>
      <c r="I149" s="45"/>
      <c r="J149"/>
    </row>
    <row r="150" spans="2:10">
      <c r="B150" s="24"/>
      <c r="C150"/>
      <c r="D150"/>
      <c r="E150"/>
      <c r="F150"/>
      <c r="G150"/>
      <c r="H150"/>
      <c r="I150" s="45"/>
      <c r="J150"/>
    </row>
    <row r="151" spans="2:10">
      <c r="B151" s="24"/>
      <c r="C151"/>
      <c r="D151"/>
      <c r="E151"/>
      <c r="F151"/>
      <c r="G151"/>
      <c r="H151"/>
      <c r="I151" s="45"/>
      <c r="J151"/>
    </row>
    <row r="152" spans="2:10">
      <c r="B152" s="24"/>
      <c r="C152"/>
      <c r="D152"/>
      <c r="E152"/>
      <c r="F152"/>
      <c r="G152"/>
      <c r="H152"/>
      <c r="I152" s="45"/>
      <c r="J152"/>
    </row>
    <row r="153" spans="2:10">
      <c r="B153" s="24"/>
      <c r="C153"/>
      <c r="D153"/>
      <c r="E153"/>
      <c r="F153"/>
      <c r="G153"/>
      <c r="H153"/>
      <c r="I153" s="45"/>
      <c r="J153"/>
    </row>
    <row r="154" spans="2:10">
      <c r="B154" s="24"/>
      <c r="C154"/>
      <c r="D154"/>
      <c r="E154"/>
      <c r="F154"/>
      <c r="G154"/>
      <c r="H154"/>
      <c r="I154" s="45"/>
      <c r="J154"/>
    </row>
    <row r="155" spans="2:10" ht="15" thickBot="1">
      <c r="B155" s="21"/>
      <c r="C155" s="27"/>
      <c r="D155" s="27"/>
      <c r="E155" s="27"/>
      <c r="F155" s="27"/>
      <c r="G155" s="27"/>
      <c r="H155" s="27"/>
      <c r="I155" s="46"/>
      <c r="J155"/>
    </row>
    <row r="156" spans="2:10">
      <c r="C156"/>
      <c r="D156"/>
      <c r="E156"/>
      <c r="F156"/>
      <c r="G156"/>
      <c r="H156"/>
      <c r="I156"/>
      <c r="J156"/>
    </row>
    <row r="157" spans="2:10" ht="15" thickBot="1">
      <c r="C157"/>
      <c r="D157"/>
      <c r="E157"/>
      <c r="F157"/>
      <c r="G157"/>
      <c r="H157"/>
      <c r="I157"/>
      <c r="J157"/>
    </row>
    <row r="158" spans="2:10">
      <c r="B158" s="64" t="s">
        <v>3705</v>
      </c>
      <c r="C158" s="65"/>
      <c r="D158" s="65"/>
      <c r="E158" s="65"/>
      <c r="F158" s="65"/>
      <c r="G158" s="65"/>
      <c r="H158" s="66"/>
      <c r="I158"/>
      <c r="J158"/>
    </row>
    <row r="159" spans="2:10" ht="15" thickBot="1">
      <c r="B159" s="24"/>
      <c r="C159"/>
      <c r="D159"/>
      <c r="E159"/>
      <c r="F159"/>
      <c r="G159"/>
      <c r="H159" s="45"/>
      <c r="I159"/>
      <c r="J159"/>
    </row>
    <row r="160" spans="2:10" ht="15" thickBot="1">
      <c r="B160" s="33" t="s">
        <v>3707</v>
      </c>
      <c r="C160" s="40" t="s">
        <v>3724</v>
      </c>
      <c r="D160"/>
      <c r="E160"/>
      <c r="F160"/>
      <c r="G160"/>
      <c r="H160" s="45"/>
      <c r="I160"/>
      <c r="J160"/>
    </row>
    <row r="161" spans="2:10">
      <c r="B161" s="26" t="s">
        <v>100</v>
      </c>
      <c r="C161" s="61">
        <v>188.62789283281242</v>
      </c>
      <c r="D161"/>
      <c r="E161"/>
      <c r="F161"/>
      <c r="G161"/>
      <c r="H161" s="45"/>
      <c r="I161"/>
      <c r="J161"/>
    </row>
    <row r="162" spans="2:10">
      <c r="B162" s="26" t="s">
        <v>27</v>
      </c>
      <c r="C162" s="62">
        <v>234.31332142756455</v>
      </c>
      <c r="D162"/>
      <c r="E162"/>
      <c r="F162"/>
      <c r="G162"/>
      <c r="H162" s="45"/>
      <c r="I162"/>
      <c r="J162"/>
    </row>
    <row r="163" spans="2:10">
      <c r="B163" s="26" t="s">
        <v>69</v>
      </c>
      <c r="C163" s="62">
        <v>613.38893425574088</v>
      </c>
      <c r="D163"/>
      <c r="E163"/>
      <c r="F163"/>
      <c r="G163"/>
      <c r="H163" s="45"/>
      <c r="I163"/>
      <c r="J163"/>
    </row>
    <row r="164" spans="2:10">
      <c r="B164" s="26" t="s">
        <v>49</v>
      </c>
      <c r="C164" s="62">
        <v>1051.4189243365129</v>
      </c>
      <c r="D164"/>
      <c r="E164"/>
      <c r="F164"/>
      <c r="G164"/>
      <c r="H164" s="45"/>
      <c r="I164"/>
      <c r="J164"/>
    </row>
    <row r="165" spans="2:10">
      <c r="B165" s="26" t="s">
        <v>17</v>
      </c>
      <c r="C165" s="62">
        <v>308.49883041494951</v>
      </c>
      <c r="D165"/>
      <c r="E165"/>
      <c r="F165"/>
      <c r="G165"/>
      <c r="H165" s="45"/>
      <c r="I165"/>
      <c r="J165"/>
    </row>
    <row r="166" spans="2:10">
      <c r="B166" s="26" t="s">
        <v>61</v>
      </c>
      <c r="C166" s="62">
        <v>144.32329007159896</v>
      </c>
      <c r="D166"/>
      <c r="E166"/>
      <c r="F166"/>
      <c r="G166"/>
      <c r="H166" s="45"/>
      <c r="I166"/>
      <c r="J166"/>
    </row>
    <row r="167" spans="2:10" ht="15" thickBot="1">
      <c r="B167" s="26" t="s">
        <v>155</v>
      </c>
      <c r="C167" s="62">
        <v>260.80627500712978</v>
      </c>
      <c r="D167"/>
      <c r="E167"/>
      <c r="F167"/>
      <c r="G167"/>
      <c r="H167" s="45"/>
      <c r="I167"/>
      <c r="J167"/>
    </row>
    <row r="168" spans="2:10" ht="15" thickBot="1">
      <c r="B168" s="35" t="s">
        <v>3708</v>
      </c>
      <c r="C168" s="63">
        <v>2801.3774683463093</v>
      </c>
      <c r="D168"/>
      <c r="E168"/>
      <c r="F168"/>
      <c r="G168"/>
      <c r="H168" s="45"/>
      <c r="I168"/>
      <c r="J168"/>
    </row>
    <row r="169" spans="2:10">
      <c r="B169" s="24"/>
      <c r="C169"/>
      <c r="D169"/>
      <c r="E169"/>
      <c r="F169"/>
      <c r="G169"/>
      <c r="H169" s="45"/>
      <c r="I169"/>
      <c r="J169"/>
    </row>
    <row r="170" spans="2:10">
      <c r="B170" s="24"/>
      <c r="C170"/>
      <c r="D170"/>
      <c r="E170"/>
      <c r="F170"/>
      <c r="G170"/>
      <c r="H170" s="45"/>
      <c r="I170"/>
      <c r="J170"/>
    </row>
    <row r="171" spans="2:10">
      <c r="B171" s="24"/>
      <c r="C171"/>
      <c r="D171"/>
      <c r="E171"/>
      <c r="F171"/>
      <c r="G171"/>
      <c r="H171" s="45"/>
      <c r="I171"/>
      <c r="J171"/>
    </row>
    <row r="172" spans="2:10" ht="15" thickBot="1">
      <c r="B172" s="21"/>
      <c r="C172" s="27"/>
      <c r="D172" s="27"/>
      <c r="E172" s="27"/>
      <c r="F172" s="27"/>
      <c r="G172" s="27"/>
      <c r="H172" s="46"/>
      <c r="I172"/>
      <c r="J172"/>
    </row>
    <row r="173" spans="2:10">
      <c r="C173"/>
      <c r="D173"/>
      <c r="E173"/>
      <c r="F173"/>
      <c r="G173"/>
      <c r="H173"/>
      <c r="I173"/>
      <c r="J173"/>
    </row>
    <row r="174" spans="2:10">
      <c r="C174"/>
      <c r="D174"/>
      <c r="E174"/>
      <c r="F174"/>
      <c r="G174"/>
      <c r="H174"/>
      <c r="I174"/>
      <c r="J174"/>
    </row>
    <row r="175" spans="2:10">
      <c r="C175"/>
      <c r="D175"/>
      <c r="E175"/>
      <c r="F175"/>
      <c r="G175"/>
      <c r="H175"/>
      <c r="I175"/>
      <c r="J175"/>
    </row>
    <row r="176" spans="2:10">
      <c r="C176"/>
      <c r="D176"/>
      <c r="E176"/>
      <c r="F176"/>
      <c r="G176"/>
      <c r="H176"/>
      <c r="I176"/>
      <c r="J176"/>
    </row>
    <row r="177" spans="3:10">
      <c r="C177"/>
      <c r="D177"/>
      <c r="E177"/>
      <c r="F177"/>
      <c r="G177"/>
      <c r="H177"/>
      <c r="I177"/>
      <c r="J177"/>
    </row>
    <row r="178" spans="3:10">
      <c r="C178"/>
      <c r="D178"/>
      <c r="E178"/>
      <c r="F178"/>
      <c r="G178"/>
      <c r="H178"/>
      <c r="I178"/>
      <c r="J178"/>
    </row>
    <row r="179" spans="3:10">
      <c r="C179"/>
      <c r="D179"/>
      <c r="E179"/>
      <c r="F179"/>
      <c r="G179"/>
      <c r="H179"/>
      <c r="I179"/>
      <c r="J179"/>
    </row>
    <row r="180" spans="3:10">
      <c r="C180"/>
      <c r="D180"/>
      <c r="E180"/>
      <c r="F180"/>
      <c r="G180"/>
      <c r="H180"/>
      <c r="I180"/>
      <c r="J180"/>
    </row>
    <row r="181" spans="3:10">
      <c r="C181"/>
      <c r="D181"/>
      <c r="E181"/>
      <c r="F181"/>
      <c r="G181"/>
      <c r="H181"/>
      <c r="I181"/>
      <c r="J181"/>
    </row>
    <row r="182" spans="3:10">
      <c r="C182"/>
      <c r="D182"/>
      <c r="E182"/>
      <c r="F182"/>
      <c r="G182"/>
      <c r="H182"/>
      <c r="I182"/>
      <c r="J182"/>
    </row>
    <row r="183" spans="3:10">
      <c r="C183"/>
      <c r="D183"/>
      <c r="E183"/>
      <c r="F183"/>
      <c r="G183"/>
      <c r="H183"/>
      <c r="I183"/>
      <c r="J183"/>
    </row>
    <row r="184" spans="3:10">
      <c r="C184"/>
      <c r="D184"/>
      <c r="E184"/>
      <c r="F184"/>
      <c r="G184"/>
      <c r="H184"/>
      <c r="I184"/>
      <c r="J184"/>
    </row>
    <row r="185" spans="3:10">
      <c r="C185"/>
      <c r="D185"/>
      <c r="E185"/>
      <c r="F185"/>
      <c r="G185"/>
      <c r="H185"/>
      <c r="I185"/>
      <c r="J185"/>
    </row>
    <row r="186" spans="3:10">
      <c r="C186"/>
      <c r="D186"/>
      <c r="E186"/>
      <c r="F186"/>
      <c r="G186"/>
      <c r="H186"/>
      <c r="I186"/>
      <c r="J186"/>
    </row>
    <row r="187" spans="3:10">
      <c r="C187"/>
      <c r="D187"/>
      <c r="E187"/>
      <c r="F187"/>
      <c r="G187"/>
      <c r="H187"/>
      <c r="I187"/>
      <c r="J187"/>
    </row>
    <row r="188" spans="3:10">
      <c r="C188"/>
      <c r="D188"/>
      <c r="E188"/>
      <c r="F188"/>
      <c r="G188"/>
      <c r="H188"/>
      <c r="I188"/>
      <c r="J188"/>
    </row>
    <row r="189" spans="3:10">
      <c r="C189"/>
      <c r="D189"/>
      <c r="E189"/>
      <c r="F189"/>
      <c r="G189"/>
      <c r="H189"/>
      <c r="I189"/>
      <c r="J189"/>
    </row>
    <row r="190" spans="3:10">
      <c r="C190"/>
      <c r="D190"/>
      <c r="E190"/>
      <c r="F190"/>
      <c r="G190"/>
      <c r="H190"/>
      <c r="I190"/>
      <c r="J190"/>
    </row>
    <row r="191" spans="3:10">
      <c r="C191"/>
      <c r="D191"/>
      <c r="E191"/>
      <c r="F191"/>
      <c r="G191"/>
      <c r="H191"/>
      <c r="I191"/>
      <c r="J191"/>
    </row>
    <row r="192" spans="3:10">
      <c r="C192"/>
      <c r="D192"/>
      <c r="E192"/>
      <c r="F192"/>
      <c r="G192"/>
      <c r="H192"/>
      <c r="I192"/>
      <c r="J192"/>
    </row>
    <row r="193" spans="3:10">
      <c r="C193"/>
      <c r="D193"/>
      <c r="E193"/>
      <c r="F193"/>
      <c r="G193"/>
      <c r="H193"/>
      <c r="I193"/>
      <c r="J193"/>
    </row>
    <row r="194" spans="3:10">
      <c r="C194"/>
      <c r="D194"/>
      <c r="E194"/>
      <c r="F194"/>
      <c r="G194"/>
      <c r="H194"/>
      <c r="I194"/>
      <c r="J194"/>
    </row>
    <row r="195" spans="3:10">
      <c r="C195"/>
      <c r="D195"/>
      <c r="E195"/>
      <c r="F195"/>
      <c r="G195"/>
      <c r="H195"/>
      <c r="I195"/>
      <c r="J195"/>
    </row>
    <row r="196" spans="3:10">
      <c r="C196"/>
      <c r="D196"/>
      <c r="E196"/>
      <c r="F196"/>
      <c r="G196"/>
      <c r="H196"/>
      <c r="I196"/>
      <c r="J196"/>
    </row>
    <row r="197" spans="3:10">
      <c r="C197"/>
      <c r="D197"/>
      <c r="E197"/>
      <c r="F197"/>
      <c r="G197"/>
      <c r="H197"/>
      <c r="I197"/>
      <c r="J197"/>
    </row>
    <row r="198" spans="3:10">
      <c r="C198"/>
      <c r="D198"/>
      <c r="E198"/>
      <c r="F198"/>
      <c r="G198"/>
      <c r="H198"/>
      <c r="I198"/>
      <c r="J198"/>
    </row>
    <row r="199" spans="3:10">
      <c r="C199"/>
      <c r="D199"/>
      <c r="E199"/>
      <c r="F199"/>
      <c r="G199"/>
      <c r="H199"/>
      <c r="I199"/>
      <c r="J199"/>
    </row>
    <row r="200" spans="3:10">
      <c r="C200"/>
      <c r="D200"/>
      <c r="E200"/>
      <c r="F200"/>
      <c r="G200"/>
      <c r="H200"/>
      <c r="I200"/>
      <c r="J200"/>
    </row>
    <row r="201" spans="3:10">
      <c r="C201"/>
      <c r="D201"/>
      <c r="E201"/>
      <c r="F201"/>
      <c r="G201"/>
      <c r="H201"/>
      <c r="I201"/>
      <c r="J201"/>
    </row>
    <row r="202" spans="3:10">
      <c r="C202"/>
      <c r="D202"/>
      <c r="E202"/>
      <c r="F202"/>
      <c r="G202"/>
      <c r="H202"/>
      <c r="I202"/>
      <c r="J202"/>
    </row>
    <row r="203" spans="3:10">
      <c r="C203"/>
      <c r="D203"/>
      <c r="E203"/>
      <c r="F203"/>
      <c r="G203"/>
      <c r="H203"/>
      <c r="I203"/>
      <c r="J203"/>
    </row>
    <row r="204" spans="3:10">
      <c r="C204"/>
      <c r="D204"/>
      <c r="E204"/>
      <c r="F204"/>
      <c r="G204"/>
      <c r="H204"/>
      <c r="I204"/>
      <c r="J204"/>
    </row>
    <row r="205" spans="3:10">
      <c r="C205"/>
      <c r="D205"/>
      <c r="E205"/>
      <c r="F205"/>
      <c r="G205"/>
      <c r="H205"/>
      <c r="I205"/>
      <c r="J205"/>
    </row>
    <row r="206" spans="3:10">
      <c r="C206"/>
      <c r="D206"/>
      <c r="E206"/>
      <c r="F206"/>
      <c r="G206"/>
      <c r="H206"/>
      <c r="I206"/>
      <c r="J206"/>
    </row>
    <row r="207" spans="3:10">
      <c r="C207"/>
      <c r="D207"/>
      <c r="E207"/>
      <c r="F207"/>
      <c r="G207"/>
      <c r="H207"/>
      <c r="I207"/>
      <c r="J207"/>
    </row>
    <row r="208" spans="3:10">
      <c r="C208"/>
      <c r="D208"/>
      <c r="E208"/>
      <c r="F208"/>
      <c r="G208"/>
      <c r="H208"/>
      <c r="I208"/>
      <c r="J208"/>
    </row>
    <row r="209" spans="3:10">
      <c r="C209"/>
      <c r="D209"/>
      <c r="E209"/>
      <c r="F209"/>
      <c r="G209"/>
      <c r="H209"/>
      <c r="I209"/>
      <c r="J209"/>
    </row>
    <row r="210" spans="3:10">
      <c r="C210"/>
      <c r="D210"/>
      <c r="E210"/>
      <c r="F210"/>
      <c r="G210"/>
      <c r="H210"/>
      <c r="I210"/>
      <c r="J210"/>
    </row>
    <row r="211" spans="3:10">
      <c r="C211"/>
      <c r="D211"/>
      <c r="E211"/>
      <c r="F211"/>
      <c r="G211"/>
      <c r="H211"/>
      <c r="I211"/>
      <c r="J211"/>
    </row>
    <row r="212" spans="3:10">
      <c r="C212"/>
      <c r="D212"/>
      <c r="E212"/>
      <c r="F212"/>
      <c r="G212"/>
      <c r="H212"/>
      <c r="I212"/>
      <c r="J212"/>
    </row>
    <row r="213" spans="3:10">
      <c r="C213"/>
      <c r="D213"/>
      <c r="E213"/>
      <c r="F213"/>
      <c r="G213"/>
      <c r="H213"/>
      <c r="I213"/>
      <c r="J213"/>
    </row>
    <row r="214" spans="3:10">
      <c r="C214"/>
      <c r="D214"/>
      <c r="E214"/>
      <c r="F214"/>
      <c r="G214"/>
      <c r="H214"/>
      <c r="I214"/>
      <c r="J214"/>
    </row>
    <row r="215" spans="3:10">
      <c r="C215"/>
      <c r="D215"/>
      <c r="E215"/>
      <c r="F215"/>
      <c r="G215"/>
      <c r="H215"/>
      <c r="I215"/>
      <c r="J215"/>
    </row>
    <row r="216" spans="3:10">
      <c r="C216"/>
      <c r="D216"/>
      <c r="E216"/>
      <c r="F216"/>
      <c r="G216"/>
      <c r="H216"/>
      <c r="I216"/>
      <c r="J216"/>
    </row>
    <row r="217" spans="3:10">
      <c r="C217"/>
      <c r="D217"/>
      <c r="E217"/>
      <c r="F217"/>
      <c r="G217"/>
      <c r="H217"/>
      <c r="I217"/>
      <c r="J217"/>
    </row>
    <row r="218" spans="3:10">
      <c r="C218"/>
      <c r="D218"/>
      <c r="E218"/>
      <c r="F218"/>
      <c r="G218"/>
      <c r="H218"/>
      <c r="I218"/>
      <c r="J218"/>
    </row>
    <row r="219" spans="3:10">
      <c r="C219"/>
      <c r="D219"/>
      <c r="E219"/>
      <c r="F219"/>
      <c r="G219"/>
      <c r="H219"/>
      <c r="I219"/>
      <c r="J219"/>
    </row>
    <row r="220" spans="3:10">
      <c r="C220"/>
      <c r="D220"/>
      <c r="E220"/>
      <c r="F220"/>
      <c r="G220"/>
      <c r="H220"/>
      <c r="I220"/>
      <c r="J220"/>
    </row>
    <row r="221" spans="3:10">
      <c r="C221"/>
      <c r="D221"/>
      <c r="E221"/>
      <c r="F221"/>
      <c r="G221"/>
      <c r="H221"/>
      <c r="I221"/>
      <c r="J221"/>
    </row>
    <row r="222" spans="3:10">
      <c r="C222"/>
      <c r="D222"/>
      <c r="E222"/>
      <c r="F222"/>
      <c r="G222"/>
      <c r="H222"/>
      <c r="I222"/>
      <c r="J222"/>
    </row>
    <row r="223" spans="3:10">
      <c r="C223"/>
      <c r="D223"/>
      <c r="E223"/>
      <c r="F223"/>
      <c r="G223"/>
      <c r="H223"/>
      <c r="I223"/>
      <c r="J223"/>
    </row>
    <row r="224" spans="3:10">
      <c r="C224"/>
      <c r="D224"/>
      <c r="E224"/>
      <c r="F224"/>
      <c r="G224"/>
      <c r="H224"/>
      <c r="I224"/>
      <c r="J224"/>
    </row>
    <row r="225" spans="3:10">
      <c r="C225"/>
      <c r="D225"/>
      <c r="E225"/>
      <c r="F225"/>
      <c r="G225"/>
      <c r="H225"/>
      <c r="I225"/>
      <c r="J225"/>
    </row>
    <row r="226" spans="3:10">
      <c r="C226"/>
      <c r="D226"/>
      <c r="E226"/>
      <c r="F226"/>
      <c r="G226"/>
      <c r="H226"/>
      <c r="I226"/>
      <c r="J226"/>
    </row>
    <row r="227" spans="3:10">
      <c r="C227"/>
      <c r="D227"/>
      <c r="E227"/>
      <c r="F227"/>
      <c r="G227"/>
      <c r="H227"/>
      <c r="I227"/>
      <c r="J227"/>
    </row>
    <row r="228" spans="3:10">
      <c r="C228"/>
      <c r="D228"/>
      <c r="E228"/>
      <c r="F228"/>
      <c r="G228"/>
      <c r="H228"/>
      <c r="I228"/>
    </row>
    <row r="229" spans="3:10">
      <c r="C229"/>
      <c r="D229"/>
      <c r="E229"/>
      <c r="F229"/>
      <c r="G229"/>
      <c r="H229"/>
      <c r="I229"/>
    </row>
    <row r="230" spans="3:10">
      <c r="C230"/>
      <c r="D230"/>
      <c r="E230"/>
      <c r="F230"/>
      <c r="G230"/>
      <c r="H230"/>
      <c r="I230"/>
    </row>
    <row r="231" spans="3:10">
      <c r="C231"/>
      <c r="D231"/>
      <c r="E231"/>
      <c r="F231"/>
      <c r="G231"/>
      <c r="H231"/>
      <c r="I231"/>
    </row>
    <row r="232" spans="3:10">
      <c r="C232"/>
      <c r="D232"/>
      <c r="E232"/>
      <c r="F232"/>
      <c r="G232"/>
      <c r="H232"/>
      <c r="I232"/>
    </row>
    <row r="233" spans="3:10">
      <c r="C233"/>
      <c r="D233"/>
      <c r="E233"/>
      <c r="F233"/>
      <c r="G233"/>
      <c r="H233"/>
      <c r="I233"/>
    </row>
    <row r="234" spans="3:10">
      <c r="C234"/>
      <c r="D234"/>
      <c r="E234"/>
      <c r="F234"/>
      <c r="G234"/>
      <c r="H234"/>
      <c r="I234"/>
    </row>
    <row r="235" spans="3:10">
      <c r="C235"/>
      <c r="D235"/>
      <c r="E235"/>
      <c r="F235"/>
      <c r="G235"/>
      <c r="H235"/>
      <c r="I235"/>
    </row>
    <row r="236" spans="3:10">
      <c r="C236"/>
      <c r="D236"/>
      <c r="E236"/>
      <c r="F236"/>
      <c r="G236"/>
      <c r="H236"/>
      <c r="I236"/>
    </row>
    <row r="237" spans="3:10">
      <c r="C237"/>
      <c r="D237"/>
      <c r="E237"/>
      <c r="F237"/>
      <c r="G237"/>
      <c r="H237"/>
      <c r="I237"/>
    </row>
    <row r="238" spans="3:10">
      <c r="C238"/>
      <c r="D238"/>
      <c r="E238"/>
      <c r="F238"/>
      <c r="G238"/>
      <c r="H238"/>
      <c r="I238"/>
    </row>
    <row r="239" spans="3:10">
      <c r="C239"/>
      <c r="D239"/>
      <c r="E239"/>
      <c r="F239"/>
      <c r="G239"/>
      <c r="H239"/>
      <c r="I239"/>
    </row>
    <row r="240" spans="3:10">
      <c r="C240"/>
      <c r="D240"/>
      <c r="E240"/>
      <c r="F240"/>
      <c r="G240"/>
      <c r="H240"/>
      <c r="I240"/>
    </row>
    <row r="241" spans="3:9">
      <c r="C241"/>
      <c r="D241"/>
      <c r="E241"/>
      <c r="F241"/>
      <c r="G241"/>
      <c r="H241"/>
      <c r="I241"/>
    </row>
    <row r="242" spans="3:9">
      <c r="C242"/>
      <c r="D242"/>
      <c r="E242"/>
      <c r="F242"/>
      <c r="G242"/>
      <c r="H242"/>
      <c r="I242"/>
    </row>
    <row r="243" spans="3:9">
      <c r="C243"/>
      <c r="D243"/>
      <c r="E243"/>
      <c r="F243"/>
      <c r="G243"/>
      <c r="H243"/>
      <c r="I243"/>
    </row>
    <row r="244" spans="3:9">
      <c r="C244"/>
      <c r="D244"/>
      <c r="E244"/>
      <c r="F244"/>
      <c r="G244"/>
      <c r="H244"/>
      <c r="I244"/>
    </row>
    <row r="245" spans="3:9">
      <c r="C245"/>
      <c r="D245"/>
      <c r="E245"/>
      <c r="F245"/>
      <c r="G245"/>
      <c r="H245"/>
      <c r="I245"/>
    </row>
    <row r="246" spans="3:9">
      <c r="C246"/>
      <c r="D246"/>
      <c r="E246"/>
      <c r="F246"/>
      <c r="G246"/>
      <c r="H246"/>
      <c r="I246"/>
    </row>
    <row r="247" spans="3:9">
      <c r="C247"/>
      <c r="D247"/>
      <c r="E247"/>
      <c r="F247"/>
      <c r="G247"/>
      <c r="H247"/>
      <c r="I247"/>
    </row>
    <row r="248" spans="3:9">
      <c r="C248"/>
      <c r="D248"/>
      <c r="E248"/>
      <c r="F248"/>
      <c r="G248"/>
      <c r="H248"/>
      <c r="I248"/>
    </row>
    <row r="249" spans="3:9">
      <c r="C249"/>
      <c r="D249"/>
      <c r="E249"/>
      <c r="F249"/>
      <c r="G249"/>
      <c r="H249"/>
      <c r="I249"/>
    </row>
    <row r="250" spans="3:9">
      <c r="C250"/>
      <c r="D250"/>
      <c r="E250"/>
      <c r="F250"/>
      <c r="G250"/>
      <c r="H250"/>
      <c r="I250"/>
    </row>
    <row r="251" spans="3:9">
      <c r="C251"/>
      <c r="D251"/>
      <c r="E251"/>
      <c r="F251"/>
      <c r="G251"/>
      <c r="H251"/>
      <c r="I251"/>
    </row>
    <row r="252" spans="3:9">
      <c r="C252"/>
      <c r="D252"/>
      <c r="E252"/>
      <c r="F252"/>
      <c r="G252"/>
      <c r="H252"/>
      <c r="I252"/>
    </row>
    <row r="253" spans="3:9">
      <c r="C253"/>
      <c r="D253"/>
      <c r="E253"/>
      <c r="F253"/>
      <c r="G253"/>
      <c r="H253"/>
      <c r="I253"/>
    </row>
    <row r="254" spans="3:9">
      <c r="C254"/>
      <c r="D254"/>
      <c r="E254"/>
      <c r="F254"/>
      <c r="G254"/>
      <c r="H254"/>
      <c r="I254"/>
    </row>
    <row r="255" spans="3:9">
      <c r="C255"/>
      <c r="D255"/>
      <c r="E255"/>
      <c r="F255"/>
      <c r="G255"/>
      <c r="H255"/>
      <c r="I255"/>
    </row>
    <row r="256" spans="3:9">
      <c r="C256"/>
      <c r="D256"/>
      <c r="E256"/>
      <c r="F256"/>
      <c r="G256"/>
      <c r="H256"/>
      <c r="I256"/>
    </row>
    <row r="257" spans="3:9">
      <c r="C257"/>
      <c r="D257"/>
      <c r="E257"/>
      <c r="F257"/>
      <c r="G257"/>
      <c r="H257"/>
      <c r="I257"/>
    </row>
    <row r="258" spans="3:9">
      <c r="C258"/>
      <c r="D258"/>
      <c r="E258"/>
      <c r="F258"/>
      <c r="G258"/>
      <c r="H258"/>
      <c r="I258"/>
    </row>
    <row r="259" spans="3:9">
      <c r="C259"/>
      <c r="D259"/>
      <c r="E259"/>
      <c r="F259"/>
      <c r="G259"/>
      <c r="H259"/>
      <c r="I259"/>
    </row>
    <row r="260" spans="3:9">
      <c r="C260"/>
      <c r="D260"/>
      <c r="E260"/>
      <c r="F260"/>
      <c r="G260"/>
      <c r="H260"/>
      <c r="I260"/>
    </row>
    <row r="261" spans="3:9">
      <c r="C261"/>
      <c r="D261"/>
      <c r="E261"/>
      <c r="F261"/>
      <c r="G261"/>
      <c r="H261"/>
      <c r="I261"/>
    </row>
    <row r="262" spans="3:9">
      <c r="C262"/>
      <c r="D262"/>
      <c r="E262"/>
      <c r="F262"/>
      <c r="G262"/>
      <c r="H262"/>
      <c r="I262"/>
    </row>
    <row r="263" spans="3:9">
      <c r="C263"/>
      <c r="D263"/>
      <c r="E263"/>
      <c r="F263"/>
      <c r="G263"/>
      <c r="H263"/>
      <c r="I263"/>
    </row>
    <row r="264" spans="3:9">
      <c r="C264"/>
      <c r="D264"/>
      <c r="E264"/>
      <c r="F264"/>
      <c r="G264"/>
      <c r="H264"/>
      <c r="I264"/>
    </row>
    <row r="265" spans="3:9">
      <c r="C265"/>
      <c r="D265"/>
      <c r="E265"/>
      <c r="F265"/>
      <c r="G265"/>
      <c r="H265"/>
      <c r="I265"/>
    </row>
    <row r="266" spans="3:9">
      <c r="C266"/>
      <c r="D266"/>
      <c r="E266"/>
      <c r="F266"/>
      <c r="G266"/>
      <c r="H266"/>
      <c r="I266"/>
    </row>
    <row r="267" spans="3:9">
      <c r="C267"/>
      <c r="D267"/>
      <c r="E267"/>
      <c r="F267"/>
      <c r="G267"/>
      <c r="H267"/>
      <c r="I267"/>
    </row>
    <row r="268" spans="3:9">
      <c r="C268"/>
      <c r="D268"/>
      <c r="E268"/>
      <c r="F268"/>
      <c r="G268"/>
      <c r="H268"/>
      <c r="I268"/>
    </row>
    <row r="269" spans="3:9">
      <c r="C269"/>
      <c r="D269"/>
      <c r="E269"/>
      <c r="F269"/>
      <c r="G269"/>
      <c r="H269"/>
      <c r="I269"/>
    </row>
    <row r="270" spans="3:9">
      <c r="C270"/>
      <c r="D270"/>
      <c r="E270"/>
      <c r="F270"/>
      <c r="G270"/>
      <c r="H270"/>
      <c r="I270"/>
    </row>
    <row r="271" spans="3:9">
      <c r="C271"/>
      <c r="D271"/>
      <c r="E271"/>
      <c r="F271"/>
      <c r="G271"/>
      <c r="H271"/>
      <c r="I271"/>
    </row>
    <row r="272" spans="3:9">
      <c r="C272"/>
      <c r="D272"/>
      <c r="E272"/>
      <c r="F272"/>
      <c r="G272"/>
      <c r="H272"/>
      <c r="I272"/>
    </row>
    <row r="273" spans="3:9">
      <c r="C273"/>
      <c r="D273"/>
      <c r="E273"/>
      <c r="F273"/>
      <c r="G273"/>
      <c r="H273"/>
      <c r="I273"/>
    </row>
    <row r="274" spans="3:9">
      <c r="C274"/>
      <c r="D274"/>
      <c r="E274"/>
      <c r="F274"/>
      <c r="G274"/>
      <c r="H274"/>
      <c r="I274"/>
    </row>
    <row r="275" spans="3:9">
      <c r="C275"/>
      <c r="D275"/>
      <c r="E275"/>
      <c r="F275"/>
      <c r="G275"/>
      <c r="H275"/>
      <c r="I275"/>
    </row>
    <row r="276" spans="3:9">
      <c r="C276"/>
      <c r="D276"/>
      <c r="E276"/>
      <c r="F276"/>
      <c r="G276"/>
      <c r="H276"/>
      <c r="I276"/>
    </row>
    <row r="277" spans="3:9">
      <c r="C277"/>
      <c r="D277"/>
      <c r="E277"/>
      <c r="F277"/>
      <c r="G277"/>
      <c r="H277"/>
      <c r="I277"/>
    </row>
    <row r="278" spans="3:9">
      <c r="C278"/>
      <c r="D278"/>
      <c r="E278"/>
      <c r="F278"/>
      <c r="G278"/>
      <c r="H278"/>
      <c r="I278"/>
    </row>
    <row r="279" spans="3:9">
      <c r="C279"/>
      <c r="D279"/>
      <c r="E279"/>
      <c r="F279"/>
      <c r="G279"/>
      <c r="H279"/>
      <c r="I279"/>
    </row>
    <row r="280" spans="3:9">
      <c r="C280"/>
      <c r="D280"/>
      <c r="E280"/>
      <c r="F280"/>
      <c r="G280"/>
      <c r="H280"/>
      <c r="I280"/>
    </row>
    <row r="281" spans="3:9">
      <c r="C281"/>
      <c r="D281"/>
      <c r="E281"/>
      <c r="F281"/>
      <c r="G281"/>
      <c r="H281"/>
      <c r="I281"/>
    </row>
    <row r="282" spans="3:9">
      <c r="C282"/>
      <c r="D282"/>
      <c r="E282"/>
      <c r="F282"/>
      <c r="G282"/>
      <c r="H282"/>
      <c r="I282"/>
    </row>
    <row r="283" spans="3:9">
      <c r="C283"/>
      <c r="D283"/>
      <c r="E283"/>
      <c r="F283"/>
      <c r="G283"/>
      <c r="H283"/>
      <c r="I283"/>
    </row>
    <row r="284" spans="3:9">
      <c r="C284"/>
      <c r="D284"/>
      <c r="E284"/>
      <c r="F284"/>
      <c r="G284"/>
      <c r="H284"/>
      <c r="I284"/>
    </row>
    <row r="285" spans="3:9">
      <c r="C285"/>
      <c r="D285"/>
      <c r="E285"/>
      <c r="F285"/>
      <c r="G285"/>
      <c r="H285"/>
      <c r="I285"/>
    </row>
    <row r="286" spans="3:9">
      <c r="C286"/>
      <c r="D286"/>
      <c r="E286"/>
      <c r="F286"/>
      <c r="G286"/>
      <c r="H286"/>
      <c r="I286"/>
    </row>
    <row r="287" spans="3:9">
      <c r="C287"/>
      <c r="D287"/>
      <c r="E287"/>
      <c r="F287"/>
      <c r="G287"/>
      <c r="H287"/>
      <c r="I287"/>
    </row>
    <row r="288" spans="3:9">
      <c r="C288"/>
      <c r="D288"/>
      <c r="E288"/>
      <c r="F288"/>
      <c r="G288"/>
      <c r="H288"/>
      <c r="I288"/>
    </row>
    <row r="289" spans="3:9">
      <c r="C289"/>
      <c r="D289"/>
      <c r="E289"/>
      <c r="F289"/>
      <c r="G289"/>
      <c r="H289"/>
      <c r="I289"/>
    </row>
    <row r="290" spans="3:9">
      <c r="C290"/>
      <c r="D290"/>
      <c r="E290"/>
      <c r="F290"/>
      <c r="G290"/>
      <c r="H290"/>
      <c r="I290"/>
    </row>
    <row r="291" spans="3:9">
      <c r="C291"/>
      <c r="D291"/>
      <c r="E291"/>
      <c r="F291"/>
      <c r="G291"/>
      <c r="H291"/>
      <c r="I291"/>
    </row>
    <row r="292" spans="3:9">
      <c r="C292"/>
      <c r="D292"/>
      <c r="E292"/>
      <c r="F292"/>
      <c r="G292"/>
      <c r="H292"/>
      <c r="I292"/>
    </row>
    <row r="293" spans="3:9">
      <c r="C293"/>
      <c r="D293"/>
      <c r="E293"/>
      <c r="F293"/>
      <c r="G293"/>
      <c r="H293"/>
      <c r="I293"/>
    </row>
    <row r="294" spans="3:9">
      <c r="C294"/>
      <c r="D294"/>
      <c r="E294"/>
      <c r="F294"/>
      <c r="G294"/>
      <c r="H294"/>
      <c r="I294"/>
    </row>
    <row r="295" spans="3:9">
      <c r="C295"/>
      <c r="D295"/>
      <c r="E295"/>
      <c r="F295"/>
      <c r="G295"/>
      <c r="H295"/>
      <c r="I295"/>
    </row>
    <row r="296" spans="3:9">
      <c r="C296"/>
      <c r="D296"/>
      <c r="E296"/>
      <c r="F296"/>
      <c r="G296"/>
      <c r="H296"/>
      <c r="I296"/>
    </row>
    <row r="297" spans="3:9">
      <c r="C297"/>
      <c r="D297"/>
      <c r="E297"/>
      <c r="F297"/>
      <c r="G297"/>
      <c r="H297"/>
      <c r="I297"/>
    </row>
    <row r="298" spans="3:9">
      <c r="C298"/>
      <c r="D298"/>
      <c r="E298"/>
      <c r="F298"/>
      <c r="G298"/>
      <c r="H298"/>
      <c r="I298"/>
    </row>
    <row r="299" spans="3:9">
      <c r="C299"/>
      <c r="D299"/>
      <c r="E299"/>
      <c r="F299"/>
      <c r="G299"/>
      <c r="H299"/>
      <c r="I299"/>
    </row>
    <row r="300" spans="3:9">
      <c r="C300"/>
      <c r="D300"/>
      <c r="E300"/>
      <c r="F300"/>
      <c r="G300"/>
      <c r="H300"/>
      <c r="I300"/>
    </row>
    <row r="301" spans="3:9">
      <c r="C301"/>
      <c r="D301"/>
      <c r="E301"/>
      <c r="F301"/>
      <c r="G301"/>
      <c r="H301"/>
      <c r="I301"/>
    </row>
    <row r="302" spans="3:9">
      <c r="C302"/>
      <c r="D302"/>
      <c r="E302"/>
      <c r="F302"/>
      <c r="G302"/>
      <c r="H302"/>
      <c r="I302"/>
    </row>
    <row r="303" spans="3:9">
      <c r="C303"/>
      <c r="D303"/>
      <c r="E303"/>
      <c r="F303"/>
      <c r="G303"/>
      <c r="H303"/>
      <c r="I303"/>
    </row>
    <row r="304" spans="3:9">
      <c r="C304"/>
      <c r="D304"/>
      <c r="E304"/>
      <c r="F304"/>
      <c r="G304"/>
      <c r="H304"/>
      <c r="I304"/>
    </row>
    <row r="305" spans="3:9">
      <c r="C305"/>
      <c r="D305"/>
      <c r="E305"/>
      <c r="F305"/>
      <c r="G305"/>
      <c r="H305"/>
      <c r="I305"/>
    </row>
    <row r="306" spans="3:9">
      <c r="C306"/>
      <c r="D306"/>
      <c r="E306"/>
      <c r="F306"/>
      <c r="G306"/>
      <c r="H306"/>
      <c r="I306"/>
    </row>
    <row r="307" spans="3:9">
      <c r="C307"/>
      <c r="D307"/>
      <c r="E307"/>
      <c r="F307"/>
      <c r="G307"/>
      <c r="H307"/>
      <c r="I307"/>
    </row>
    <row r="308" spans="3:9">
      <c r="C308"/>
      <c r="D308"/>
      <c r="E308"/>
      <c r="F308"/>
      <c r="G308"/>
      <c r="H308"/>
      <c r="I308"/>
    </row>
    <row r="309" spans="3:9">
      <c r="C309"/>
      <c r="D309"/>
      <c r="E309"/>
      <c r="F309"/>
      <c r="G309"/>
      <c r="H309"/>
      <c r="I309"/>
    </row>
    <row r="310" spans="3:9">
      <c r="C310"/>
      <c r="D310"/>
      <c r="E310"/>
      <c r="F310"/>
      <c r="G310"/>
      <c r="H310"/>
      <c r="I310"/>
    </row>
    <row r="311" spans="3:9">
      <c r="C311"/>
      <c r="D311"/>
      <c r="E311"/>
      <c r="F311"/>
      <c r="G311"/>
      <c r="H311"/>
      <c r="I311"/>
    </row>
    <row r="312" spans="3:9">
      <c r="C312"/>
      <c r="D312"/>
      <c r="E312"/>
      <c r="F312"/>
      <c r="G312"/>
      <c r="H312"/>
      <c r="I312"/>
    </row>
    <row r="313" spans="3:9">
      <c r="C313"/>
      <c r="D313"/>
      <c r="E313"/>
      <c r="F313"/>
      <c r="G313"/>
      <c r="H313"/>
      <c r="I313"/>
    </row>
    <row r="314" spans="3:9">
      <c r="C314"/>
      <c r="D314"/>
      <c r="E314"/>
      <c r="F314"/>
      <c r="G314"/>
      <c r="H314"/>
      <c r="I314"/>
    </row>
    <row r="315" spans="3:9">
      <c r="C315"/>
      <c r="D315"/>
      <c r="E315"/>
      <c r="F315"/>
      <c r="G315"/>
      <c r="H315"/>
      <c r="I315"/>
    </row>
    <row r="316" spans="3:9">
      <c r="C316"/>
      <c r="D316"/>
      <c r="E316"/>
      <c r="F316"/>
      <c r="G316"/>
      <c r="H316"/>
      <c r="I316"/>
    </row>
    <row r="317" spans="3:9">
      <c r="C317"/>
      <c r="D317"/>
      <c r="E317"/>
      <c r="F317"/>
      <c r="G317"/>
      <c r="H317"/>
      <c r="I317"/>
    </row>
    <row r="318" spans="3:9">
      <c r="C318"/>
      <c r="D318"/>
      <c r="E318"/>
      <c r="F318"/>
      <c r="G318"/>
      <c r="H318"/>
      <c r="I318"/>
    </row>
    <row r="319" spans="3:9">
      <c r="C319"/>
      <c r="D319"/>
      <c r="E319"/>
      <c r="F319"/>
      <c r="G319"/>
      <c r="H319"/>
      <c r="I319"/>
    </row>
    <row r="320" spans="3:9">
      <c r="C320"/>
      <c r="D320"/>
      <c r="E320"/>
      <c r="F320"/>
      <c r="G320"/>
      <c r="H320"/>
      <c r="I320"/>
    </row>
    <row r="321" spans="3:9">
      <c r="C321"/>
      <c r="D321"/>
      <c r="E321"/>
      <c r="F321"/>
      <c r="G321"/>
      <c r="H321"/>
      <c r="I321"/>
    </row>
    <row r="322" spans="3:9">
      <c r="C322"/>
      <c r="D322"/>
      <c r="E322"/>
      <c r="F322"/>
      <c r="G322"/>
      <c r="H322"/>
      <c r="I322"/>
    </row>
    <row r="323" spans="3:9">
      <c r="C323"/>
      <c r="D323"/>
      <c r="E323"/>
      <c r="F323"/>
      <c r="G323"/>
      <c r="H323"/>
      <c r="I323"/>
    </row>
    <row r="324" spans="3:9">
      <c r="C324"/>
      <c r="D324"/>
      <c r="E324"/>
      <c r="F324"/>
      <c r="G324"/>
      <c r="H324"/>
      <c r="I324"/>
    </row>
    <row r="325" spans="3:9">
      <c r="C325"/>
      <c r="D325"/>
      <c r="E325"/>
      <c r="F325"/>
      <c r="G325"/>
      <c r="H325"/>
      <c r="I325"/>
    </row>
    <row r="326" spans="3:9">
      <c r="C326"/>
      <c r="D326"/>
      <c r="E326"/>
      <c r="F326"/>
      <c r="G326"/>
      <c r="H326"/>
      <c r="I326"/>
    </row>
    <row r="327" spans="3:9">
      <c r="C327"/>
      <c r="D327"/>
      <c r="E327"/>
      <c r="F327"/>
      <c r="G327"/>
      <c r="H327"/>
      <c r="I327"/>
    </row>
    <row r="328" spans="3:9">
      <c r="C328"/>
      <c r="D328"/>
      <c r="E328"/>
      <c r="F328"/>
      <c r="G328"/>
      <c r="H328"/>
      <c r="I328"/>
    </row>
    <row r="329" spans="3:9">
      <c r="C329"/>
      <c r="D329"/>
      <c r="E329"/>
      <c r="F329"/>
      <c r="G329"/>
      <c r="H329"/>
      <c r="I329"/>
    </row>
    <row r="330" spans="3:9">
      <c r="C330"/>
      <c r="D330"/>
      <c r="E330"/>
      <c r="F330"/>
      <c r="G330"/>
      <c r="H330"/>
      <c r="I330"/>
    </row>
    <row r="331" spans="3:9">
      <c r="C331"/>
      <c r="D331"/>
      <c r="E331"/>
      <c r="F331"/>
      <c r="G331"/>
      <c r="H331"/>
      <c r="I331"/>
    </row>
    <row r="332" spans="3:9">
      <c r="C332"/>
      <c r="D332"/>
      <c r="E332"/>
      <c r="F332"/>
      <c r="G332"/>
      <c r="H332"/>
      <c r="I332"/>
    </row>
    <row r="333" spans="3:9">
      <c r="C333"/>
      <c r="D333"/>
      <c r="E333"/>
      <c r="F333"/>
      <c r="G333"/>
      <c r="H333"/>
      <c r="I333"/>
    </row>
    <row r="334" spans="3:9">
      <c r="C334"/>
      <c r="D334"/>
      <c r="E334"/>
      <c r="F334"/>
      <c r="G334"/>
      <c r="H334"/>
      <c r="I334"/>
    </row>
    <row r="335" spans="3:9">
      <c r="C335"/>
      <c r="D335"/>
      <c r="E335"/>
      <c r="F335"/>
      <c r="G335"/>
      <c r="H335"/>
      <c r="I335"/>
    </row>
    <row r="336" spans="3:9">
      <c r="C336"/>
      <c r="D336"/>
      <c r="E336"/>
      <c r="F336"/>
      <c r="G336"/>
      <c r="H336"/>
      <c r="I336"/>
    </row>
    <row r="337" spans="3:9">
      <c r="C337"/>
      <c r="D337"/>
      <c r="E337"/>
      <c r="F337"/>
      <c r="G337"/>
      <c r="H337"/>
      <c r="I337"/>
    </row>
    <row r="338" spans="3:9">
      <c r="C338"/>
      <c r="D338"/>
      <c r="E338"/>
      <c r="F338"/>
      <c r="G338"/>
      <c r="H338"/>
      <c r="I338"/>
    </row>
    <row r="339" spans="3:9">
      <c r="C339"/>
      <c r="D339"/>
      <c r="E339"/>
      <c r="F339"/>
      <c r="G339"/>
      <c r="H339"/>
      <c r="I339"/>
    </row>
    <row r="340" spans="3:9">
      <c r="C340"/>
      <c r="D340"/>
      <c r="E340"/>
      <c r="F340"/>
      <c r="G340"/>
      <c r="H340"/>
      <c r="I340"/>
    </row>
    <row r="341" spans="3:9">
      <c r="C341"/>
      <c r="D341"/>
      <c r="E341"/>
      <c r="F341"/>
      <c r="G341"/>
      <c r="H341"/>
      <c r="I341"/>
    </row>
    <row r="342" spans="3:9">
      <c r="C342"/>
      <c r="D342"/>
      <c r="E342"/>
      <c r="F342"/>
      <c r="G342"/>
      <c r="H342"/>
      <c r="I342"/>
    </row>
    <row r="343" spans="3:9">
      <c r="C343"/>
      <c r="D343"/>
      <c r="E343"/>
      <c r="F343"/>
      <c r="G343"/>
      <c r="H343"/>
      <c r="I343"/>
    </row>
    <row r="344" spans="3:9">
      <c r="C344"/>
      <c r="D344"/>
      <c r="E344"/>
      <c r="F344"/>
      <c r="G344"/>
      <c r="H344"/>
      <c r="I344"/>
    </row>
    <row r="345" spans="3:9">
      <c r="C345"/>
      <c r="D345"/>
      <c r="E345"/>
      <c r="F345"/>
      <c r="G345"/>
      <c r="H345"/>
      <c r="I345"/>
    </row>
    <row r="346" spans="3:9">
      <c r="C346"/>
      <c r="D346"/>
      <c r="E346"/>
      <c r="F346"/>
      <c r="G346"/>
      <c r="H346"/>
      <c r="I346"/>
    </row>
    <row r="347" spans="3:9">
      <c r="C347"/>
      <c r="D347"/>
      <c r="E347"/>
      <c r="F347"/>
      <c r="G347"/>
      <c r="H347"/>
      <c r="I347"/>
    </row>
    <row r="348" spans="3:9">
      <c r="C348"/>
      <c r="D348"/>
      <c r="E348"/>
      <c r="F348"/>
      <c r="G348"/>
      <c r="H348"/>
      <c r="I348"/>
    </row>
    <row r="349" spans="3:9">
      <c r="C349"/>
      <c r="D349"/>
      <c r="E349"/>
      <c r="F349"/>
      <c r="G349"/>
      <c r="H349"/>
      <c r="I349"/>
    </row>
    <row r="350" spans="3:9">
      <c r="C350"/>
      <c r="D350"/>
      <c r="E350"/>
      <c r="F350"/>
      <c r="G350"/>
      <c r="H350"/>
      <c r="I350"/>
    </row>
    <row r="351" spans="3:9">
      <c r="C351"/>
      <c r="D351"/>
      <c r="E351"/>
      <c r="F351"/>
      <c r="G351"/>
      <c r="H351"/>
      <c r="I351"/>
    </row>
    <row r="352" spans="3:9">
      <c r="C352"/>
      <c r="D352"/>
      <c r="E352"/>
      <c r="F352"/>
      <c r="G352"/>
      <c r="H352"/>
      <c r="I352"/>
    </row>
    <row r="353" spans="3:9">
      <c r="C353"/>
      <c r="D353"/>
      <c r="E353"/>
      <c r="F353"/>
      <c r="G353"/>
      <c r="H353"/>
      <c r="I353"/>
    </row>
    <row r="354" spans="3:9">
      <c r="C354"/>
      <c r="D354"/>
      <c r="E354"/>
      <c r="F354"/>
      <c r="G354"/>
      <c r="H354"/>
      <c r="I354"/>
    </row>
    <row r="355" spans="3:9">
      <c r="C355"/>
      <c r="D355"/>
      <c r="E355"/>
      <c r="F355"/>
      <c r="G355"/>
      <c r="H355"/>
      <c r="I355"/>
    </row>
    <row r="356" spans="3:9">
      <c r="C356"/>
      <c r="D356"/>
      <c r="E356"/>
      <c r="F356"/>
      <c r="G356"/>
      <c r="H356"/>
      <c r="I356"/>
    </row>
    <row r="357" spans="3:9">
      <c r="C357"/>
      <c r="D357"/>
      <c r="E357"/>
      <c r="F357"/>
      <c r="G357"/>
      <c r="H357"/>
      <c r="I357"/>
    </row>
    <row r="358" spans="3:9">
      <c r="C358"/>
      <c r="D358"/>
      <c r="E358"/>
      <c r="F358"/>
      <c r="G358"/>
      <c r="H358"/>
      <c r="I358"/>
    </row>
    <row r="359" spans="3:9">
      <c r="C359"/>
      <c r="D359"/>
      <c r="E359"/>
      <c r="F359"/>
      <c r="G359"/>
      <c r="H359"/>
      <c r="I359"/>
    </row>
    <row r="360" spans="3:9">
      <c r="C360"/>
      <c r="D360"/>
      <c r="E360"/>
      <c r="F360"/>
      <c r="G360"/>
      <c r="H360"/>
      <c r="I360"/>
    </row>
    <row r="361" spans="3:9">
      <c r="C361"/>
      <c r="D361"/>
      <c r="E361"/>
      <c r="F361"/>
      <c r="G361"/>
      <c r="H361"/>
      <c r="I361"/>
    </row>
    <row r="362" spans="3:9">
      <c r="C362"/>
      <c r="D362"/>
      <c r="E362"/>
      <c r="F362"/>
      <c r="G362"/>
      <c r="H362"/>
      <c r="I362"/>
    </row>
    <row r="363" spans="3:9">
      <c r="C363"/>
      <c r="D363"/>
      <c r="E363"/>
      <c r="F363"/>
      <c r="G363"/>
      <c r="H363"/>
      <c r="I363"/>
    </row>
    <row r="364" spans="3:9">
      <c r="C364"/>
      <c r="D364"/>
      <c r="E364"/>
      <c r="F364"/>
      <c r="G364"/>
      <c r="H364"/>
      <c r="I364"/>
    </row>
    <row r="365" spans="3:9">
      <c r="C365"/>
      <c r="D365"/>
      <c r="E365"/>
      <c r="F365"/>
      <c r="G365"/>
      <c r="H365"/>
      <c r="I365"/>
    </row>
    <row r="366" spans="3:9">
      <c r="C366"/>
      <c r="D366"/>
      <c r="E366"/>
      <c r="F366"/>
      <c r="G366"/>
      <c r="H366"/>
      <c r="I366"/>
    </row>
    <row r="367" spans="3:9">
      <c r="C367"/>
      <c r="D367"/>
      <c r="E367"/>
      <c r="F367"/>
      <c r="G367"/>
      <c r="H367"/>
      <c r="I367"/>
    </row>
    <row r="368" spans="3:9">
      <c r="C368"/>
      <c r="D368"/>
      <c r="E368"/>
      <c r="F368"/>
      <c r="G368"/>
      <c r="H368"/>
      <c r="I368"/>
    </row>
    <row r="369" spans="3:9">
      <c r="C369"/>
      <c r="D369"/>
      <c r="E369"/>
      <c r="F369"/>
      <c r="G369"/>
      <c r="H369"/>
      <c r="I369"/>
    </row>
    <row r="370" spans="3:9">
      <c r="C370"/>
      <c r="D370"/>
      <c r="E370"/>
      <c r="F370"/>
      <c r="G370"/>
      <c r="H370"/>
      <c r="I370"/>
    </row>
    <row r="371" spans="3:9">
      <c r="C371"/>
      <c r="D371"/>
      <c r="E371"/>
      <c r="F371"/>
      <c r="G371"/>
      <c r="H371"/>
      <c r="I371"/>
    </row>
    <row r="372" spans="3:9">
      <c r="C372"/>
      <c r="D372"/>
      <c r="E372"/>
      <c r="F372"/>
      <c r="G372"/>
      <c r="H372"/>
      <c r="I372"/>
    </row>
    <row r="373" spans="3:9">
      <c r="C373"/>
      <c r="D373"/>
      <c r="E373"/>
      <c r="F373"/>
      <c r="G373"/>
      <c r="H373"/>
      <c r="I373"/>
    </row>
    <row r="374" spans="3:9">
      <c r="C374"/>
      <c r="D374"/>
      <c r="E374"/>
      <c r="F374"/>
      <c r="G374"/>
      <c r="H374"/>
      <c r="I374"/>
    </row>
    <row r="375" spans="3:9">
      <c r="C375"/>
      <c r="D375"/>
      <c r="E375"/>
      <c r="F375"/>
      <c r="G375"/>
      <c r="H375"/>
      <c r="I375"/>
    </row>
    <row r="376" spans="3:9">
      <c r="C376"/>
      <c r="D376"/>
      <c r="E376"/>
      <c r="F376"/>
      <c r="G376"/>
      <c r="H376"/>
      <c r="I376"/>
    </row>
    <row r="377" spans="3:9">
      <c r="C377"/>
      <c r="D377"/>
      <c r="E377"/>
      <c r="F377"/>
      <c r="G377"/>
      <c r="H377"/>
      <c r="I377"/>
    </row>
    <row r="378" spans="3:9">
      <c r="C378"/>
      <c r="D378"/>
      <c r="E378"/>
      <c r="F378"/>
      <c r="G378"/>
      <c r="H378"/>
      <c r="I378"/>
    </row>
    <row r="379" spans="3:9">
      <c r="C379"/>
      <c r="D379"/>
      <c r="E379"/>
      <c r="F379"/>
      <c r="G379"/>
      <c r="H379"/>
      <c r="I379"/>
    </row>
    <row r="380" spans="3:9">
      <c r="C380"/>
      <c r="D380"/>
      <c r="E380"/>
      <c r="F380"/>
      <c r="G380"/>
      <c r="H380"/>
      <c r="I380"/>
    </row>
    <row r="381" spans="3:9">
      <c r="C381"/>
      <c r="D381"/>
      <c r="E381"/>
      <c r="F381"/>
      <c r="G381"/>
      <c r="H381"/>
      <c r="I381"/>
    </row>
    <row r="382" spans="3:9">
      <c r="C382"/>
      <c r="D382"/>
      <c r="E382"/>
      <c r="F382"/>
      <c r="G382"/>
      <c r="H382"/>
      <c r="I382"/>
    </row>
    <row r="383" spans="3:9">
      <c r="C383"/>
      <c r="D383"/>
      <c r="E383"/>
      <c r="F383"/>
      <c r="G383"/>
      <c r="H383"/>
      <c r="I383"/>
    </row>
    <row r="384" spans="3:9">
      <c r="C384"/>
      <c r="D384"/>
      <c r="E384"/>
      <c r="F384"/>
      <c r="G384"/>
      <c r="H384"/>
      <c r="I384"/>
    </row>
    <row r="385" spans="3:9">
      <c r="C385"/>
      <c r="D385"/>
      <c r="E385"/>
      <c r="F385"/>
      <c r="G385"/>
      <c r="H385"/>
      <c r="I385"/>
    </row>
    <row r="386" spans="3:9">
      <c r="C386"/>
      <c r="D386"/>
      <c r="E386"/>
      <c r="F386"/>
      <c r="G386"/>
      <c r="H386"/>
      <c r="I386"/>
    </row>
    <row r="387" spans="3:9">
      <c r="C387"/>
      <c r="D387"/>
      <c r="E387"/>
      <c r="F387"/>
      <c r="G387"/>
      <c r="H387"/>
      <c r="I387"/>
    </row>
    <row r="388" spans="3:9">
      <c r="C388"/>
      <c r="D388"/>
      <c r="E388"/>
      <c r="F388"/>
      <c r="G388"/>
      <c r="H388"/>
      <c r="I388"/>
    </row>
    <row r="389" spans="3:9">
      <c r="C389"/>
      <c r="D389"/>
      <c r="E389"/>
      <c r="F389"/>
      <c r="G389"/>
      <c r="H389"/>
      <c r="I389"/>
    </row>
    <row r="390" spans="3:9">
      <c r="C390"/>
      <c r="D390"/>
      <c r="E390"/>
      <c r="F390"/>
      <c r="G390"/>
      <c r="H390"/>
      <c r="I390"/>
    </row>
    <row r="391" spans="3:9">
      <c r="C391"/>
      <c r="D391"/>
      <c r="E391"/>
      <c r="F391"/>
      <c r="G391"/>
      <c r="H391"/>
      <c r="I391"/>
    </row>
    <row r="392" spans="3:9">
      <c r="C392"/>
      <c r="D392"/>
      <c r="E392"/>
      <c r="F392"/>
      <c r="G392"/>
      <c r="H392"/>
      <c r="I392"/>
    </row>
    <row r="393" spans="3:9">
      <c r="C393"/>
      <c r="D393"/>
      <c r="E393"/>
      <c r="F393"/>
      <c r="G393"/>
      <c r="H393"/>
      <c r="I393"/>
    </row>
    <row r="394" spans="3:9">
      <c r="C394"/>
      <c r="D394"/>
      <c r="E394"/>
      <c r="F394"/>
      <c r="G394"/>
      <c r="H394"/>
      <c r="I394"/>
    </row>
    <row r="395" spans="3:9">
      <c r="C395"/>
      <c r="D395"/>
      <c r="E395"/>
      <c r="F395"/>
      <c r="G395"/>
      <c r="H395"/>
      <c r="I395"/>
    </row>
    <row r="396" spans="3:9">
      <c r="C396"/>
      <c r="D396"/>
      <c r="E396"/>
      <c r="F396"/>
      <c r="G396"/>
      <c r="H396"/>
      <c r="I396"/>
    </row>
    <row r="397" spans="3:9">
      <c r="C397"/>
      <c r="D397"/>
      <c r="E397"/>
      <c r="F397"/>
      <c r="G397"/>
      <c r="H397"/>
      <c r="I397"/>
    </row>
    <row r="398" spans="3:9">
      <c r="C398"/>
      <c r="D398"/>
      <c r="E398"/>
      <c r="F398"/>
      <c r="G398"/>
      <c r="H398"/>
      <c r="I398"/>
    </row>
    <row r="399" spans="3:9">
      <c r="C399"/>
      <c r="D399"/>
      <c r="E399"/>
      <c r="F399"/>
      <c r="G399"/>
      <c r="H399"/>
      <c r="I399"/>
    </row>
    <row r="400" spans="3:9">
      <c r="C400"/>
      <c r="D400"/>
      <c r="E400"/>
      <c r="F400"/>
      <c r="G400"/>
      <c r="H400"/>
      <c r="I400"/>
    </row>
    <row r="401" spans="3:9">
      <c r="C401"/>
      <c r="D401"/>
      <c r="E401"/>
      <c r="F401"/>
      <c r="G401"/>
      <c r="H401"/>
      <c r="I401"/>
    </row>
    <row r="402" spans="3:9">
      <c r="C402"/>
      <c r="D402"/>
      <c r="E402"/>
      <c r="F402"/>
      <c r="G402"/>
      <c r="H402"/>
      <c r="I402"/>
    </row>
    <row r="403" spans="3:9">
      <c r="C403"/>
      <c r="D403"/>
      <c r="E403"/>
      <c r="F403"/>
      <c r="G403"/>
      <c r="H403"/>
      <c r="I403"/>
    </row>
    <row r="404" spans="3:9">
      <c r="C404"/>
      <c r="D404"/>
      <c r="E404"/>
      <c r="F404"/>
      <c r="G404"/>
      <c r="H404"/>
      <c r="I404"/>
    </row>
    <row r="405" spans="3:9">
      <c r="C405"/>
      <c r="D405"/>
      <c r="E405"/>
      <c r="F405"/>
      <c r="G405"/>
      <c r="H405"/>
      <c r="I405"/>
    </row>
    <row r="406" spans="3:9">
      <c r="C406"/>
      <c r="D406"/>
      <c r="E406"/>
      <c r="F406"/>
      <c r="G406"/>
      <c r="H406"/>
      <c r="I406"/>
    </row>
    <row r="407" spans="3:9">
      <c r="C407"/>
      <c r="D407"/>
      <c r="E407"/>
      <c r="F407"/>
      <c r="G407"/>
      <c r="H407"/>
      <c r="I407"/>
    </row>
    <row r="408" spans="3:9">
      <c r="C408"/>
      <c r="D408"/>
      <c r="E408"/>
      <c r="F408"/>
      <c r="G408"/>
      <c r="H408"/>
      <c r="I408"/>
    </row>
    <row r="409" spans="3:9">
      <c r="C409"/>
      <c r="D409"/>
      <c r="E409"/>
      <c r="F409"/>
      <c r="G409"/>
      <c r="H409"/>
      <c r="I409"/>
    </row>
    <row r="410" spans="3:9">
      <c r="C410"/>
      <c r="D410"/>
      <c r="E410"/>
      <c r="F410"/>
      <c r="G410"/>
      <c r="H410"/>
      <c r="I410"/>
    </row>
    <row r="411" spans="3:9">
      <c r="C411"/>
      <c r="D411"/>
      <c r="E411"/>
      <c r="F411"/>
      <c r="G411"/>
      <c r="H411"/>
      <c r="I411"/>
    </row>
    <row r="412" spans="3:9">
      <c r="C412"/>
      <c r="D412"/>
      <c r="E412"/>
      <c r="F412"/>
      <c r="G412"/>
      <c r="H412"/>
      <c r="I412"/>
    </row>
    <row r="413" spans="3:9">
      <c r="C413"/>
      <c r="D413"/>
      <c r="E413"/>
      <c r="F413"/>
      <c r="G413"/>
      <c r="H413"/>
      <c r="I413"/>
    </row>
    <row r="414" spans="3:9">
      <c r="C414"/>
      <c r="D414"/>
      <c r="E414"/>
      <c r="F414"/>
      <c r="G414"/>
      <c r="H414"/>
      <c r="I414"/>
    </row>
    <row r="415" spans="3:9">
      <c r="C415"/>
      <c r="D415"/>
      <c r="E415"/>
      <c r="F415"/>
      <c r="G415"/>
      <c r="H415"/>
      <c r="I415"/>
    </row>
    <row r="416" spans="3:9">
      <c r="C416"/>
      <c r="D416"/>
      <c r="E416"/>
      <c r="F416"/>
      <c r="G416"/>
      <c r="H416"/>
      <c r="I416"/>
    </row>
    <row r="417" spans="3:9">
      <c r="C417"/>
      <c r="D417"/>
      <c r="E417"/>
      <c r="F417"/>
      <c r="G417"/>
      <c r="H417"/>
      <c r="I417"/>
    </row>
    <row r="418" spans="3:9">
      <c r="C418"/>
      <c r="D418"/>
      <c r="E418"/>
      <c r="F418"/>
      <c r="G418"/>
      <c r="H418"/>
      <c r="I418"/>
    </row>
    <row r="419" spans="3:9">
      <c r="C419"/>
      <c r="D419"/>
      <c r="E419"/>
      <c r="F419"/>
      <c r="G419"/>
      <c r="H419"/>
      <c r="I419"/>
    </row>
    <row r="420" spans="3:9">
      <c r="C420"/>
      <c r="D420"/>
      <c r="E420"/>
      <c r="F420"/>
      <c r="G420"/>
      <c r="H420"/>
      <c r="I420"/>
    </row>
    <row r="421" spans="3:9">
      <c r="C421"/>
      <c r="D421"/>
      <c r="E421"/>
      <c r="F421"/>
      <c r="G421"/>
      <c r="H421"/>
      <c r="I421"/>
    </row>
    <row r="422" spans="3:9">
      <c r="C422"/>
      <c r="D422"/>
      <c r="E422"/>
      <c r="F422"/>
      <c r="G422"/>
      <c r="H422"/>
      <c r="I422"/>
    </row>
    <row r="423" spans="3:9">
      <c r="C423"/>
      <c r="D423"/>
      <c r="E423"/>
      <c r="F423"/>
      <c r="G423"/>
      <c r="H423"/>
      <c r="I423"/>
    </row>
    <row r="424" spans="3:9">
      <c r="C424"/>
      <c r="D424"/>
      <c r="E424"/>
      <c r="F424"/>
      <c r="G424"/>
      <c r="H424"/>
      <c r="I424"/>
    </row>
    <row r="425" spans="3:9">
      <c r="C425"/>
      <c r="D425"/>
      <c r="E425"/>
      <c r="F425"/>
      <c r="G425"/>
      <c r="H425"/>
      <c r="I425"/>
    </row>
    <row r="426" spans="3:9">
      <c r="C426"/>
      <c r="D426"/>
      <c r="E426"/>
      <c r="F426"/>
      <c r="G426"/>
      <c r="H426"/>
      <c r="I426"/>
    </row>
    <row r="427" spans="3:9">
      <c r="C427"/>
      <c r="D427"/>
      <c r="E427"/>
      <c r="F427"/>
      <c r="G427"/>
      <c r="H427"/>
      <c r="I427"/>
    </row>
    <row r="428" spans="3:9">
      <c r="C428"/>
      <c r="D428"/>
      <c r="E428"/>
      <c r="F428"/>
      <c r="G428"/>
      <c r="H428"/>
      <c r="I428"/>
    </row>
    <row r="429" spans="3:9">
      <c r="C429"/>
      <c r="D429"/>
      <c r="E429"/>
      <c r="F429"/>
      <c r="G429"/>
      <c r="H429"/>
      <c r="I429"/>
    </row>
    <row r="430" spans="3:9">
      <c r="C430"/>
      <c r="D430"/>
      <c r="E430"/>
      <c r="F430"/>
      <c r="G430"/>
      <c r="H430"/>
      <c r="I430"/>
    </row>
    <row r="431" spans="3:9">
      <c r="C431"/>
      <c r="D431"/>
      <c r="E431"/>
      <c r="F431"/>
      <c r="G431"/>
      <c r="H431"/>
      <c r="I431"/>
    </row>
    <row r="432" spans="3:9">
      <c r="C432"/>
      <c r="D432"/>
      <c r="E432"/>
      <c r="F432"/>
      <c r="G432"/>
      <c r="H432"/>
      <c r="I432"/>
    </row>
    <row r="433" spans="3:9">
      <c r="C433"/>
      <c r="D433"/>
      <c r="E433"/>
      <c r="F433"/>
      <c r="G433"/>
      <c r="H433"/>
      <c r="I433"/>
    </row>
    <row r="434" spans="3:9">
      <c r="C434"/>
      <c r="D434"/>
      <c r="E434"/>
      <c r="F434"/>
      <c r="G434"/>
      <c r="H434"/>
      <c r="I434"/>
    </row>
    <row r="435" spans="3:9">
      <c r="C435"/>
      <c r="D435"/>
      <c r="E435"/>
      <c r="F435"/>
      <c r="G435"/>
      <c r="H435"/>
      <c r="I435"/>
    </row>
    <row r="436" spans="3:9">
      <c r="C436"/>
      <c r="D436"/>
      <c r="E436"/>
      <c r="F436"/>
      <c r="G436"/>
      <c r="H436"/>
      <c r="I436"/>
    </row>
    <row r="437" spans="3:9">
      <c r="C437"/>
      <c r="D437"/>
      <c r="E437"/>
      <c r="F437"/>
      <c r="G437"/>
      <c r="H437"/>
      <c r="I437"/>
    </row>
    <row r="438" spans="3:9">
      <c r="C438"/>
      <c r="D438"/>
      <c r="E438"/>
      <c r="F438"/>
      <c r="G438"/>
      <c r="H438"/>
      <c r="I438"/>
    </row>
    <row r="439" spans="3:9">
      <c r="C439"/>
      <c r="D439"/>
      <c r="E439"/>
      <c r="F439"/>
      <c r="G439"/>
      <c r="H439"/>
      <c r="I439"/>
    </row>
    <row r="440" spans="3:9">
      <c r="C440"/>
      <c r="D440"/>
      <c r="E440"/>
      <c r="F440"/>
      <c r="G440"/>
      <c r="H440"/>
      <c r="I440"/>
    </row>
    <row r="441" spans="3:9">
      <c r="C441"/>
      <c r="D441"/>
      <c r="E441"/>
      <c r="F441"/>
      <c r="G441"/>
      <c r="H441"/>
      <c r="I441"/>
    </row>
    <row r="442" spans="3:9">
      <c r="C442"/>
      <c r="D442"/>
      <c r="E442"/>
      <c r="F442"/>
      <c r="G442"/>
      <c r="H442"/>
      <c r="I442"/>
    </row>
    <row r="443" spans="3:9">
      <c r="C443"/>
      <c r="D443"/>
      <c r="E443"/>
      <c r="F443"/>
      <c r="G443"/>
      <c r="H443"/>
      <c r="I443"/>
    </row>
    <row r="444" spans="3:9">
      <c r="C444"/>
      <c r="D444"/>
      <c r="E444"/>
      <c r="F444"/>
      <c r="G444"/>
      <c r="H444"/>
      <c r="I444"/>
    </row>
    <row r="445" spans="3:9">
      <c r="C445"/>
      <c r="D445"/>
      <c r="E445"/>
      <c r="F445"/>
      <c r="G445"/>
      <c r="H445"/>
      <c r="I445"/>
    </row>
    <row r="446" spans="3:9">
      <c r="C446"/>
      <c r="D446"/>
      <c r="E446"/>
      <c r="F446"/>
      <c r="G446"/>
      <c r="H446"/>
      <c r="I446"/>
    </row>
    <row r="447" spans="3:9">
      <c r="C447"/>
      <c r="D447"/>
      <c r="E447"/>
      <c r="F447"/>
      <c r="G447"/>
      <c r="H447"/>
      <c r="I447"/>
    </row>
    <row r="448" spans="3:9">
      <c r="C448"/>
      <c r="D448"/>
      <c r="E448"/>
      <c r="F448"/>
      <c r="G448"/>
      <c r="H448"/>
      <c r="I448"/>
    </row>
    <row r="449" spans="3:9">
      <c r="C449"/>
      <c r="D449"/>
      <c r="E449"/>
      <c r="F449"/>
      <c r="G449"/>
      <c r="H449"/>
      <c r="I449"/>
    </row>
    <row r="450" spans="3:9">
      <c r="C450"/>
      <c r="D450"/>
      <c r="E450"/>
      <c r="F450"/>
      <c r="G450"/>
      <c r="H450"/>
      <c r="I450"/>
    </row>
    <row r="451" spans="3:9">
      <c r="C451"/>
      <c r="D451"/>
      <c r="E451"/>
      <c r="F451"/>
      <c r="G451"/>
      <c r="H451"/>
      <c r="I451"/>
    </row>
    <row r="452" spans="3:9">
      <c r="C452"/>
      <c r="D452"/>
      <c r="E452"/>
      <c r="F452"/>
      <c r="G452"/>
      <c r="H452"/>
      <c r="I452"/>
    </row>
    <row r="453" spans="3:9">
      <c r="C453"/>
      <c r="D453"/>
      <c r="E453"/>
      <c r="F453"/>
      <c r="G453"/>
      <c r="H453"/>
      <c r="I453"/>
    </row>
    <row r="454" spans="3:9">
      <c r="C454"/>
      <c r="D454"/>
      <c r="E454"/>
      <c r="F454"/>
      <c r="G454"/>
      <c r="H454"/>
      <c r="I454"/>
    </row>
    <row r="455" spans="3:9">
      <c r="C455"/>
      <c r="D455"/>
      <c r="E455"/>
      <c r="F455"/>
      <c r="G455"/>
      <c r="H455"/>
      <c r="I455"/>
    </row>
    <row r="456" spans="3:9">
      <c r="C456"/>
      <c r="D456"/>
      <c r="E456"/>
      <c r="F456"/>
      <c r="G456"/>
      <c r="H456"/>
      <c r="I456"/>
    </row>
    <row r="457" spans="3:9">
      <c r="C457"/>
      <c r="D457"/>
      <c r="E457"/>
      <c r="F457"/>
      <c r="G457"/>
      <c r="H457"/>
      <c r="I457"/>
    </row>
    <row r="458" spans="3:9">
      <c r="C458"/>
      <c r="D458"/>
      <c r="E458"/>
      <c r="F458"/>
      <c r="G458"/>
      <c r="H458"/>
      <c r="I458"/>
    </row>
    <row r="459" spans="3:9">
      <c r="C459"/>
      <c r="D459"/>
      <c r="E459"/>
      <c r="F459"/>
      <c r="G459"/>
      <c r="H459"/>
      <c r="I459"/>
    </row>
    <row r="460" spans="3:9">
      <c r="C460"/>
      <c r="D460"/>
      <c r="E460"/>
      <c r="F460"/>
      <c r="G460"/>
      <c r="H460"/>
      <c r="I460"/>
    </row>
    <row r="461" spans="3:9">
      <c r="C461"/>
      <c r="D461"/>
      <c r="E461"/>
      <c r="F461"/>
      <c r="G461"/>
      <c r="H461"/>
      <c r="I461"/>
    </row>
    <row r="462" spans="3:9">
      <c r="C462"/>
      <c r="D462"/>
      <c r="E462"/>
      <c r="F462"/>
      <c r="G462"/>
      <c r="H462"/>
      <c r="I462"/>
    </row>
    <row r="463" spans="3:9">
      <c r="C463"/>
      <c r="D463"/>
      <c r="E463"/>
      <c r="F463"/>
      <c r="G463"/>
      <c r="H463"/>
      <c r="I463"/>
    </row>
    <row r="464" spans="3:9">
      <c r="C464"/>
      <c r="D464"/>
      <c r="E464"/>
      <c r="F464"/>
      <c r="G464"/>
      <c r="H464"/>
      <c r="I464"/>
    </row>
    <row r="465" spans="3:9">
      <c r="C465"/>
      <c r="D465"/>
      <c r="E465"/>
      <c r="F465"/>
      <c r="G465"/>
      <c r="H465"/>
      <c r="I465"/>
    </row>
    <row r="466" spans="3:9">
      <c r="C466"/>
      <c r="D466"/>
      <c r="E466"/>
      <c r="F466"/>
      <c r="G466"/>
      <c r="H466"/>
      <c r="I466"/>
    </row>
    <row r="467" spans="3:9">
      <c r="C467"/>
      <c r="D467"/>
      <c r="E467"/>
      <c r="F467"/>
      <c r="G467"/>
      <c r="H467"/>
      <c r="I467"/>
    </row>
    <row r="468" spans="3:9">
      <c r="C468"/>
      <c r="D468"/>
      <c r="E468"/>
      <c r="F468"/>
      <c r="G468"/>
      <c r="H468"/>
      <c r="I468"/>
    </row>
    <row r="469" spans="3:9">
      <c r="C469"/>
      <c r="D469"/>
      <c r="E469"/>
      <c r="F469"/>
      <c r="G469"/>
      <c r="H469"/>
      <c r="I469"/>
    </row>
    <row r="470" spans="3:9">
      <c r="C470"/>
      <c r="D470"/>
      <c r="E470"/>
      <c r="F470"/>
      <c r="G470"/>
      <c r="H470"/>
      <c r="I470"/>
    </row>
    <row r="471" spans="3:9">
      <c r="C471"/>
      <c r="D471"/>
      <c r="E471"/>
      <c r="F471"/>
      <c r="G471"/>
      <c r="H471"/>
      <c r="I471"/>
    </row>
    <row r="472" spans="3:9">
      <c r="C472"/>
      <c r="D472"/>
      <c r="E472"/>
      <c r="F472"/>
      <c r="G472"/>
      <c r="H472"/>
      <c r="I472"/>
    </row>
    <row r="473" spans="3:9">
      <c r="C473"/>
      <c r="D473"/>
      <c r="E473"/>
      <c r="F473"/>
      <c r="G473"/>
      <c r="H473"/>
      <c r="I473"/>
    </row>
    <row r="474" spans="3:9">
      <c r="C474"/>
      <c r="D474"/>
      <c r="E474"/>
      <c r="F474"/>
      <c r="G474"/>
      <c r="H474"/>
      <c r="I474"/>
    </row>
    <row r="475" spans="3:9">
      <c r="C475"/>
      <c r="D475"/>
      <c r="E475"/>
      <c r="F475"/>
      <c r="G475"/>
      <c r="H475"/>
      <c r="I475"/>
    </row>
    <row r="476" spans="3:9">
      <c r="C476"/>
      <c r="D476"/>
      <c r="E476"/>
      <c r="F476"/>
      <c r="G476"/>
      <c r="H476"/>
      <c r="I476"/>
    </row>
    <row r="477" spans="3:9">
      <c r="C477"/>
      <c r="D477"/>
      <c r="E477"/>
      <c r="F477"/>
      <c r="G477"/>
      <c r="H477"/>
      <c r="I477"/>
    </row>
    <row r="478" spans="3:9">
      <c r="C478"/>
      <c r="D478"/>
      <c r="E478"/>
      <c r="F478"/>
      <c r="G478"/>
      <c r="H478"/>
      <c r="I478"/>
    </row>
    <row r="479" spans="3:9">
      <c r="C479"/>
      <c r="D479"/>
      <c r="E479"/>
      <c r="F479"/>
      <c r="G479"/>
      <c r="H479"/>
      <c r="I479"/>
    </row>
    <row r="480" spans="3:9">
      <c r="C480"/>
      <c r="D480"/>
      <c r="E480"/>
      <c r="F480"/>
      <c r="G480"/>
      <c r="H480"/>
      <c r="I480"/>
    </row>
    <row r="481" spans="3:9">
      <c r="C481"/>
      <c r="D481"/>
      <c r="E481"/>
      <c r="F481"/>
      <c r="G481"/>
      <c r="H481"/>
      <c r="I481"/>
    </row>
    <row r="482" spans="3:9">
      <c r="C482"/>
      <c r="D482"/>
      <c r="E482"/>
      <c r="F482"/>
      <c r="G482"/>
      <c r="H482"/>
      <c r="I482"/>
    </row>
    <row r="483" spans="3:9">
      <c r="C483"/>
      <c r="D483"/>
      <c r="E483"/>
      <c r="F483"/>
      <c r="G483"/>
      <c r="H483"/>
      <c r="I483"/>
    </row>
    <row r="484" spans="3:9">
      <c r="C484"/>
      <c r="D484"/>
      <c r="E484"/>
      <c r="F484"/>
      <c r="G484"/>
      <c r="H484"/>
      <c r="I484"/>
    </row>
    <row r="485" spans="3:9">
      <c r="C485"/>
      <c r="D485"/>
      <c r="E485"/>
      <c r="F485"/>
      <c r="G485"/>
      <c r="H485"/>
      <c r="I485"/>
    </row>
    <row r="486" spans="3:9">
      <c r="C486"/>
      <c r="D486"/>
      <c r="E486"/>
      <c r="F486"/>
      <c r="G486"/>
      <c r="H486"/>
      <c r="I486"/>
    </row>
    <row r="487" spans="3:9">
      <c r="C487"/>
      <c r="D487"/>
      <c r="E487"/>
      <c r="F487"/>
      <c r="G487"/>
      <c r="H487"/>
      <c r="I487"/>
    </row>
    <row r="488" spans="3:9">
      <c r="C488"/>
      <c r="D488"/>
      <c r="E488"/>
      <c r="F488"/>
      <c r="G488"/>
      <c r="H488"/>
      <c r="I488"/>
    </row>
    <row r="489" spans="3:9">
      <c r="C489"/>
      <c r="D489"/>
      <c r="E489"/>
      <c r="F489"/>
      <c r="G489"/>
      <c r="H489"/>
      <c r="I489"/>
    </row>
    <row r="490" spans="3:9">
      <c r="C490"/>
      <c r="D490"/>
      <c r="E490"/>
      <c r="F490"/>
      <c r="G490"/>
      <c r="H490"/>
      <c r="I490"/>
    </row>
    <row r="491" spans="3:9">
      <c r="C491"/>
      <c r="D491"/>
      <c r="E491"/>
      <c r="F491"/>
      <c r="G491"/>
      <c r="H491"/>
      <c r="I491"/>
    </row>
    <row r="492" spans="3:9">
      <c r="C492"/>
      <c r="D492"/>
      <c r="E492"/>
      <c r="F492"/>
      <c r="G492"/>
      <c r="H492"/>
      <c r="I492"/>
    </row>
    <row r="493" spans="3:9">
      <c r="C493"/>
      <c r="D493"/>
      <c r="E493"/>
      <c r="F493"/>
      <c r="G493"/>
      <c r="H493"/>
      <c r="I493"/>
    </row>
    <row r="494" spans="3:9">
      <c r="C494"/>
      <c r="D494"/>
      <c r="E494"/>
      <c r="F494"/>
      <c r="G494"/>
      <c r="H494"/>
      <c r="I494"/>
    </row>
    <row r="495" spans="3:9">
      <c r="C495"/>
      <c r="D495"/>
      <c r="E495"/>
      <c r="F495"/>
      <c r="G495"/>
      <c r="H495"/>
      <c r="I495"/>
    </row>
    <row r="496" spans="3:9">
      <c r="C496"/>
      <c r="D496"/>
      <c r="E496"/>
      <c r="F496"/>
      <c r="G496"/>
      <c r="H496"/>
      <c r="I496"/>
    </row>
    <row r="497" spans="3:9">
      <c r="C497"/>
      <c r="D497"/>
      <c r="E497"/>
      <c r="F497"/>
      <c r="G497"/>
      <c r="H497"/>
      <c r="I497"/>
    </row>
    <row r="498" spans="3:9">
      <c r="C498"/>
      <c r="D498"/>
      <c r="E498"/>
      <c r="F498"/>
      <c r="G498"/>
      <c r="H498"/>
      <c r="I498"/>
    </row>
    <row r="499" spans="3:9">
      <c r="C499"/>
      <c r="D499"/>
      <c r="E499"/>
      <c r="F499"/>
      <c r="G499"/>
      <c r="H499"/>
      <c r="I499"/>
    </row>
    <row r="500" spans="3:9">
      <c r="C500"/>
      <c r="D500"/>
      <c r="E500"/>
      <c r="F500"/>
      <c r="G500"/>
      <c r="H500"/>
      <c r="I500"/>
    </row>
    <row r="501" spans="3:9">
      <c r="C501"/>
      <c r="D501"/>
      <c r="E501"/>
      <c r="F501"/>
      <c r="G501"/>
      <c r="H501"/>
      <c r="I501"/>
    </row>
    <row r="502" spans="3:9">
      <c r="C502"/>
      <c r="D502"/>
      <c r="E502"/>
      <c r="F502"/>
      <c r="G502"/>
      <c r="H502"/>
      <c r="I502"/>
    </row>
    <row r="503" spans="3:9">
      <c r="C503"/>
      <c r="D503"/>
      <c r="E503"/>
      <c r="F503"/>
      <c r="G503"/>
      <c r="H503"/>
      <c r="I503"/>
    </row>
    <row r="504" spans="3:9">
      <c r="C504"/>
      <c r="D504"/>
      <c r="E504"/>
      <c r="F504"/>
      <c r="G504"/>
      <c r="H504"/>
      <c r="I504"/>
    </row>
    <row r="505" spans="3:9">
      <c r="C505"/>
      <c r="D505"/>
      <c r="E505"/>
      <c r="F505"/>
      <c r="G505"/>
      <c r="H505"/>
      <c r="I505"/>
    </row>
    <row r="506" spans="3:9">
      <c r="C506"/>
      <c r="D506"/>
      <c r="E506"/>
      <c r="F506"/>
      <c r="G506"/>
      <c r="H506"/>
      <c r="I506"/>
    </row>
    <row r="507" spans="3:9">
      <c r="C507"/>
      <c r="D507"/>
      <c r="E507"/>
      <c r="F507"/>
      <c r="G507"/>
      <c r="H507"/>
      <c r="I507"/>
    </row>
    <row r="508" spans="3:9">
      <c r="C508"/>
      <c r="D508"/>
      <c r="E508"/>
      <c r="F508"/>
      <c r="G508"/>
      <c r="H508"/>
      <c r="I508"/>
    </row>
    <row r="509" spans="3:9">
      <c r="C509"/>
      <c r="D509"/>
      <c r="E509"/>
      <c r="F509"/>
      <c r="G509"/>
      <c r="H509"/>
      <c r="I509"/>
    </row>
    <row r="510" spans="3:9">
      <c r="C510"/>
      <c r="D510"/>
      <c r="E510"/>
      <c r="F510"/>
      <c r="G510"/>
      <c r="H510"/>
      <c r="I510"/>
    </row>
    <row r="511" spans="3:9">
      <c r="C511"/>
      <c r="D511"/>
      <c r="E511"/>
      <c r="F511"/>
      <c r="G511"/>
      <c r="H511"/>
      <c r="I511"/>
    </row>
    <row r="512" spans="3:9">
      <c r="C512"/>
      <c r="D512"/>
      <c r="E512"/>
      <c r="F512"/>
      <c r="G512"/>
      <c r="H512"/>
      <c r="I512"/>
    </row>
    <row r="513" spans="3:9">
      <c r="C513"/>
      <c r="D513"/>
      <c r="E513"/>
      <c r="F513"/>
      <c r="G513"/>
      <c r="H513"/>
      <c r="I513"/>
    </row>
    <row r="514" spans="3:9">
      <c r="C514"/>
      <c r="D514"/>
      <c r="E514"/>
      <c r="F514"/>
      <c r="G514"/>
      <c r="H514"/>
      <c r="I514"/>
    </row>
    <row r="515" spans="3:9">
      <c r="C515"/>
      <c r="D515"/>
      <c r="E515"/>
      <c r="F515"/>
      <c r="G515"/>
      <c r="H515"/>
      <c r="I515"/>
    </row>
    <row r="516" spans="3:9">
      <c r="C516"/>
      <c r="D516"/>
      <c r="E516"/>
      <c r="F516"/>
      <c r="G516"/>
      <c r="H516"/>
      <c r="I516"/>
    </row>
    <row r="517" spans="3:9">
      <c r="C517"/>
      <c r="D517"/>
      <c r="E517"/>
      <c r="F517"/>
      <c r="G517"/>
      <c r="H517"/>
      <c r="I517"/>
    </row>
    <row r="518" spans="3:9">
      <c r="C518"/>
      <c r="D518"/>
      <c r="E518"/>
      <c r="F518"/>
      <c r="G518"/>
      <c r="H518"/>
      <c r="I518"/>
    </row>
    <row r="519" spans="3:9">
      <c r="C519"/>
      <c r="D519"/>
      <c r="E519"/>
      <c r="F519"/>
      <c r="G519"/>
      <c r="H519"/>
      <c r="I519"/>
    </row>
    <row r="520" spans="3:9">
      <c r="C520"/>
      <c r="D520"/>
      <c r="E520"/>
      <c r="F520"/>
      <c r="G520"/>
      <c r="H520"/>
      <c r="I520"/>
    </row>
    <row r="521" spans="3:9">
      <c r="C521"/>
      <c r="D521"/>
      <c r="E521"/>
      <c r="F521"/>
      <c r="G521"/>
      <c r="H521"/>
      <c r="I521"/>
    </row>
    <row r="522" spans="3:9">
      <c r="C522"/>
      <c r="D522"/>
      <c r="E522"/>
      <c r="F522"/>
      <c r="G522"/>
      <c r="H522"/>
      <c r="I522"/>
    </row>
    <row r="523" spans="3:9">
      <c r="C523"/>
      <c r="D523"/>
      <c r="E523"/>
      <c r="F523"/>
      <c r="G523"/>
      <c r="H523"/>
      <c r="I523"/>
    </row>
    <row r="524" spans="3:9">
      <c r="C524"/>
      <c r="D524"/>
      <c r="E524"/>
      <c r="F524"/>
      <c r="G524"/>
      <c r="H524"/>
      <c r="I524"/>
    </row>
    <row r="525" spans="3:9">
      <c r="C525"/>
      <c r="D525"/>
      <c r="E525"/>
      <c r="F525"/>
      <c r="G525"/>
      <c r="H525"/>
      <c r="I525"/>
    </row>
    <row r="526" spans="3:9">
      <c r="C526"/>
      <c r="D526"/>
      <c r="E526"/>
      <c r="F526"/>
      <c r="G526"/>
      <c r="H526"/>
      <c r="I526"/>
    </row>
    <row r="527" spans="3:9">
      <c r="C527"/>
      <c r="D527"/>
      <c r="E527"/>
      <c r="F527"/>
      <c r="G527"/>
      <c r="H527"/>
      <c r="I527"/>
    </row>
    <row r="528" spans="3:9">
      <c r="C528"/>
      <c r="D528"/>
      <c r="E528"/>
      <c r="F528"/>
      <c r="G528"/>
      <c r="H528"/>
      <c r="I528"/>
    </row>
    <row r="529" spans="3:9">
      <c r="C529"/>
      <c r="D529"/>
      <c r="E529"/>
      <c r="F529"/>
      <c r="G529"/>
      <c r="H529"/>
      <c r="I529"/>
    </row>
    <row r="530" spans="3:9">
      <c r="C530"/>
      <c r="D530"/>
      <c r="E530"/>
      <c r="F530"/>
      <c r="G530"/>
      <c r="H530"/>
      <c r="I530"/>
    </row>
    <row r="531" spans="3:9">
      <c r="C531"/>
      <c r="D531"/>
      <c r="E531"/>
      <c r="F531"/>
      <c r="G531"/>
      <c r="H531"/>
      <c r="I531"/>
    </row>
    <row r="532" spans="3:9">
      <c r="C532"/>
      <c r="D532"/>
      <c r="E532"/>
      <c r="F532"/>
      <c r="G532"/>
      <c r="H532"/>
      <c r="I532"/>
    </row>
    <row r="533" spans="3:9">
      <c r="C533"/>
      <c r="D533"/>
      <c r="E533"/>
      <c r="F533"/>
      <c r="G533"/>
      <c r="H533"/>
      <c r="I533"/>
    </row>
    <row r="534" spans="3:9">
      <c r="C534"/>
      <c r="D534"/>
      <c r="E534"/>
      <c r="F534"/>
      <c r="G534"/>
      <c r="H534"/>
      <c r="I534"/>
    </row>
    <row r="535" spans="3:9">
      <c r="C535"/>
      <c r="D535"/>
      <c r="E535"/>
      <c r="F535"/>
      <c r="G535"/>
      <c r="H535"/>
      <c r="I535"/>
    </row>
    <row r="536" spans="3:9">
      <c r="C536"/>
      <c r="D536"/>
      <c r="E536"/>
      <c r="F536"/>
      <c r="G536"/>
      <c r="H536"/>
      <c r="I536"/>
    </row>
    <row r="537" spans="3:9">
      <c r="C537"/>
      <c r="D537"/>
      <c r="E537"/>
      <c r="F537"/>
      <c r="G537"/>
      <c r="H537"/>
      <c r="I537"/>
    </row>
    <row r="538" spans="3:9">
      <c r="C538"/>
      <c r="D538"/>
      <c r="E538"/>
      <c r="F538"/>
      <c r="G538"/>
      <c r="H538"/>
      <c r="I538"/>
    </row>
    <row r="539" spans="3:9">
      <c r="C539"/>
      <c r="D539"/>
      <c r="E539"/>
      <c r="F539"/>
      <c r="G539"/>
      <c r="H539"/>
      <c r="I539"/>
    </row>
    <row r="540" spans="3:9">
      <c r="C540"/>
      <c r="D540"/>
      <c r="E540"/>
      <c r="F540"/>
      <c r="G540"/>
      <c r="H540"/>
      <c r="I540"/>
    </row>
    <row r="541" spans="3:9">
      <c r="C541"/>
      <c r="D541"/>
      <c r="E541"/>
      <c r="F541"/>
      <c r="G541"/>
      <c r="H541"/>
      <c r="I541"/>
    </row>
    <row r="542" spans="3:9">
      <c r="C542"/>
      <c r="D542"/>
      <c r="E542"/>
      <c r="F542"/>
      <c r="G542"/>
      <c r="H542"/>
      <c r="I542"/>
    </row>
    <row r="543" spans="3:9">
      <c r="C543"/>
      <c r="D543"/>
      <c r="E543"/>
      <c r="F543"/>
      <c r="G543"/>
      <c r="H543"/>
      <c r="I543"/>
    </row>
    <row r="544" spans="3:9">
      <c r="C544"/>
      <c r="D544"/>
      <c r="E544"/>
      <c r="F544"/>
      <c r="G544"/>
      <c r="H544"/>
      <c r="I544"/>
    </row>
    <row r="545" spans="3:9">
      <c r="C545"/>
      <c r="D545"/>
      <c r="E545"/>
      <c r="F545"/>
      <c r="G545"/>
      <c r="H545"/>
      <c r="I545"/>
    </row>
    <row r="546" spans="3:9">
      <c r="C546"/>
      <c r="D546"/>
      <c r="E546"/>
      <c r="F546"/>
      <c r="G546"/>
      <c r="H546"/>
      <c r="I546"/>
    </row>
    <row r="547" spans="3:9">
      <c r="C547"/>
      <c r="D547"/>
      <c r="E547"/>
      <c r="F547"/>
      <c r="G547"/>
      <c r="H547"/>
      <c r="I547"/>
    </row>
    <row r="548" spans="3:9">
      <c r="C548"/>
      <c r="D548"/>
      <c r="E548"/>
      <c r="F548"/>
      <c r="G548"/>
      <c r="H548"/>
      <c r="I548"/>
    </row>
    <row r="549" spans="3:9">
      <c r="C549"/>
      <c r="D549"/>
      <c r="E549"/>
      <c r="F549"/>
      <c r="G549"/>
      <c r="H549"/>
      <c r="I549"/>
    </row>
    <row r="550" spans="3:9">
      <c r="C550"/>
      <c r="D550"/>
      <c r="E550"/>
      <c r="F550"/>
      <c r="G550"/>
      <c r="H550"/>
      <c r="I550"/>
    </row>
    <row r="551" spans="3:9">
      <c r="C551"/>
      <c r="D551"/>
      <c r="E551"/>
      <c r="F551"/>
      <c r="G551"/>
      <c r="H551"/>
      <c r="I551"/>
    </row>
    <row r="552" spans="3:9">
      <c r="C552"/>
      <c r="D552"/>
      <c r="E552"/>
      <c r="F552"/>
      <c r="G552"/>
      <c r="H552"/>
      <c r="I552"/>
    </row>
    <row r="553" spans="3:9">
      <c r="C553"/>
      <c r="D553"/>
      <c r="E553"/>
      <c r="F553"/>
      <c r="G553"/>
      <c r="H553"/>
      <c r="I553"/>
    </row>
    <row r="554" spans="3:9">
      <c r="C554"/>
      <c r="D554"/>
      <c r="E554"/>
      <c r="F554"/>
      <c r="G554"/>
      <c r="H554"/>
      <c r="I554"/>
    </row>
    <row r="555" spans="3:9">
      <c r="C555"/>
      <c r="D555"/>
      <c r="E555"/>
      <c r="F555"/>
      <c r="G555"/>
      <c r="H555"/>
      <c r="I555"/>
    </row>
    <row r="556" spans="3:9">
      <c r="C556"/>
      <c r="D556"/>
      <c r="E556"/>
      <c r="F556"/>
      <c r="G556"/>
      <c r="H556"/>
      <c r="I556"/>
    </row>
    <row r="557" spans="3:9">
      <c r="C557"/>
      <c r="D557"/>
      <c r="E557"/>
      <c r="F557"/>
      <c r="G557"/>
      <c r="H557"/>
      <c r="I557"/>
    </row>
    <row r="558" spans="3:9">
      <c r="C558"/>
      <c r="D558"/>
      <c r="E558"/>
      <c r="F558"/>
      <c r="G558"/>
      <c r="H558"/>
      <c r="I558"/>
    </row>
    <row r="559" spans="3:9">
      <c r="C559"/>
      <c r="D559"/>
      <c r="E559"/>
      <c r="F559"/>
      <c r="G559"/>
      <c r="H559"/>
      <c r="I559"/>
    </row>
    <row r="560" spans="3:9">
      <c r="C560"/>
      <c r="D560"/>
      <c r="E560"/>
      <c r="F560"/>
      <c r="G560"/>
      <c r="H560"/>
      <c r="I560"/>
    </row>
    <row r="561" spans="3:9">
      <c r="C561"/>
      <c r="D561"/>
      <c r="E561"/>
      <c r="F561"/>
      <c r="G561"/>
      <c r="H561"/>
      <c r="I561"/>
    </row>
    <row r="562" spans="3:9">
      <c r="C562"/>
      <c r="D562"/>
      <c r="E562"/>
      <c r="F562"/>
      <c r="G562"/>
      <c r="H562"/>
      <c r="I562"/>
    </row>
    <row r="563" spans="3:9">
      <c r="C563"/>
      <c r="D563"/>
      <c r="E563"/>
      <c r="F563"/>
      <c r="G563"/>
      <c r="H563"/>
      <c r="I563"/>
    </row>
    <row r="564" spans="3:9">
      <c r="C564"/>
      <c r="D564"/>
      <c r="E564"/>
      <c r="F564"/>
      <c r="G564"/>
      <c r="H564"/>
      <c r="I564"/>
    </row>
    <row r="565" spans="3:9">
      <c r="C565"/>
      <c r="D565"/>
      <c r="E565"/>
      <c r="F565"/>
      <c r="G565"/>
      <c r="H565"/>
      <c r="I565"/>
    </row>
    <row r="566" spans="3:9">
      <c r="C566"/>
      <c r="D566"/>
      <c r="E566"/>
      <c r="F566"/>
      <c r="G566"/>
      <c r="H566"/>
      <c r="I566"/>
    </row>
    <row r="567" spans="3:9">
      <c r="C567"/>
      <c r="D567"/>
      <c r="E567"/>
      <c r="F567"/>
      <c r="G567"/>
      <c r="H567"/>
      <c r="I567"/>
    </row>
    <row r="568" spans="3:9">
      <c r="C568"/>
      <c r="D568"/>
      <c r="E568"/>
      <c r="F568"/>
      <c r="G568"/>
      <c r="H568"/>
      <c r="I568"/>
    </row>
    <row r="569" spans="3:9">
      <c r="C569"/>
      <c r="D569"/>
      <c r="E569"/>
      <c r="F569"/>
      <c r="G569"/>
      <c r="H569"/>
      <c r="I569"/>
    </row>
    <row r="570" spans="3:9">
      <c r="C570"/>
      <c r="D570"/>
      <c r="E570"/>
      <c r="F570"/>
      <c r="G570"/>
      <c r="H570"/>
      <c r="I570"/>
    </row>
    <row r="571" spans="3:9">
      <c r="C571"/>
      <c r="D571"/>
      <c r="E571"/>
      <c r="F571"/>
      <c r="G571"/>
      <c r="H571"/>
      <c r="I571"/>
    </row>
    <row r="572" spans="3:9">
      <c r="C572"/>
      <c r="D572"/>
      <c r="E572"/>
      <c r="F572"/>
      <c r="G572"/>
      <c r="H572"/>
      <c r="I572"/>
    </row>
    <row r="573" spans="3:9">
      <c r="C573"/>
      <c r="D573"/>
      <c r="E573"/>
      <c r="F573"/>
      <c r="G573"/>
      <c r="H573"/>
      <c r="I573"/>
    </row>
    <row r="574" spans="3:9">
      <c r="C574"/>
      <c r="D574"/>
      <c r="E574"/>
      <c r="F574"/>
      <c r="G574"/>
      <c r="H574"/>
      <c r="I574"/>
    </row>
    <row r="575" spans="3:9">
      <c r="C575"/>
      <c r="D575"/>
      <c r="E575"/>
      <c r="F575"/>
      <c r="G575"/>
      <c r="H575"/>
      <c r="I575"/>
    </row>
    <row r="576" spans="3:9">
      <c r="C576"/>
      <c r="D576"/>
      <c r="E576"/>
      <c r="F576"/>
      <c r="G576"/>
      <c r="H576"/>
      <c r="I576"/>
    </row>
    <row r="577" spans="3:9">
      <c r="C577"/>
      <c r="D577"/>
      <c r="E577"/>
      <c r="F577"/>
      <c r="G577"/>
      <c r="H577"/>
      <c r="I577"/>
    </row>
    <row r="578" spans="3:9">
      <c r="C578"/>
      <c r="D578"/>
      <c r="E578"/>
      <c r="F578"/>
      <c r="G578"/>
      <c r="H578"/>
      <c r="I578"/>
    </row>
    <row r="579" spans="3:9">
      <c r="C579"/>
      <c r="D579"/>
      <c r="E579"/>
      <c r="F579"/>
      <c r="G579"/>
      <c r="H579"/>
      <c r="I579"/>
    </row>
    <row r="580" spans="3:9">
      <c r="C580"/>
      <c r="D580"/>
      <c r="E580"/>
      <c r="F580"/>
      <c r="G580"/>
      <c r="H580"/>
      <c r="I580"/>
    </row>
    <row r="581" spans="3:9">
      <c r="C581"/>
      <c r="D581"/>
      <c r="E581"/>
      <c r="F581"/>
      <c r="G581"/>
      <c r="H581"/>
      <c r="I581"/>
    </row>
    <row r="582" spans="3:9">
      <c r="C582"/>
      <c r="D582"/>
      <c r="E582"/>
      <c r="F582"/>
      <c r="G582"/>
      <c r="H582"/>
      <c r="I582"/>
    </row>
    <row r="583" spans="3:9">
      <c r="C583"/>
      <c r="D583"/>
      <c r="E583"/>
      <c r="F583"/>
      <c r="G583"/>
      <c r="H583"/>
      <c r="I583"/>
    </row>
    <row r="584" spans="3:9">
      <c r="C584"/>
      <c r="D584"/>
      <c r="E584"/>
      <c r="F584"/>
      <c r="G584"/>
      <c r="H584"/>
      <c r="I584"/>
    </row>
    <row r="585" spans="3:9">
      <c r="C585"/>
      <c r="D585"/>
      <c r="E585"/>
      <c r="F585"/>
      <c r="G585"/>
      <c r="H585"/>
      <c r="I585"/>
    </row>
    <row r="586" spans="3:9">
      <c r="C586"/>
      <c r="D586"/>
      <c r="E586"/>
      <c r="F586"/>
      <c r="G586"/>
      <c r="H586"/>
      <c r="I586"/>
    </row>
    <row r="587" spans="3:9">
      <c r="C587"/>
      <c r="D587"/>
      <c r="E587"/>
      <c r="F587"/>
      <c r="G587"/>
      <c r="H587"/>
      <c r="I587"/>
    </row>
    <row r="588" spans="3:9">
      <c r="C588"/>
      <c r="D588"/>
      <c r="E588"/>
      <c r="F588"/>
      <c r="G588"/>
      <c r="H588"/>
      <c r="I588"/>
    </row>
    <row r="589" spans="3:9">
      <c r="C589"/>
      <c r="D589"/>
      <c r="E589"/>
      <c r="F589"/>
      <c r="G589"/>
      <c r="H589"/>
      <c r="I589"/>
    </row>
    <row r="590" spans="3:9">
      <c r="C590"/>
      <c r="D590"/>
      <c r="E590"/>
      <c r="F590"/>
      <c r="G590"/>
      <c r="H590"/>
      <c r="I590"/>
    </row>
    <row r="591" spans="3:9">
      <c r="C591"/>
      <c r="D591"/>
      <c r="E591"/>
      <c r="F591"/>
      <c r="G591"/>
      <c r="H591"/>
      <c r="I591"/>
    </row>
    <row r="592" spans="3:9">
      <c r="C592"/>
      <c r="D592"/>
      <c r="E592"/>
      <c r="F592"/>
      <c r="G592"/>
      <c r="H592"/>
      <c r="I592"/>
    </row>
    <row r="593" spans="3:9">
      <c r="C593"/>
      <c r="D593"/>
      <c r="E593"/>
      <c r="F593"/>
      <c r="G593"/>
      <c r="H593"/>
      <c r="I593"/>
    </row>
    <row r="594" spans="3:9">
      <c r="C594"/>
      <c r="D594"/>
      <c r="E594"/>
      <c r="F594"/>
      <c r="G594"/>
      <c r="H594"/>
      <c r="I594"/>
    </row>
    <row r="595" spans="3:9">
      <c r="C595"/>
      <c r="D595"/>
      <c r="E595"/>
      <c r="F595"/>
      <c r="G595"/>
      <c r="H595"/>
      <c r="I595"/>
    </row>
    <row r="596" spans="3:9">
      <c r="C596"/>
      <c r="D596"/>
      <c r="E596"/>
      <c r="F596"/>
      <c r="G596"/>
      <c r="H596"/>
      <c r="I596"/>
    </row>
    <row r="597" spans="3:9">
      <c r="C597"/>
      <c r="D597"/>
      <c r="E597"/>
      <c r="F597"/>
      <c r="G597"/>
      <c r="H597"/>
      <c r="I597"/>
    </row>
    <row r="598" spans="3:9">
      <c r="C598"/>
      <c r="D598"/>
      <c r="E598"/>
      <c r="F598"/>
      <c r="G598"/>
      <c r="H598"/>
      <c r="I598"/>
    </row>
    <row r="599" spans="3:9">
      <c r="C599"/>
      <c r="D599"/>
      <c r="E599"/>
      <c r="F599"/>
      <c r="G599"/>
      <c r="H599"/>
      <c r="I599"/>
    </row>
    <row r="600" spans="3:9">
      <c r="C600"/>
      <c r="D600"/>
      <c r="E600"/>
      <c r="F600"/>
      <c r="G600"/>
      <c r="H600"/>
      <c r="I600"/>
    </row>
    <row r="601" spans="3:9">
      <c r="C601"/>
      <c r="D601"/>
      <c r="E601"/>
      <c r="F601"/>
      <c r="G601"/>
      <c r="H601"/>
      <c r="I601"/>
    </row>
    <row r="602" spans="3:9">
      <c r="C602"/>
      <c r="D602"/>
      <c r="E602"/>
      <c r="F602"/>
      <c r="G602"/>
      <c r="H602"/>
      <c r="I602"/>
    </row>
    <row r="603" spans="3:9">
      <c r="C603"/>
      <c r="D603"/>
      <c r="E603"/>
      <c r="F603"/>
      <c r="G603"/>
      <c r="H603"/>
      <c r="I603"/>
    </row>
    <row r="604" spans="3:9">
      <c r="C604"/>
      <c r="D604"/>
      <c r="E604"/>
      <c r="F604"/>
      <c r="G604"/>
      <c r="H604"/>
      <c r="I604"/>
    </row>
    <row r="605" spans="3:9">
      <c r="C605"/>
      <c r="D605"/>
      <c r="E605"/>
      <c r="F605"/>
      <c r="G605"/>
      <c r="H605"/>
      <c r="I605"/>
    </row>
    <row r="606" spans="3:9">
      <c r="C606"/>
      <c r="D606"/>
      <c r="E606"/>
      <c r="F606"/>
      <c r="G606"/>
      <c r="H606"/>
      <c r="I606"/>
    </row>
    <row r="607" spans="3:9">
      <c r="C607"/>
      <c r="D607"/>
      <c r="E607"/>
      <c r="F607"/>
      <c r="G607"/>
      <c r="H607"/>
      <c r="I607"/>
    </row>
    <row r="608" spans="3:9">
      <c r="C608"/>
      <c r="D608"/>
      <c r="E608"/>
      <c r="F608"/>
      <c r="G608"/>
      <c r="H608"/>
      <c r="I608"/>
    </row>
    <row r="609" spans="3:9">
      <c r="C609"/>
      <c r="D609"/>
      <c r="E609"/>
      <c r="F609"/>
      <c r="G609"/>
      <c r="H609"/>
      <c r="I609"/>
    </row>
    <row r="610" spans="3:9">
      <c r="C610"/>
      <c r="D610"/>
      <c r="E610"/>
      <c r="F610"/>
      <c r="G610"/>
      <c r="H610"/>
      <c r="I610"/>
    </row>
    <row r="611" spans="3:9">
      <c r="C611"/>
      <c r="D611"/>
      <c r="E611"/>
      <c r="F611"/>
      <c r="G611"/>
      <c r="H611"/>
      <c r="I611"/>
    </row>
    <row r="612" spans="3:9">
      <c r="C612"/>
      <c r="D612"/>
      <c r="E612"/>
      <c r="F612"/>
      <c r="G612"/>
      <c r="H612"/>
      <c r="I612"/>
    </row>
    <row r="613" spans="3:9">
      <c r="C613"/>
      <c r="D613"/>
      <c r="E613"/>
      <c r="F613"/>
      <c r="G613"/>
      <c r="H613"/>
      <c r="I613"/>
    </row>
    <row r="614" spans="3:9">
      <c r="C614"/>
      <c r="D614"/>
      <c r="E614"/>
      <c r="F614"/>
      <c r="G614"/>
      <c r="H614"/>
      <c r="I614"/>
    </row>
    <row r="615" spans="3:9">
      <c r="C615"/>
      <c r="D615"/>
      <c r="E615"/>
      <c r="F615"/>
      <c r="G615"/>
      <c r="H615"/>
      <c r="I615"/>
    </row>
    <row r="616" spans="3:9">
      <c r="C616"/>
      <c r="D616"/>
      <c r="E616"/>
      <c r="F616"/>
      <c r="G616"/>
      <c r="H616"/>
      <c r="I616"/>
    </row>
    <row r="617" spans="3:9">
      <c r="C617"/>
      <c r="D617"/>
      <c r="E617"/>
      <c r="F617"/>
      <c r="G617"/>
      <c r="H617"/>
      <c r="I617"/>
    </row>
    <row r="618" spans="3:9">
      <c r="C618"/>
      <c r="D618"/>
      <c r="E618"/>
      <c r="F618"/>
      <c r="G618"/>
      <c r="H618"/>
      <c r="I618"/>
    </row>
    <row r="619" spans="3:9">
      <c r="C619"/>
      <c r="D619"/>
      <c r="E619"/>
      <c r="F619"/>
      <c r="G619"/>
      <c r="H619"/>
      <c r="I619"/>
    </row>
    <row r="620" spans="3:9">
      <c r="C620"/>
      <c r="D620"/>
      <c r="E620"/>
      <c r="F620"/>
      <c r="G620"/>
      <c r="H620"/>
      <c r="I620"/>
    </row>
    <row r="621" spans="3:9">
      <c r="C621"/>
      <c r="D621"/>
      <c r="E621"/>
      <c r="F621"/>
      <c r="G621"/>
      <c r="H621"/>
      <c r="I621"/>
    </row>
    <row r="622" spans="3:9">
      <c r="C622"/>
      <c r="D622"/>
      <c r="E622"/>
      <c r="F622"/>
      <c r="G622"/>
      <c r="H622"/>
      <c r="I622"/>
    </row>
    <row r="623" spans="3:9">
      <c r="C623"/>
      <c r="D623"/>
      <c r="E623"/>
      <c r="F623"/>
      <c r="G623"/>
      <c r="H623"/>
      <c r="I623"/>
    </row>
    <row r="624" spans="3:9">
      <c r="C624"/>
      <c r="D624"/>
      <c r="E624"/>
      <c r="F624"/>
      <c r="G624"/>
      <c r="H624"/>
      <c r="I624"/>
    </row>
    <row r="625" spans="3:9">
      <c r="C625"/>
      <c r="D625"/>
      <c r="E625"/>
      <c r="F625"/>
      <c r="G625"/>
      <c r="H625"/>
      <c r="I625"/>
    </row>
    <row r="626" spans="3:9">
      <c r="C626"/>
      <c r="D626"/>
      <c r="E626"/>
      <c r="F626"/>
      <c r="G626"/>
      <c r="H626"/>
      <c r="I626"/>
    </row>
    <row r="627" spans="3:9">
      <c r="C627"/>
      <c r="D627"/>
      <c r="E627"/>
      <c r="F627"/>
      <c r="G627"/>
      <c r="H627"/>
      <c r="I627"/>
    </row>
    <row r="628" spans="3:9">
      <c r="C628"/>
      <c r="D628"/>
      <c r="E628"/>
      <c r="F628"/>
      <c r="G628"/>
      <c r="H628"/>
      <c r="I628"/>
    </row>
    <row r="629" spans="3:9">
      <c r="C629"/>
      <c r="D629"/>
      <c r="E629"/>
      <c r="F629"/>
      <c r="G629"/>
      <c r="H629"/>
      <c r="I629"/>
    </row>
    <row r="630" spans="3:9">
      <c r="C630"/>
      <c r="D630"/>
      <c r="E630"/>
      <c r="F630"/>
      <c r="G630"/>
      <c r="H630"/>
      <c r="I630"/>
    </row>
    <row r="631" spans="3:9">
      <c r="C631"/>
      <c r="D631"/>
      <c r="E631"/>
      <c r="F631"/>
      <c r="G631"/>
      <c r="H631"/>
      <c r="I631"/>
    </row>
    <row r="632" spans="3:9">
      <c r="C632"/>
      <c r="D632"/>
      <c r="E632"/>
      <c r="F632"/>
      <c r="G632"/>
      <c r="H632"/>
      <c r="I632"/>
    </row>
    <row r="633" spans="3:9">
      <c r="C633"/>
      <c r="D633"/>
      <c r="E633"/>
      <c r="F633"/>
      <c r="G633"/>
      <c r="H633"/>
      <c r="I633"/>
    </row>
    <row r="634" spans="3:9">
      <c r="C634"/>
      <c r="D634"/>
      <c r="E634"/>
      <c r="F634"/>
      <c r="G634"/>
      <c r="H634"/>
      <c r="I634"/>
    </row>
    <row r="635" spans="3:9">
      <c r="C635"/>
      <c r="D635"/>
      <c r="E635"/>
      <c r="F635"/>
      <c r="G635"/>
      <c r="H635"/>
      <c r="I635"/>
    </row>
    <row r="636" spans="3:9">
      <c r="C636"/>
      <c r="D636"/>
      <c r="E636"/>
      <c r="F636"/>
      <c r="G636"/>
      <c r="H636"/>
      <c r="I636"/>
    </row>
    <row r="637" spans="3:9">
      <c r="C637"/>
      <c r="D637"/>
      <c r="E637"/>
      <c r="F637"/>
      <c r="G637"/>
      <c r="H637"/>
      <c r="I637"/>
    </row>
    <row r="638" spans="3:9">
      <c r="C638"/>
      <c r="D638"/>
      <c r="E638"/>
      <c r="F638"/>
      <c r="G638"/>
      <c r="H638"/>
      <c r="I638"/>
    </row>
    <row r="639" spans="3:9">
      <c r="C639"/>
      <c r="D639"/>
      <c r="E639"/>
      <c r="F639"/>
      <c r="G639"/>
      <c r="H639"/>
      <c r="I639"/>
    </row>
    <row r="640" spans="3:9">
      <c r="C640"/>
      <c r="D640"/>
      <c r="E640"/>
      <c r="F640"/>
      <c r="G640"/>
      <c r="H640"/>
      <c r="I640"/>
    </row>
    <row r="641" spans="3:9">
      <c r="C641"/>
      <c r="D641"/>
      <c r="E641"/>
      <c r="F641"/>
      <c r="G641"/>
      <c r="H641"/>
      <c r="I641"/>
    </row>
    <row r="642" spans="3:9">
      <c r="C642"/>
      <c r="D642"/>
      <c r="E642"/>
      <c r="F642"/>
      <c r="G642"/>
      <c r="H642"/>
      <c r="I642"/>
    </row>
    <row r="643" spans="3:9">
      <c r="C643"/>
      <c r="D643"/>
      <c r="E643"/>
      <c r="F643"/>
      <c r="G643"/>
      <c r="H643"/>
      <c r="I643"/>
    </row>
    <row r="644" spans="3:9">
      <c r="C644"/>
      <c r="D644"/>
      <c r="E644"/>
      <c r="F644"/>
      <c r="G644"/>
      <c r="H644"/>
      <c r="I644"/>
    </row>
    <row r="645" spans="3:9">
      <c r="C645"/>
      <c r="D645"/>
      <c r="E645"/>
      <c r="F645"/>
      <c r="G645"/>
      <c r="H645"/>
      <c r="I645"/>
    </row>
    <row r="646" spans="3:9">
      <c r="C646"/>
      <c r="D646"/>
      <c r="E646"/>
      <c r="F646"/>
      <c r="G646"/>
      <c r="H646"/>
      <c r="I646"/>
    </row>
    <row r="647" spans="3:9">
      <c r="C647"/>
      <c r="D647"/>
      <c r="E647"/>
      <c r="F647"/>
      <c r="G647"/>
      <c r="H647"/>
      <c r="I647"/>
    </row>
    <row r="648" spans="3:9">
      <c r="C648"/>
      <c r="D648"/>
      <c r="E648"/>
      <c r="F648"/>
      <c r="G648"/>
      <c r="H648"/>
      <c r="I648"/>
    </row>
    <row r="649" spans="3:9">
      <c r="C649"/>
      <c r="D649"/>
      <c r="E649"/>
      <c r="F649"/>
      <c r="G649"/>
      <c r="H649"/>
      <c r="I649"/>
    </row>
    <row r="650" spans="3:9">
      <c r="C650"/>
      <c r="D650"/>
      <c r="E650"/>
      <c r="F650"/>
      <c r="G650"/>
      <c r="H650"/>
      <c r="I650"/>
    </row>
    <row r="651" spans="3:9">
      <c r="C651"/>
      <c r="D651"/>
      <c r="E651"/>
      <c r="F651"/>
      <c r="G651"/>
      <c r="H651"/>
      <c r="I651"/>
    </row>
    <row r="652" spans="3:9">
      <c r="C652"/>
      <c r="D652"/>
      <c r="E652"/>
      <c r="F652"/>
      <c r="G652"/>
      <c r="H652"/>
      <c r="I652"/>
    </row>
    <row r="653" spans="3:9">
      <c r="C653"/>
      <c r="D653"/>
      <c r="E653"/>
      <c r="F653"/>
      <c r="G653"/>
      <c r="H653"/>
      <c r="I653"/>
    </row>
    <row r="654" spans="3:9">
      <c r="C654"/>
      <c r="D654"/>
      <c r="E654"/>
      <c r="F654"/>
      <c r="G654"/>
      <c r="H654"/>
      <c r="I654"/>
    </row>
    <row r="655" spans="3:9">
      <c r="C655"/>
      <c r="D655"/>
      <c r="E655"/>
      <c r="F655"/>
      <c r="G655"/>
      <c r="H655"/>
      <c r="I655"/>
    </row>
    <row r="656" spans="3:9">
      <c r="C656"/>
      <c r="D656"/>
      <c r="E656"/>
      <c r="F656"/>
      <c r="G656"/>
      <c r="H656"/>
      <c r="I656"/>
    </row>
    <row r="657" spans="3:9">
      <c r="C657"/>
      <c r="D657"/>
      <c r="E657"/>
      <c r="F657"/>
      <c r="G657"/>
      <c r="H657"/>
      <c r="I657"/>
    </row>
    <row r="658" spans="3:9">
      <c r="C658"/>
      <c r="D658"/>
      <c r="E658"/>
      <c r="F658"/>
      <c r="G658"/>
      <c r="H658"/>
      <c r="I658"/>
    </row>
    <row r="659" spans="3:9">
      <c r="C659"/>
      <c r="D659"/>
      <c r="E659"/>
      <c r="F659"/>
      <c r="G659"/>
      <c r="H659"/>
      <c r="I659"/>
    </row>
    <row r="660" spans="3:9">
      <c r="C660"/>
      <c r="D660"/>
      <c r="E660"/>
      <c r="F660"/>
      <c r="G660"/>
      <c r="H660"/>
      <c r="I660"/>
    </row>
    <row r="661" spans="3:9">
      <c r="C661"/>
      <c r="D661"/>
      <c r="E661"/>
      <c r="F661"/>
      <c r="G661"/>
      <c r="H661"/>
      <c r="I661"/>
    </row>
    <row r="662" spans="3:9">
      <c r="C662"/>
      <c r="D662"/>
      <c r="E662"/>
      <c r="F662"/>
      <c r="G662"/>
      <c r="H662"/>
      <c r="I662"/>
    </row>
    <row r="663" spans="3:9">
      <c r="C663"/>
      <c r="D663"/>
      <c r="E663"/>
      <c r="F663"/>
      <c r="G663"/>
      <c r="H663"/>
      <c r="I663"/>
    </row>
    <row r="664" spans="3:9">
      <c r="C664"/>
      <c r="D664"/>
      <c r="E664"/>
      <c r="F664"/>
      <c r="G664"/>
      <c r="H664"/>
      <c r="I664"/>
    </row>
    <row r="665" spans="3:9">
      <c r="C665"/>
      <c r="D665"/>
      <c r="E665"/>
      <c r="F665"/>
      <c r="G665"/>
      <c r="H665"/>
      <c r="I665"/>
    </row>
    <row r="666" spans="3:9">
      <c r="C666"/>
      <c r="D666"/>
      <c r="E666"/>
      <c r="F666"/>
      <c r="G666"/>
      <c r="H666"/>
      <c r="I666"/>
    </row>
    <row r="667" spans="3:9">
      <c r="C667"/>
      <c r="D667"/>
      <c r="E667"/>
      <c r="F667"/>
      <c r="G667"/>
      <c r="H667"/>
      <c r="I667"/>
    </row>
    <row r="668" spans="3:9">
      <c r="C668"/>
      <c r="D668"/>
      <c r="E668"/>
      <c r="F668"/>
      <c r="G668"/>
      <c r="H668"/>
      <c r="I668"/>
    </row>
    <row r="669" spans="3:9">
      <c r="C669"/>
      <c r="D669"/>
      <c r="E669"/>
      <c r="F669"/>
      <c r="G669"/>
      <c r="H669"/>
      <c r="I669"/>
    </row>
    <row r="670" spans="3:9">
      <c r="C670"/>
      <c r="D670"/>
      <c r="E670"/>
      <c r="F670"/>
      <c r="G670"/>
      <c r="H670"/>
      <c r="I670"/>
    </row>
    <row r="671" spans="3:9">
      <c r="C671"/>
      <c r="D671"/>
      <c r="E671"/>
      <c r="F671"/>
      <c r="G671"/>
      <c r="H671"/>
      <c r="I671"/>
    </row>
    <row r="672" spans="3:9">
      <c r="C672"/>
      <c r="D672"/>
      <c r="E672"/>
      <c r="F672"/>
      <c r="G672"/>
      <c r="H672"/>
      <c r="I672"/>
    </row>
    <row r="673" spans="3:9">
      <c r="C673"/>
      <c r="D673"/>
      <c r="E673"/>
      <c r="F673"/>
      <c r="G673"/>
      <c r="H673"/>
      <c r="I673"/>
    </row>
    <row r="674" spans="3:9">
      <c r="C674"/>
      <c r="D674"/>
      <c r="E674"/>
      <c r="F674"/>
      <c r="G674"/>
      <c r="H674"/>
      <c r="I674"/>
    </row>
    <row r="675" spans="3:9">
      <c r="C675"/>
      <c r="D675"/>
      <c r="E675"/>
      <c r="F675"/>
      <c r="G675"/>
      <c r="H675"/>
      <c r="I675"/>
    </row>
    <row r="676" spans="3:9">
      <c r="C676"/>
      <c r="D676"/>
      <c r="E676"/>
      <c r="F676"/>
      <c r="G676"/>
      <c r="H676"/>
      <c r="I676"/>
    </row>
    <row r="677" spans="3:9">
      <c r="C677"/>
      <c r="D677"/>
      <c r="E677"/>
      <c r="F677"/>
      <c r="G677"/>
      <c r="H677"/>
      <c r="I677"/>
    </row>
    <row r="678" spans="3:9">
      <c r="C678"/>
      <c r="D678"/>
      <c r="E678"/>
      <c r="F678"/>
      <c r="G678"/>
      <c r="H678"/>
      <c r="I678"/>
    </row>
    <row r="679" spans="3:9">
      <c r="C679"/>
      <c r="D679"/>
      <c r="E679"/>
      <c r="F679"/>
      <c r="G679"/>
      <c r="H679"/>
      <c r="I679"/>
    </row>
    <row r="680" spans="3:9">
      <c r="C680"/>
      <c r="D680"/>
      <c r="E680"/>
      <c r="F680"/>
      <c r="G680"/>
      <c r="H680"/>
      <c r="I680"/>
    </row>
    <row r="681" spans="3:9">
      <c r="C681"/>
      <c r="D681"/>
      <c r="E681"/>
      <c r="F681"/>
      <c r="G681"/>
      <c r="H681"/>
      <c r="I681"/>
    </row>
    <row r="682" spans="3:9">
      <c r="C682"/>
      <c r="D682"/>
      <c r="E682"/>
      <c r="F682"/>
      <c r="G682"/>
      <c r="H682"/>
      <c r="I682"/>
    </row>
    <row r="683" spans="3:9">
      <c r="C683"/>
      <c r="D683"/>
      <c r="E683"/>
      <c r="F683"/>
      <c r="G683"/>
      <c r="H683"/>
      <c r="I683"/>
    </row>
    <row r="684" spans="3:9">
      <c r="C684"/>
      <c r="D684"/>
      <c r="E684"/>
      <c r="F684"/>
      <c r="G684"/>
      <c r="H684"/>
      <c r="I684"/>
    </row>
    <row r="685" spans="3:9">
      <c r="C685"/>
      <c r="D685"/>
      <c r="E685"/>
      <c r="F685"/>
      <c r="G685"/>
      <c r="H685"/>
      <c r="I685"/>
    </row>
    <row r="686" spans="3:9">
      <c r="C686"/>
      <c r="D686"/>
      <c r="E686"/>
      <c r="F686"/>
      <c r="G686"/>
      <c r="H686"/>
      <c r="I686"/>
    </row>
    <row r="687" spans="3:9">
      <c r="C687"/>
      <c r="D687"/>
      <c r="E687"/>
      <c r="F687"/>
      <c r="G687"/>
      <c r="H687"/>
      <c r="I687"/>
    </row>
    <row r="688" spans="3:9">
      <c r="C688"/>
      <c r="D688"/>
      <c r="E688"/>
      <c r="F688"/>
      <c r="G688"/>
      <c r="H688"/>
      <c r="I688"/>
    </row>
    <row r="689" spans="3:9">
      <c r="C689"/>
      <c r="D689"/>
      <c r="E689"/>
      <c r="F689"/>
      <c r="G689"/>
      <c r="H689"/>
      <c r="I689"/>
    </row>
    <row r="690" spans="3:9">
      <c r="C690"/>
      <c r="D690"/>
      <c r="E690"/>
      <c r="F690"/>
      <c r="G690"/>
      <c r="H690"/>
      <c r="I690"/>
    </row>
    <row r="691" spans="3:9">
      <c r="C691"/>
      <c r="D691"/>
      <c r="E691"/>
      <c r="F691"/>
      <c r="G691"/>
      <c r="H691"/>
      <c r="I691"/>
    </row>
    <row r="692" spans="3:9">
      <c r="C692"/>
      <c r="D692"/>
      <c r="E692"/>
      <c r="F692"/>
      <c r="G692"/>
      <c r="H692"/>
      <c r="I692"/>
    </row>
    <row r="693" spans="3:9">
      <c r="C693"/>
      <c r="D693"/>
      <c r="E693"/>
      <c r="F693"/>
      <c r="G693"/>
      <c r="H693"/>
      <c r="I693"/>
    </row>
    <row r="694" spans="3:9">
      <c r="C694"/>
      <c r="D694"/>
      <c r="E694"/>
      <c r="F694"/>
      <c r="G694"/>
      <c r="H694"/>
      <c r="I694"/>
    </row>
    <row r="695" spans="3:9">
      <c r="C695"/>
      <c r="D695"/>
      <c r="E695"/>
      <c r="F695"/>
      <c r="G695"/>
      <c r="H695"/>
      <c r="I695"/>
    </row>
    <row r="696" spans="3:9">
      <c r="C696"/>
      <c r="D696"/>
      <c r="E696"/>
      <c r="F696"/>
      <c r="G696"/>
      <c r="H696"/>
      <c r="I696"/>
    </row>
    <row r="697" spans="3:9">
      <c r="C697"/>
      <c r="D697"/>
      <c r="E697"/>
      <c r="F697"/>
      <c r="G697"/>
      <c r="H697"/>
      <c r="I697"/>
    </row>
    <row r="698" spans="3:9">
      <c r="C698"/>
      <c r="D698"/>
      <c r="E698"/>
      <c r="F698"/>
      <c r="G698"/>
      <c r="H698"/>
      <c r="I698"/>
    </row>
    <row r="699" spans="3:9">
      <c r="C699"/>
      <c r="D699"/>
      <c r="E699"/>
      <c r="F699"/>
      <c r="G699"/>
      <c r="H699"/>
      <c r="I699"/>
    </row>
    <row r="700" spans="3:9">
      <c r="C700"/>
      <c r="D700"/>
      <c r="E700"/>
      <c r="F700"/>
      <c r="G700"/>
      <c r="H700"/>
      <c r="I700"/>
    </row>
    <row r="701" spans="3:9">
      <c r="C701"/>
      <c r="D701"/>
      <c r="E701"/>
      <c r="F701"/>
      <c r="G701"/>
      <c r="H701"/>
      <c r="I701"/>
    </row>
    <row r="702" spans="3:9">
      <c r="C702"/>
      <c r="D702"/>
      <c r="E702"/>
      <c r="F702"/>
      <c r="G702"/>
      <c r="H702"/>
      <c r="I702"/>
    </row>
    <row r="703" spans="3:9">
      <c r="C703"/>
      <c r="D703"/>
      <c r="E703"/>
      <c r="F703"/>
      <c r="G703"/>
      <c r="H703"/>
      <c r="I703"/>
    </row>
    <row r="704" spans="3:9">
      <c r="C704"/>
      <c r="D704"/>
      <c r="E704"/>
      <c r="F704"/>
      <c r="G704"/>
      <c r="H704"/>
      <c r="I704"/>
    </row>
    <row r="705" spans="3:9">
      <c r="C705"/>
      <c r="D705"/>
      <c r="E705"/>
      <c r="F705"/>
      <c r="G705"/>
      <c r="H705"/>
      <c r="I705"/>
    </row>
    <row r="706" spans="3:9">
      <c r="C706"/>
      <c r="D706"/>
      <c r="E706"/>
      <c r="F706"/>
      <c r="G706"/>
      <c r="H706"/>
      <c r="I706"/>
    </row>
    <row r="707" spans="3:9">
      <c r="C707"/>
      <c r="D707"/>
      <c r="E707"/>
      <c r="F707"/>
      <c r="G707"/>
      <c r="H707"/>
      <c r="I707"/>
    </row>
    <row r="708" spans="3:9">
      <c r="C708"/>
      <c r="D708"/>
      <c r="E708"/>
      <c r="F708"/>
      <c r="G708"/>
      <c r="H708"/>
      <c r="I708"/>
    </row>
    <row r="709" spans="3:9">
      <c r="C709"/>
      <c r="D709"/>
      <c r="E709"/>
      <c r="F709"/>
      <c r="G709"/>
      <c r="H709"/>
      <c r="I709"/>
    </row>
    <row r="710" spans="3:9">
      <c r="C710"/>
      <c r="D710"/>
      <c r="E710"/>
      <c r="F710"/>
      <c r="G710"/>
      <c r="H710"/>
      <c r="I710"/>
    </row>
    <row r="711" spans="3:9">
      <c r="C711"/>
      <c r="D711"/>
      <c r="E711"/>
      <c r="F711"/>
      <c r="G711"/>
      <c r="H711"/>
      <c r="I711"/>
    </row>
    <row r="712" spans="3:9">
      <c r="C712"/>
      <c r="D712"/>
      <c r="E712"/>
      <c r="F712"/>
      <c r="G712"/>
      <c r="H712"/>
      <c r="I712"/>
    </row>
    <row r="713" spans="3:9">
      <c r="C713"/>
      <c r="D713"/>
      <c r="E713"/>
      <c r="F713"/>
      <c r="G713"/>
      <c r="H713"/>
      <c r="I713"/>
    </row>
    <row r="714" spans="3:9">
      <c r="C714"/>
      <c r="D714"/>
      <c r="E714"/>
      <c r="F714"/>
      <c r="G714"/>
      <c r="H714"/>
      <c r="I714"/>
    </row>
    <row r="715" spans="3:9">
      <c r="C715"/>
      <c r="D715"/>
      <c r="E715"/>
      <c r="F715"/>
      <c r="G715"/>
      <c r="H715"/>
      <c r="I715"/>
    </row>
    <row r="716" spans="3:9">
      <c r="C716"/>
      <c r="D716"/>
      <c r="E716"/>
      <c r="F716"/>
      <c r="G716"/>
      <c r="H716"/>
      <c r="I716"/>
    </row>
    <row r="717" spans="3:9">
      <c r="C717"/>
      <c r="D717"/>
      <c r="E717"/>
      <c r="F717"/>
      <c r="G717"/>
      <c r="H717"/>
      <c r="I717"/>
    </row>
    <row r="718" spans="3:9">
      <c r="C718"/>
      <c r="D718"/>
      <c r="E718"/>
      <c r="F718"/>
      <c r="G718"/>
      <c r="H718"/>
      <c r="I718"/>
    </row>
    <row r="719" spans="3:9">
      <c r="C719"/>
      <c r="D719"/>
      <c r="E719"/>
      <c r="F719"/>
      <c r="G719"/>
      <c r="H719"/>
      <c r="I719"/>
    </row>
    <row r="720" spans="3:9">
      <c r="C720"/>
      <c r="D720"/>
      <c r="E720"/>
      <c r="F720"/>
      <c r="G720"/>
      <c r="H720"/>
      <c r="I720"/>
    </row>
    <row r="721" spans="3:9">
      <c r="C721"/>
      <c r="D721"/>
      <c r="E721"/>
      <c r="F721"/>
      <c r="G721"/>
      <c r="H721"/>
      <c r="I721"/>
    </row>
    <row r="722" spans="3:9">
      <c r="C722"/>
      <c r="D722"/>
      <c r="E722"/>
      <c r="F722"/>
      <c r="G722"/>
      <c r="H722"/>
      <c r="I722"/>
    </row>
    <row r="723" spans="3:9">
      <c r="C723"/>
      <c r="D723"/>
      <c r="E723"/>
      <c r="F723"/>
      <c r="G723"/>
      <c r="H723"/>
      <c r="I723"/>
    </row>
    <row r="724" spans="3:9">
      <c r="C724"/>
      <c r="D724"/>
      <c r="E724"/>
      <c r="F724"/>
      <c r="G724"/>
      <c r="H724"/>
      <c r="I724"/>
    </row>
    <row r="725" spans="3:9">
      <c r="C725"/>
      <c r="D725"/>
      <c r="E725"/>
      <c r="F725"/>
      <c r="G725"/>
      <c r="H725"/>
      <c r="I725"/>
    </row>
    <row r="726" spans="3:9">
      <c r="C726"/>
      <c r="D726"/>
      <c r="E726"/>
      <c r="F726"/>
      <c r="G726"/>
      <c r="H726"/>
      <c r="I726"/>
    </row>
    <row r="727" spans="3:9">
      <c r="C727"/>
      <c r="D727"/>
      <c r="E727"/>
      <c r="F727"/>
      <c r="G727"/>
      <c r="H727"/>
      <c r="I727"/>
    </row>
    <row r="728" spans="3:9">
      <c r="C728"/>
      <c r="D728"/>
      <c r="E728"/>
      <c r="F728"/>
      <c r="G728"/>
      <c r="H728"/>
      <c r="I728"/>
    </row>
    <row r="729" spans="3:9">
      <c r="C729"/>
      <c r="D729"/>
      <c r="E729"/>
      <c r="F729"/>
      <c r="G729"/>
      <c r="H729"/>
      <c r="I729"/>
    </row>
    <row r="730" spans="3:9">
      <c r="C730"/>
      <c r="D730"/>
      <c r="E730"/>
      <c r="F730"/>
      <c r="G730"/>
      <c r="H730"/>
      <c r="I730"/>
    </row>
    <row r="731" spans="3:9">
      <c r="C731"/>
      <c r="D731"/>
      <c r="E731"/>
      <c r="F731"/>
      <c r="G731"/>
      <c r="H731"/>
      <c r="I731"/>
    </row>
    <row r="732" spans="3:9">
      <c r="C732"/>
      <c r="D732"/>
      <c r="E732"/>
      <c r="F732"/>
      <c r="G732"/>
      <c r="H732"/>
      <c r="I732"/>
    </row>
    <row r="733" spans="3:9">
      <c r="C733"/>
      <c r="D733"/>
      <c r="E733"/>
      <c r="F733"/>
      <c r="G733"/>
      <c r="H733"/>
      <c r="I733"/>
    </row>
    <row r="734" spans="3:9">
      <c r="C734"/>
      <c r="D734"/>
      <c r="E734"/>
      <c r="F734"/>
      <c r="G734"/>
      <c r="H734"/>
      <c r="I734"/>
    </row>
    <row r="735" spans="3:9">
      <c r="C735"/>
      <c r="D735"/>
      <c r="E735"/>
      <c r="F735"/>
      <c r="G735"/>
      <c r="H735"/>
      <c r="I735"/>
    </row>
    <row r="736" spans="3:9">
      <c r="C736"/>
      <c r="D736"/>
      <c r="E736"/>
      <c r="F736"/>
      <c r="G736"/>
      <c r="H736"/>
      <c r="I736"/>
    </row>
    <row r="737" spans="3:9">
      <c r="C737"/>
      <c r="D737"/>
      <c r="E737"/>
      <c r="F737"/>
      <c r="G737"/>
      <c r="H737"/>
      <c r="I737"/>
    </row>
    <row r="738" spans="3:9">
      <c r="C738"/>
      <c r="D738"/>
      <c r="E738"/>
      <c r="F738"/>
      <c r="G738"/>
      <c r="H738"/>
      <c r="I738"/>
    </row>
    <row r="739" spans="3:9">
      <c r="C739"/>
      <c r="D739"/>
      <c r="E739"/>
      <c r="F739"/>
      <c r="G739"/>
      <c r="H739"/>
      <c r="I739"/>
    </row>
    <row r="740" spans="3:9">
      <c r="C740"/>
      <c r="D740"/>
      <c r="E740"/>
      <c r="F740"/>
      <c r="G740"/>
      <c r="H740"/>
      <c r="I740"/>
    </row>
    <row r="741" spans="3:9">
      <c r="C741"/>
      <c r="D741"/>
      <c r="E741"/>
      <c r="F741"/>
      <c r="G741"/>
      <c r="H741"/>
      <c r="I741"/>
    </row>
    <row r="742" spans="3:9">
      <c r="C742"/>
      <c r="D742"/>
      <c r="E742"/>
      <c r="F742"/>
      <c r="G742"/>
      <c r="H742"/>
      <c r="I742"/>
    </row>
    <row r="743" spans="3:9">
      <c r="C743"/>
      <c r="D743"/>
      <c r="E743"/>
      <c r="F743"/>
      <c r="G743"/>
      <c r="H743"/>
      <c r="I743"/>
    </row>
    <row r="744" spans="3:9">
      <c r="C744"/>
      <c r="D744"/>
      <c r="E744"/>
      <c r="F744"/>
      <c r="G744"/>
      <c r="H744"/>
      <c r="I744"/>
    </row>
    <row r="745" spans="3:9">
      <c r="C745"/>
      <c r="D745"/>
      <c r="E745"/>
      <c r="F745"/>
      <c r="G745"/>
      <c r="H745"/>
      <c r="I745"/>
    </row>
    <row r="746" spans="3:9">
      <c r="C746"/>
      <c r="D746"/>
      <c r="E746"/>
      <c r="F746"/>
      <c r="G746"/>
      <c r="H746"/>
      <c r="I746"/>
    </row>
    <row r="747" spans="3:9">
      <c r="C747"/>
      <c r="D747"/>
      <c r="E747"/>
      <c r="F747"/>
      <c r="G747"/>
      <c r="H747"/>
      <c r="I747"/>
    </row>
    <row r="748" spans="3:9">
      <c r="C748"/>
      <c r="D748"/>
      <c r="E748"/>
      <c r="F748"/>
      <c r="G748"/>
      <c r="H748"/>
      <c r="I748"/>
    </row>
    <row r="749" spans="3:9">
      <c r="C749"/>
      <c r="D749"/>
      <c r="E749"/>
      <c r="F749"/>
      <c r="G749"/>
      <c r="H749"/>
      <c r="I749"/>
    </row>
    <row r="750" spans="3:9">
      <c r="C750"/>
      <c r="D750"/>
      <c r="E750"/>
      <c r="F750"/>
      <c r="G750"/>
      <c r="H750"/>
      <c r="I750"/>
    </row>
    <row r="751" spans="3:9">
      <c r="C751"/>
      <c r="D751"/>
      <c r="E751"/>
      <c r="F751"/>
      <c r="G751"/>
      <c r="H751"/>
      <c r="I751"/>
    </row>
    <row r="752" spans="3:9">
      <c r="C752"/>
      <c r="D752"/>
      <c r="E752"/>
      <c r="F752"/>
      <c r="G752"/>
      <c r="H752"/>
      <c r="I752"/>
    </row>
    <row r="753" spans="3:9">
      <c r="C753"/>
      <c r="D753"/>
      <c r="E753"/>
      <c r="F753"/>
      <c r="G753"/>
      <c r="H753"/>
      <c r="I753"/>
    </row>
    <row r="754" spans="3:9">
      <c r="C754"/>
      <c r="D754"/>
      <c r="E754"/>
      <c r="F754"/>
      <c r="G754"/>
      <c r="H754"/>
      <c r="I754"/>
    </row>
    <row r="755" spans="3:9">
      <c r="C755"/>
      <c r="D755"/>
      <c r="E755"/>
      <c r="F755"/>
      <c r="G755"/>
      <c r="H755"/>
      <c r="I755"/>
    </row>
    <row r="756" spans="3:9">
      <c r="C756"/>
      <c r="D756"/>
      <c r="E756"/>
      <c r="F756"/>
      <c r="G756"/>
      <c r="H756"/>
      <c r="I756"/>
    </row>
    <row r="757" spans="3:9">
      <c r="C757"/>
      <c r="D757"/>
      <c r="E757"/>
      <c r="F757"/>
      <c r="G757"/>
      <c r="H757"/>
      <c r="I757"/>
    </row>
    <row r="758" spans="3:9">
      <c r="C758"/>
      <c r="D758"/>
      <c r="E758"/>
      <c r="F758"/>
      <c r="G758"/>
      <c r="H758"/>
      <c r="I758"/>
    </row>
    <row r="759" spans="3:9">
      <c r="C759"/>
      <c r="D759"/>
      <c r="E759"/>
      <c r="F759"/>
      <c r="G759"/>
      <c r="H759"/>
      <c r="I759"/>
    </row>
    <row r="760" spans="3:9">
      <c r="C760"/>
      <c r="D760"/>
      <c r="E760"/>
      <c r="F760"/>
      <c r="G760"/>
      <c r="H760"/>
      <c r="I760"/>
    </row>
    <row r="761" spans="3:9">
      <c r="C761"/>
      <c r="D761"/>
      <c r="E761"/>
      <c r="F761"/>
      <c r="G761"/>
      <c r="H761"/>
      <c r="I761"/>
    </row>
    <row r="762" spans="3:9">
      <c r="C762"/>
      <c r="D762"/>
      <c r="E762"/>
      <c r="F762"/>
      <c r="G762"/>
      <c r="H762"/>
      <c r="I762"/>
    </row>
    <row r="763" spans="3:9">
      <c r="C763"/>
      <c r="D763"/>
      <c r="E763"/>
      <c r="F763"/>
      <c r="G763"/>
      <c r="H763"/>
      <c r="I763"/>
    </row>
    <row r="764" spans="3:9">
      <c r="C764"/>
      <c r="D764"/>
      <c r="E764"/>
      <c r="F764"/>
      <c r="G764"/>
      <c r="H764"/>
      <c r="I764"/>
    </row>
    <row r="765" spans="3:9">
      <c r="C765"/>
      <c r="D765"/>
      <c r="E765"/>
      <c r="F765"/>
      <c r="G765"/>
      <c r="H765"/>
      <c r="I765"/>
    </row>
    <row r="766" spans="3:9">
      <c r="C766"/>
      <c r="D766"/>
      <c r="E766"/>
      <c r="F766"/>
      <c r="G766"/>
      <c r="H766"/>
      <c r="I766"/>
    </row>
    <row r="767" spans="3:9">
      <c r="C767"/>
      <c r="D767"/>
      <c r="E767"/>
      <c r="F767"/>
      <c r="G767"/>
      <c r="H767"/>
      <c r="I767"/>
    </row>
    <row r="768" spans="3:9">
      <c r="C768"/>
      <c r="D768"/>
      <c r="E768"/>
      <c r="F768"/>
      <c r="G768"/>
      <c r="H768"/>
      <c r="I768"/>
    </row>
    <row r="769" spans="3:9">
      <c r="C769"/>
      <c r="D769"/>
      <c r="E769"/>
      <c r="F769"/>
      <c r="G769"/>
      <c r="H769"/>
      <c r="I769"/>
    </row>
    <row r="770" spans="3:9">
      <c r="C770"/>
      <c r="D770"/>
      <c r="E770"/>
      <c r="F770"/>
      <c r="G770"/>
      <c r="H770"/>
      <c r="I770"/>
    </row>
    <row r="771" spans="3:9">
      <c r="C771"/>
      <c r="D771"/>
      <c r="E771"/>
      <c r="F771"/>
      <c r="G771"/>
      <c r="H771"/>
      <c r="I771"/>
    </row>
    <row r="772" spans="3:9">
      <c r="C772"/>
      <c r="D772"/>
      <c r="E772"/>
      <c r="F772"/>
      <c r="G772"/>
      <c r="H772"/>
      <c r="I772"/>
    </row>
    <row r="773" spans="3:9">
      <c r="C773"/>
      <c r="D773"/>
      <c r="E773"/>
      <c r="F773"/>
      <c r="G773"/>
      <c r="H773"/>
      <c r="I773"/>
    </row>
    <row r="774" spans="3:9">
      <c r="C774"/>
      <c r="D774"/>
      <c r="E774"/>
      <c r="F774"/>
      <c r="G774"/>
      <c r="H774"/>
      <c r="I774"/>
    </row>
    <row r="775" spans="3:9">
      <c r="C775"/>
      <c r="D775"/>
      <c r="E775"/>
      <c r="F775"/>
      <c r="G775"/>
      <c r="H775"/>
      <c r="I775"/>
    </row>
    <row r="776" spans="3:9">
      <c r="C776"/>
      <c r="D776"/>
      <c r="E776"/>
      <c r="F776"/>
      <c r="G776"/>
      <c r="H776"/>
      <c r="I776"/>
    </row>
    <row r="777" spans="3:9">
      <c r="C777"/>
      <c r="D777"/>
      <c r="E777"/>
      <c r="F777"/>
      <c r="G777"/>
      <c r="H777"/>
      <c r="I777"/>
    </row>
    <row r="778" spans="3:9">
      <c r="C778"/>
      <c r="D778"/>
      <c r="E778"/>
      <c r="F778"/>
      <c r="G778"/>
      <c r="H778"/>
      <c r="I778"/>
    </row>
    <row r="779" spans="3:9">
      <c r="C779"/>
      <c r="D779"/>
      <c r="E779"/>
      <c r="F779"/>
      <c r="G779"/>
      <c r="H779"/>
      <c r="I779"/>
    </row>
    <row r="780" spans="3:9">
      <c r="C780"/>
      <c r="D780"/>
      <c r="E780"/>
      <c r="F780"/>
      <c r="G780"/>
      <c r="H780"/>
      <c r="I780"/>
    </row>
    <row r="781" spans="3:9">
      <c r="C781"/>
      <c r="D781"/>
      <c r="E781"/>
      <c r="F781"/>
      <c r="G781"/>
      <c r="H781"/>
      <c r="I781"/>
    </row>
    <row r="782" spans="3:9">
      <c r="C782"/>
      <c r="D782"/>
      <c r="E782"/>
      <c r="F782"/>
      <c r="G782"/>
      <c r="H782"/>
      <c r="I782"/>
    </row>
    <row r="783" spans="3:9">
      <c r="C783"/>
      <c r="D783"/>
      <c r="E783"/>
      <c r="F783"/>
      <c r="G783"/>
      <c r="H783"/>
      <c r="I783"/>
    </row>
    <row r="784" spans="3:9">
      <c r="C784"/>
      <c r="D784"/>
      <c r="E784"/>
      <c r="F784"/>
      <c r="G784"/>
      <c r="H784"/>
      <c r="I784"/>
    </row>
    <row r="785" spans="3:9">
      <c r="C785"/>
      <c r="D785"/>
      <c r="E785"/>
      <c r="F785"/>
      <c r="G785"/>
      <c r="H785"/>
      <c r="I785"/>
    </row>
    <row r="786" spans="3:9">
      <c r="C786"/>
      <c r="D786"/>
      <c r="E786"/>
      <c r="F786"/>
      <c r="G786"/>
      <c r="H786"/>
      <c r="I786"/>
    </row>
    <row r="787" spans="3:9">
      <c r="C787"/>
      <c r="D787"/>
      <c r="E787"/>
      <c r="F787"/>
      <c r="G787"/>
      <c r="H787"/>
      <c r="I787"/>
    </row>
    <row r="788" spans="3:9">
      <c r="C788"/>
      <c r="D788"/>
      <c r="E788"/>
      <c r="F788"/>
      <c r="G788"/>
      <c r="H788"/>
      <c r="I788"/>
    </row>
    <row r="789" spans="3:9">
      <c r="C789"/>
      <c r="D789"/>
      <c r="E789"/>
      <c r="F789"/>
      <c r="G789"/>
      <c r="H789"/>
      <c r="I789"/>
    </row>
    <row r="790" spans="3:9">
      <c r="C790"/>
      <c r="D790"/>
      <c r="E790"/>
      <c r="F790"/>
      <c r="G790"/>
      <c r="H790"/>
      <c r="I790"/>
    </row>
    <row r="791" spans="3:9">
      <c r="C791"/>
      <c r="D791"/>
      <c r="E791"/>
      <c r="F791"/>
      <c r="G791"/>
      <c r="H791"/>
      <c r="I791"/>
    </row>
    <row r="792" spans="3:9">
      <c r="C792"/>
      <c r="D792"/>
      <c r="E792"/>
      <c r="F792"/>
      <c r="G792"/>
      <c r="H792"/>
      <c r="I792"/>
    </row>
    <row r="793" spans="3:9">
      <c r="C793"/>
      <c r="D793"/>
      <c r="E793"/>
      <c r="F793"/>
      <c r="G793"/>
      <c r="H793"/>
      <c r="I793"/>
    </row>
    <row r="794" spans="3:9">
      <c r="C794"/>
      <c r="D794"/>
      <c r="E794"/>
      <c r="F794"/>
      <c r="G794"/>
      <c r="H794"/>
      <c r="I794"/>
    </row>
    <row r="795" spans="3:9">
      <c r="C795"/>
      <c r="D795"/>
      <c r="E795"/>
      <c r="F795"/>
      <c r="G795"/>
      <c r="H795"/>
      <c r="I795"/>
    </row>
    <row r="796" spans="3:9">
      <c r="C796"/>
      <c r="D796"/>
      <c r="E796"/>
      <c r="F796"/>
      <c r="G796"/>
      <c r="H796"/>
      <c r="I796"/>
    </row>
    <row r="797" spans="3:9">
      <c r="C797"/>
      <c r="D797"/>
      <c r="E797"/>
      <c r="F797"/>
      <c r="G797"/>
      <c r="H797"/>
      <c r="I797"/>
    </row>
    <row r="798" spans="3:9">
      <c r="C798"/>
      <c r="D798"/>
      <c r="E798"/>
      <c r="F798"/>
      <c r="G798"/>
      <c r="H798"/>
      <c r="I798"/>
    </row>
    <row r="799" spans="3:9">
      <c r="C799"/>
      <c r="D799"/>
      <c r="E799"/>
      <c r="F799"/>
      <c r="G799"/>
      <c r="H799"/>
      <c r="I799"/>
    </row>
    <row r="800" spans="3:9">
      <c r="C800"/>
      <c r="D800"/>
      <c r="E800"/>
      <c r="F800"/>
      <c r="G800"/>
      <c r="H800"/>
      <c r="I800"/>
    </row>
    <row r="801" spans="3:9">
      <c r="C801"/>
      <c r="D801"/>
      <c r="E801"/>
      <c r="F801"/>
      <c r="G801"/>
      <c r="H801"/>
      <c r="I801"/>
    </row>
    <row r="802" spans="3:9">
      <c r="C802"/>
      <c r="D802"/>
      <c r="E802"/>
      <c r="F802"/>
      <c r="G802"/>
      <c r="H802"/>
      <c r="I802"/>
    </row>
    <row r="803" spans="3:9">
      <c r="C803"/>
      <c r="D803"/>
      <c r="E803"/>
      <c r="F803"/>
      <c r="G803"/>
      <c r="H803"/>
      <c r="I803"/>
    </row>
    <row r="804" spans="3:9">
      <c r="C804"/>
      <c r="D804"/>
      <c r="E804"/>
      <c r="F804"/>
      <c r="G804"/>
      <c r="H804"/>
      <c r="I804"/>
    </row>
    <row r="805" spans="3:9">
      <c r="C805"/>
      <c r="D805"/>
      <c r="E805"/>
      <c r="F805"/>
      <c r="G805"/>
      <c r="H805"/>
      <c r="I805"/>
    </row>
    <row r="806" spans="3:9">
      <c r="C806"/>
      <c r="D806"/>
      <c r="E806"/>
      <c r="F806"/>
      <c r="G806"/>
      <c r="H806"/>
      <c r="I806"/>
    </row>
    <row r="807" spans="3:9">
      <c r="C807"/>
      <c r="D807"/>
      <c r="E807"/>
      <c r="F807"/>
      <c r="G807"/>
      <c r="H807"/>
      <c r="I807"/>
    </row>
    <row r="808" spans="3:9">
      <c r="C808"/>
      <c r="D808"/>
      <c r="E808"/>
      <c r="F808"/>
      <c r="G808"/>
      <c r="H808"/>
      <c r="I808"/>
    </row>
    <row r="809" spans="3:9">
      <c r="C809"/>
      <c r="D809"/>
      <c r="E809"/>
      <c r="F809"/>
      <c r="G809"/>
      <c r="H809"/>
      <c r="I809"/>
    </row>
    <row r="810" spans="3:9">
      <c r="C810"/>
      <c r="D810"/>
      <c r="E810"/>
      <c r="F810"/>
      <c r="G810"/>
      <c r="H810"/>
      <c r="I810"/>
    </row>
    <row r="811" spans="3:9">
      <c r="C811"/>
      <c r="D811"/>
      <c r="E811"/>
      <c r="F811"/>
      <c r="G811"/>
      <c r="H811"/>
      <c r="I811"/>
    </row>
    <row r="812" spans="3:9">
      <c r="C812"/>
      <c r="D812"/>
      <c r="E812"/>
      <c r="F812"/>
      <c r="G812"/>
      <c r="H812"/>
      <c r="I812"/>
    </row>
    <row r="813" spans="3:9">
      <c r="C813"/>
      <c r="D813"/>
      <c r="E813"/>
      <c r="F813"/>
      <c r="G813"/>
      <c r="H813"/>
      <c r="I813"/>
    </row>
    <row r="814" spans="3:9">
      <c r="C814"/>
      <c r="D814"/>
      <c r="E814"/>
      <c r="F814"/>
      <c r="G814"/>
      <c r="H814"/>
      <c r="I814"/>
    </row>
    <row r="815" spans="3:9">
      <c r="C815"/>
      <c r="D815"/>
      <c r="E815"/>
      <c r="F815"/>
      <c r="G815"/>
      <c r="H815"/>
      <c r="I815"/>
    </row>
    <row r="816" spans="3:9">
      <c r="C816"/>
      <c r="D816"/>
      <c r="E816"/>
      <c r="F816"/>
      <c r="G816"/>
      <c r="H816"/>
      <c r="I816"/>
    </row>
    <row r="817" spans="3:9">
      <c r="C817"/>
      <c r="D817"/>
      <c r="E817"/>
      <c r="F817"/>
      <c r="G817"/>
      <c r="H817"/>
      <c r="I817"/>
    </row>
    <row r="818" spans="3:9">
      <c r="C818"/>
      <c r="D818"/>
      <c r="E818"/>
      <c r="F818"/>
      <c r="G818"/>
      <c r="H818"/>
      <c r="I818"/>
    </row>
    <row r="819" spans="3:9">
      <c r="C819"/>
      <c r="D819"/>
      <c r="E819"/>
      <c r="F819"/>
      <c r="G819"/>
      <c r="H819"/>
      <c r="I819"/>
    </row>
    <row r="820" spans="3:9">
      <c r="C820"/>
      <c r="D820"/>
      <c r="E820"/>
      <c r="F820"/>
      <c r="G820"/>
      <c r="H820"/>
      <c r="I820"/>
    </row>
    <row r="821" spans="3:9">
      <c r="C821"/>
      <c r="D821"/>
      <c r="E821"/>
      <c r="F821"/>
      <c r="G821"/>
      <c r="H821"/>
      <c r="I821"/>
    </row>
    <row r="822" spans="3:9">
      <c r="C822"/>
      <c r="D822"/>
      <c r="E822"/>
      <c r="F822"/>
      <c r="G822"/>
      <c r="H822"/>
      <c r="I822"/>
    </row>
    <row r="823" spans="3:9">
      <c r="C823"/>
      <c r="D823"/>
      <c r="E823"/>
      <c r="F823"/>
      <c r="G823"/>
      <c r="H823"/>
      <c r="I823"/>
    </row>
    <row r="824" spans="3:9">
      <c r="C824"/>
      <c r="D824"/>
      <c r="E824"/>
      <c r="F824"/>
      <c r="G824"/>
      <c r="H824"/>
      <c r="I824"/>
    </row>
    <row r="825" spans="3:9">
      <c r="C825"/>
      <c r="D825"/>
      <c r="E825"/>
      <c r="F825"/>
      <c r="G825"/>
      <c r="H825"/>
      <c r="I825"/>
    </row>
    <row r="826" spans="3:9">
      <c r="C826"/>
      <c r="D826"/>
      <c r="E826"/>
      <c r="F826"/>
      <c r="G826"/>
      <c r="H826"/>
      <c r="I826"/>
    </row>
    <row r="827" spans="3:9">
      <c r="C827"/>
      <c r="D827"/>
      <c r="E827"/>
      <c r="F827"/>
      <c r="G827"/>
      <c r="H827"/>
      <c r="I827"/>
    </row>
    <row r="828" spans="3:9">
      <c r="C828"/>
      <c r="D828"/>
      <c r="E828"/>
      <c r="F828"/>
      <c r="G828"/>
      <c r="H828"/>
      <c r="I828"/>
    </row>
    <row r="829" spans="3:9">
      <c r="C829"/>
      <c r="D829"/>
      <c r="E829"/>
      <c r="F829"/>
      <c r="G829"/>
      <c r="H829"/>
      <c r="I829"/>
    </row>
    <row r="830" spans="3:9">
      <c r="C830"/>
      <c r="D830"/>
      <c r="E830"/>
      <c r="F830"/>
      <c r="G830"/>
      <c r="H830"/>
      <c r="I830"/>
    </row>
    <row r="831" spans="3:9">
      <c r="C831"/>
      <c r="D831"/>
      <c r="E831"/>
      <c r="F831"/>
      <c r="G831"/>
      <c r="H831"/>
      <c r="I831"/>
    </row>
    <row r="832" spans="3:9">
      <c r="C832"/>
      <c r="D832"/>
      <c r="E832"/>
      <c r="F832"/>
      <c r="G832"/>
      <c r="H832"/>
      <c r="I832"/>
    </row>
    <row r="833" spans="3:9">
      <c r="C833"/>
      <c r="D833"/>
      <c r="E833"/>
      <c r="F833"/>
      <c r="G833"/>
      <c r="H833"/>
      <c r="I833"/>
    </row>
    <row r="834" spans="3:9">
      <c r="C834"/>
      <c r="D834"/>
      <c r="E834"/>
      <c r="F834"/>
      <c r="G834"/>
      <c r="H834"/>
      <c r="I834"/>
    </row>
    <row r="835" spans="3:9">
      <c r="C835"/>
      <c r="D835"/>
      <c r="E835"/>
      <c r="F835"/>
      <c r="G835"/>
      <c r="H835"/>
      <c r="I835"/>
    </row>
    <row r="836" spans="3:9">
      <c r="C836"/>
      <c r="D836"/>
      <c r="E836"/>
      <c r="F836"/>
      <c r="G836"/>
      <c r="H836"/>
      <c r="I836"/>
    </row>
    <row r="837" spans="3:9">
      <c r="C837"/>
      <c r="D837"/>
      <c r="E837"/>
      <c r="F837"/>
      <c r="G837"/>
      <c r="H837"/>
      <c r="I837"/>
    </row>
    <row r="838" spans="3:9">
      <c r="C838"/>
      <c r="D838"/>
      <c r="E838"/>
      <c r="F838"/>
      <c r="G838"/>
      <c r="H838"/>
      <c r="I838"/>
    </row>
    <row r="839" spans="3:9">
      <c r="C839"/>
      <c r="D839"/>
      <c r="E839"/>
      <c r="F839"/>
      <c r="G839"/>
      <c r="H839"/>
      <c r="I839"/>
    </row>
    <row r="840" spans="3:9">
      <c r="C840"/>
      <c r="D840"/>
      <c r="E840"/>
      <c r="F840"/>
      <c r="G840"/>
      <c r="H840"/>
      <c r="I840"/>
    </row>
    <row r="841" spans="3:9">
      <c r="C841"/>
      <c r="D841"/>
      <c r="E841"/>
      <c r="F841"/>
      <c r="G841"/>
      <c r="H841"/>
      <c r="I841"/>
    </row>
    <row r="842" spans="3:9">
      <c r="C842"/>
      <c r="D842"/>
      <c r="E842"/>
      <c r="F842"/>
      <c r="G842"/>
      <c r="H842"/>
      <c r="I842"/>
    </row>
    <row r="843" spans="3:9">
      <c r="C843"/>
      <c r="D843"/>
      <c r="E843"/>
      <c r="F843"/>
      <c r="G843"/>
      <c r="H843"/>
      <c r="I843"/>
    </row>
    <row r="844" spans="3:9">
      <c r="C844"/>
      <c r="D844"/>
      <c r="E844"/>
      <c r="F844"/>
      <c r="G844"/>
      <c r="H844"/>
      <c r="I844"/>
    </row>
    <row r="845" spans="3:9">
      <c r="C845"/>
      <c r="D845"/>
      <c r="E845"/>
      <c r="F845"/>
      <c r="G845"/>
      <c r="H845"/>
      <c r="I845"/>
    </row>
    <row r="846" spans="3:9">
      <c r="C846"/>
      <c r="D846"/>
      <c r="E846"/>
      <c r="F846"/>
      <c r="G846"/>
      <c r="H846"/>
      <c r="I846"/>
    </row>
    <row r="847" spans="3:9">
      <c r="C847"/>
      <c r="D847"/>
      <c r="E847"/>
      <c r="F847"/>
      <c r="G847"/>
      <c r="H847"/>
      <c r="I847"/>
    </row>
    <row r="848" spans="3:9">
      <c r="C848"/>
      <c r="D848"/>
      <c r="E848"/>
      <c r="F848"/>
      <c r="G848"/>
      <c r="H848"/>
      <c r="I848"/>
    </row>
    <row r="849" spans="3:9">
      <c r="C849"/>
      <c r="D849"/>
      <c r="E849"/>
      <c r="F849"/>
      <c r="G849"/>
      <c r="H849"/>
      <c r="I849"/>
    </row>
    <row r="850" spans="3:9">
      <c r="C850"/>
      <c r="D850"/>
      <c r="E850"/>
      <c r="F850"/>
      <c r="G850"/>
      <c r="H850"/>
      <c r="I850"/>
    </row>
    <row r="851" spans="3:9">
      <c r="C851"/>
      <c r="D851"/>
      <c r="E851"/>
      <c r="F851"/>
      <c r="G851"/>
      <c r="H851"/>
      <c r="I851"/>
    </row>
    <row r="852" spans="3:9">
      <c r="C852"/>
      <c r="D852"/>
      <c r="E852"/>
      <c r="F852"/>
      <c r="G852"/>
      <c r="H852"/>
      <c r="I852"/>
    </row>
    <row r="853" spans="3:9">
      <c r="C853"/>
      <c r="D853"/>
      <c r="E853"/>
      <c r="F853"/>
      <c r="G853"/>
      <c r="H853"/>
      <c r="I853"/>
    </row>
    <row r="854" spans="3:9">
      <c r="C854"/>
      <c r="D854"/>
      <c r="E854"/>
      <c r="F854"/>
      <c r="G854"/>
      <c r="H854"/>
      <c r="I854"/>
    </row>
    <row r="855" spans="3:9">
      <c r="C855"/>
      <c r="D855"/>
      <c r="E855"/>
      <c r="F855"/>
      <c r="G855"/>
      <c r="H855"/>
      <c r="I855"/>
    </row>
    <row r="856" spans="3:9">
      <c r="C856"/>
      <c r="D856"/>
      <c r="E856"/>
      <c r="F856"/>
      <c r="G856"/>
      <c r="H856"/>
      <c r="I856"/>
    </row>
    <row r="857" spans="3:9">
      <c r="C857"/>
      <c r="D857"/>
      <c r="E857"/>
      <c r="F857"/>
      <c r="G857"/>
      <c r="H857"/>
      <c r="I857"/>
    </row>
    <row r="858" spans="3:9">
      <c r="C858"/>
      <c r="D858"/>
      <c r="E858"/>
      <c r="F858"/>
      <c r="G858"/>
      <c r="H858"/>
      <c r="I858"/>
    </row>
    <row r="859" spans="3:9">
      <c r="C859"/>
      <c r="D859"/>
      <c r="E859"/>
      <c r="F859"/>
      <c r="G859"/>
      <c r="H859"/>
      <c r="I859"/>
    </row>
    <row r="860" spans="3:9">
      <c r="C860"/>
      <c r="D860"/>
      <c r="E860"/>
      <c r="F860"/>
      <c r="G860"/>
      <c r="H860"/>
      <c r="I860"/>
    </row>
    <row r="861" spans="3:9">
      <c r="C861"/>
      <c r="D861"/>
      <c r="E861"/>
      <c r="F861"/>
      <c r="G861"/>
      <c r="H861"/>
      <c r="I861"/>
    </row>
    <row r="862" spans="3:9">
      <c r="C862"/>
      <c r="D862"/>
      <c r="E862"/>
      <c r="F862"/>
      <c r="G862"/>
      <c r="H862"/>
      <c r="I862"/>
    </row>
    <row r="863" spans="3:9">
      <c r="C863"/>
      <c r="D863"/>
      <c r="E863"/>
      <c r="F863"/>
      <c r="G863"/>
      <c r="H863"/>
      <c r="I863"/>
    </row>
    <row r="864" spans="3:9">
      <c r="C864"/>
      <c r="D864"/>
      <c r="E864"/>
      <c r="F864"/>
      <c r="G864"/>
      <c r="H864"/>
      <c r="I864"/>
    </row>
    <row r="865" spans="3:9">
      <c r="C865"/>
      <c r="D865"/>
      <c r="E865"/>
      <c r="F865"/>
      <c r="G865"/>
      <c r="H865"/>
      <c r="I865"/>
    </row>
    <row r="866" spans="3:9">
      <c r="C866"/>
      <c r="D866"/>
      <c r="E866"/>
      <c r="F866"/>
      <c r="G866"/>
      <c r="H866"/>
      <c r="I866"/>
    </row>
    <row r="867" spans="3:9">
      <c r="C867"/>
      <c r="D867"/>
      <c r="E867"/>
      <c r="F867"/>
      <c r="G867"/>
      <c r="H867"/>
      <c r="I867"/>
    </row>
    <row r="868" spans="3:9">
      <c r="C868"/>
      <c r="D868"/>
      <c r="E868"/>
      <c r="F868"/>
      <c r="G868"/>
      <c r="H868"/>
      <c r="I868"/>
    </row>
    <row r="869" spans="3:9">
      <c r="C869"/>
      <c r="D869"/>
      <c r="E869"/>
      <c r="F869"/>
      <c r="G869"/>
      <c r="H869"/>
      <c r="I869"/>
    </row>
    <row r="870" spans="3:9">
      <c r="C870"/>
      <c r="D870"/>
      <c r="E870"/>
      <c r="F870"/>
      <c r="G870"/>
      <c r="H870"/>
      <c r="I870"/>
    </row>
    <row r="871" spans="3:9">
      <c r="C871"/>
      <c r="D871"/>
      <c r="E871"/>
      <c r="F871"/>
      <c r="G871"/>
      <c r="H871"/>
      <c r="I871"/>
    </row>
    <row r="872" spans="3:9">
      <c r="C872"/>
      <c r="D872"/>
      <c r="E872"/>
      <c r="F872"/>
      <c r="G872"/>
      <c r="H872"/>
      <c r="I872"/>
    </row>
    <row r="873" spans="3:9">
      <c r="C873"/>
      <c r="D873"/>
      <c r="E873"/>
      <c r="F873"/>
      <c r="G873"/>
      <c r="H873"/>
      <c r="I873"/>
    </row>
    <row r="874" spans="3:9">
      <c r="C874"/>
      <c r="D874"/>
      <c r="E874"/>
      <c r="F874"/>
      <c r="G874"/>
      <c r="H874"/>
      <c r="I874"/>
    </row>
    <row r="875" spans="3:9">
      <c r="C875"/>
      <c r="D875"/>
      <c r="E875"/>
      <c r="F875"/>
      <c r="G875"/>
      <c r="H875"/>
      <c r="I875"/>
    </row>
    <row r="876" spans="3:9">
      <c r="C876"/>
      <c r="D876"/>
      <c r="E876"/>
      <c r="F876"/>
      <c r="G876"/>
      <c r="H876"/>
      <c r="I876"/>
    </row>
    <row r="877" spans="3:9">
      <c r="C877"/>
      <c r="D877"/>
      <c r="E877"/>
      <c r="F877"/>
      <c r="G877"/>
      <c r="H877"/>
      <c r="I877"/>
    </row>
    <row r="878" spans="3:9">
      <c r="C878"/>
      <c r="D878"/>
      <c r="E878"/>
      <c r="F878"/>
      <c r="G878"/>
      <c r="H878"/>
      <c r="I878"/>
    </row>
    <row r="879" spans="3:9">
      <c r="C879"/>
      <c r="D879"/>
      <c r="E879"/>
      <c r="F879"/>
      <c r="G879"/>
      <c r="H879"/>
      <c r="I879"/>
    </row>
    <row r="880" spans="3:9">
      <c r="C880"/>
      <c r="D880"/>
      <c r="E880"/>
      <c r="F880"/>
      <c r="G880"/>
      <c r="H880"/>
      <c r="I880"/>
    </row>
    <row r="881" spans="3:9">
      <c r="C881"/>
      <c r="D881"/>
      <c r="E881"/>
      <c r="F881"/>
      <c r="G881"/>
      <c r="H881"/>
      <c r="I881"/>
    </row>
    <row r="882" spans="3:9">
      <c r="C882"/>
      <c r="D882"/>
      <c r="E882"/>
      <c r="F882"/>
      <c r="G882"/>
      <c r="H882"/>
      <c r="I882"/>
    </row>
    <row r="883" spans="3:9">
      <c r="C883"/>
      <c r="D883"/>
      <c r="E883"/>
      <c r="F883"/>
      <c r="G883"/>
      <c r="H883"/>
      <c r="I883"/>
    </row>
    <row r="884" spans="3:9">
      <c r="C884"/>
      <c r="D884"/>
      <c r="E884"/>
      <c r="F884"/>
      <c r="G884"/>
      <c r="H884"/>
      <c r="I884"/>
    </row>
    <row r="885" spans="3:9">
      <c r="C885"/>
      <c r="D885"/>
      <c r="E885"/>
      <c r="F885"/>
      <c r="G885"/>
      <c r="H885"/>
      <c r="I885"/>
    </row>
    <row r="886" spans="3:9">
      <c r="C886"/>
      <c r="D886"/>
      <c r="E886"/>
      <c r="F886"/>
      <c r="G886"/>
      <c r="H886"/>
      <c r="I886"/>
    </row>
    <row r="887" spans="3:9">
      <c r="C887"/>
      <c r="D887"/>
      <c r="E887"/>
      <c r="F887"/>
      <c r="G887"/>
      <c r="H887"/>
      <c r="I887"/>
    </row>
    <row r="888" spans="3:9">
      <c r="C888"/>
      <c r="D888"/>
      <c r="E888"/>
      <c r="F888"/>
      <c r="G888"/>
      <c r="H888"/>
      <c r="I888"/>
    </row>
    <row r="889" spans="3:9">
      <c r="C889"/>
      <c r="D889"/>
      <c r="E889"/>
      <c r="F889"/>
      <c r="G889"/>
      <c r="H889"/>
      <c r="I889"/>
    </row>
    <row r="890" spans="3:9">
      <c r="C890"/>
      <c r="D890"/>
      <c r="E890"/>
      <c r="F890"/>
      <c r="G890"/>
      <c r="H890"/>
      <c r="I890"/>
    </row>
    <row r="891" spans="3:9">
      <c r="C891"/>
      <c r="D891"/>
      <c r="E891"/>
      <c r="F891"/>
      <c r="G891"/>
      <c r="H891"/>
      <c r="I891"/>
    </row>
    <row r="892" spans="3:9">
      <c r="C892"/>
      <c r="D892"/>
      <c r="E892"/>
      <c r="F892"/>
      <c r="G892"/>
      <c r="H892"/>
      <c r="I892"/>
    </row>
    <row r="893" spans="3:9">
      <c r="C893"/>
      <c r="D893"/>
      <c r="E893"/>
      <c r="F893"/>
      <c r="G893"/>
      <c r="H893"/>
      <c r="I893"/>
    </row>
    <row r="894" spans="3:9">
      <c r="C894"/>
      <c r="D894"/>
      <c r="E894"/>
      <c r="F894"/>
      <c r="G894"/>
      <c r="H894"/>
      <c r="I894"/>
    </row>
    <row r="895" spans="3:9">
      <c r="C895"/>
      <c r="D895"/>
      <c r="E895"/>
      <c r="F895"/>
      <c r="G895"/>
      <c r="H895"/>
      <c r="I895"/>
    </row>
    <row r="896" spans="3:9">
      <c r="C896"/>
      <c r="D896"/>
      <c r="E896"/>
      <c r="F896"/>
      <c r="G896"/>
      <c r="H896"/>
      <c r="I896"/>
    </row>
    <row r="897" spans="3:9">
      <c r="C897"/>
      <c r="D897"/>
      <c r="E897"/>
      <c r="F897"/>
      <c r="G897"/>
      <c r="H897"/>
      <c r="I897"/>
    </row>
    <row r="898" spans="3:9">
      <c r="C898"/>
      <c r="D898"/>
      <c r="E898"/>
      <c r="F898"/>
      <c r="G898"/>
      <c r="H898"/>
      <c r="I898"/>
    </row>
    <row r="899" spans="3:9">
      <c r="C899"/>
      <c r="D899"/>
      <c r="E899"/>
      <c r="F899"/>
      <c r="G899"/>
      <c r="H899"/>
      <c r="I899"/>
    </row>
    <row r="900" spans="3:9">
      <c r="C900"/>
      <c r="D900"/>
      <c r="E900"/>
      <c r="F900"/>
      <c r="G900"/>
      <c r="H900"/>
      <c r="I900"/>
    </row>
    <row r="901" spans="3:9">
      <c r="C901"/>
      <c r="D901"/>
      <c r="E901"/>
      <c r="F901"/>
      <c r="G901"/>
      <c r="H901"/>
      <c r="I901"/>
    </row>
    <row r="902" spans="3:9">
      <c r="C902"/>
      <c r="D902"/>
      <c r="E902"/>
      <c r="F902"/>
      <c r="G902"/>
      <c r="H902"/>
      <c r="I902"/>
    </row>
    <row r="903" spans="3:9">
      <c r="C903"/>
      <c r="D903"/>
      <c r="E903"/>
      <c r="F903"/>
      <c r="G903"/>
      <c r="H903"/>
      <c r="I903"/>
    </row>
    <row r="904" spans="3:9">
      <c r="C904"/>
      <c r="D904"/>
      <c r="E904"/>
      <c r="F904"/>
      <c r="G904"/>
      <c r="H904"/>
      <c r="I904"/>
    </row>
    <row r="905" spans="3:9">
      <c r="C905"/>
      <c r="D905"/>
      <c r="E905"/>
      <c r="F905"/>
      <c r="G905"/>
      <c r="H905"/>
      <c r="I905"/>
    </row>
    <row r="906" spans="3:9">
      <c r="C906"/>
      <c r="D906"/>
      <c r="E906"/>
      <c r="F906"/>
      <c r="G906"/>
      <c r="H906"/>
      <c r="I906"/>
    </row>
    <row r="907" spans="3:9">
      <c r="C907"/>
      <c r="D907"/>
      <c r="E907"/>
      <c r="F907"/>
      <c r="G907"/>
      <c r="H907"/>
      <c r="I907"/>
    </row>
    <row r="908" spans="3:9">
      <c r="C908"/>
      <c r="D908"/>
      <c r="E908"/>
      <c r="F908"/>
      <c r="G908"/>
      <c r="H908"/>
      <c r="I908"/>
    </row>
    <row r="909" spans="3:9">
      <c r="C909"/>
      <c r="D909"/>
      <c r="E909"/>
      <c r="F909"/>
      <c r="G909"/>
      <c r="H909"/>
      <c r="I909"/>
    </row>
    <row r="910" spans="3:9">
      <c r="C910"/>
      <c r="D910"/>
      <c r="E910"/>
      <c r="F910"/>
      <c r="G910"/>
      <c r="H910"/>
      <c r="I910"/>
    </row>
    <row r="911" spans="3:9">
      <c r="C911"/>
      <c r="D911"/>
      <c r="E911"/>
      <c r="F911"/>
      <c r="G911"/>
      <c r="H911"/>
      <c r="I911"/>
    </row>
    <row r="912" spans="3:9">
      <c r="C912"/>
      <c r="D912"/>
      <c r="E912"/>
      <c r="F912"/>
      <c r="G912"/>
      <c r="H912"/>
      <c r="I912"/>
    </row>
    <row r="913" spans="3:9">
      <c r="C913"/>
      <c r="D913"/>
      <c r="E913"/>
      <c r="F913"/>
      <c r="G913"/>
      <c r="H913"/>
      <c r="I913"/>
    </row>
    <row r="914" spans="3:9">
      <c r="C914"/>
      <c r="D914"/>
      <c r="E914"/>
      <c r="F914"/>
      <c r="G914"/>
      <c r="H914"/>
      <c r="I914"/>
    </row>
    <row r="915" spans="3:9">
      <c r="C915"/>
      <c r="D915"/>
      <c r="E915"/>
      <c r="F915"/>
      <c r="G915"/>
      <c r="H915"/>
      <c r="I915"/>
    </row>
    <row r="916" spans="3:9">
      <c r="C916"/>
      <c r="D916"/>
      <c r="E916"/>
      <c r="F916"/>
      <c r="G916"/>
      <c r="H916"/>
      <c r="I916"/>
    </row>
    <row r="917" spans="3:9">
      <c r="C917"/>
      <c r="D917"/>
      <c r="E917"/>
      <c r="F917"/>
      <c r="G917"/>
      <c r="H917"/>
      <c r="I917"/>
    </row>
    <row r="918" spans="3:9">
      <c r="C918"/>
      <c r="D918"/>
      <c r="E918"/>
      <c r="F918"/>
      <c r="G918"/>
      <c r="H918"/>
      <c r="I918"/>
    </row>
    <row r="919" spans="3:9">
      <c r="C919"/>
      <c r="D919"/>
      <c r="E919"/>
      <c r="F919"/>
      <c r="G919"/>
      <c r="H919"/>
      <c r="I919"/>
    </row>
    <row r="920" spans="3:9">
      <c r="C920"/>
      <c r="D920"/>
      <c r="E920"/>
      <c r="F920"/>
      <c r="G920"/>
      <c r="H920"/>
      <c r="I920"/>
    </row>
    <row r="921" spans="3:9">
      <c r="C921"/>
      <c r="D921"/>
      <c r="E921"/>
      <c r="F921"/>
      <c r="G921"/>
      <c r="H921"/>
      <c r="I921"/>
    </row>
    <row r="922" spans="3:9">
      <c r="C922"/>
      <c r="D922"/>
      <c r="E922"/>
      <c r="F922"/>
      <c r="G922"/>
      <c r="H922"/>
      <c r="I922"/>
    </row>
    <row r="923" spans="3:9">
      <c r="C923"/>
      <c r="D923"/>
      <c r="E923"/>
      <c r="F923"/>
      <c r="G923"/>
      <c r="H923"/>
      <c r="I923"/>
    </row>
    <row r="924" spans="3:9">
      <c r="C924"/>
      <c r="D924"/>
      <c r="E924"/>
      <c r="F924"/>
      <c r="G924"/>
      <c r="H924"/>
      <c r="I924"/>
    </row>
    <row r="925" spans="3:9">
      <c r="C925"/>
      <c r="D925"/>
      <c r="E925"/>
      <c r="F925"/>
      <c r="G925"/>
      <c r="H925"/>
      <c r="I925"/>
    </row>
    <row r="926" spans="3:9">
      <c r="C926"/>
      <c r="D926"/>
      <c r="E926"/>
      <c r="F926"/>
      <c r="G926"/>
      <c r="H926"/>
      <c r="I926"/>
    </row>
    <row r="927" spans="3:9">
      <c r="C927"/>
      <c r="D927"/>
      <c r="E927"/>
      <c r="F927"/>
      <c r="G927"/>
      <c r="H927"/>
      <c r="I927"/>
    </row>
    <row r="928" spans="3:9">
      <c r="C928"/>
      <c r="D928"/>
      <c r="E928"/>
      <c r="F928"/>
      <c r="G928"/>
      <c r="H928"/>
      <c r="I928"/>
    </row>
    <row r="929" spans="3:9">
      <c r="C929"/>
      <c r="D929"/>
      <c r="E929"/>
      <c r="F929"/>
      <c r="G929"/>
      <c r="H929"/>
      <c r="I929"/>
    </row>
    <row r="930" spans="3:9">
      <c r="C930"/>
      <c r="D930"/>
      <c r="E930"/>
      <c r="F930"/>
      <c r="G930"/>
      <c r="H930"/>
      <c r="I930"/>
    </row>
    <row r="931" spans="3:9">
      <c r="C931"/>
      <c r="D931"/>
      <c r="E931"/>
      <c r="F931"/>
      <c r="G931"/>
      <c r="H931"/>
      <c r="I931"/>
    </row>
    <row r="932" spans="3:9">
      <c r="C932"/>
      <c r="D932"/>
      <c r="E932"/>
      <c r="F932"/>
      <c r="G932"/>
      <c r="H932"/>
      <c r="I932"/>
    </row>
    <row r="933" spans="3:9">
      <c r="C933"/>
      <c r="D933"/>
      <c r="E933"/>
      <c r="F933"/>
      <c r="G933"/>
      <c r="H933"/>
      <c r="I933"/>
    </row>
    <row r="934" spans="3:9">
      <c r="C934"/>
      <c r="D934"/>
      <c r="E934"/>
      <c r="F934"/>
      <c r="G934"/>
      <c r="H934"/>
      <c r="I934"/>
    </row>
    <row r="935" spans="3:9">
      <c r="C935"/>
      <c r="D935"/>
      <c r="E935"/>
      <c r="F935"/>
      <c r="G935"/>
      <c r="H935"/>
      <c r="I935"/>
    </row>
    <row r="936" spans="3:9">
      <c r="C936"/>
      <c r="D936"/>
      <c r="E936"/>
      <c r="F936"/>
      <c r="G936"/>
      <c r="H936"/>
      <c r="I936"/>
    </row>
    <row r="937" spans="3:9">
      <c r="C937"/>
      <c r="D937"/>
      <c r="E937"/>
      <c r="F937"/>
      <c r="G937"/>
      <c r="H937"/>
      <c r="I937"/>
    </row>
    <row r="938" spans="3:9">
      <c r="C938"/>
      <c r="D938"/>
      <c r="E938"/>
      <c r="F938"/>
      <c r="G938"/>
      <c r="H938"/>
      <c r="I938"/>
    </row>
    <row r="939" spans="3:9">
      <c r="C939"/>
      <c r="D939"/>
      <c r="E939"/>
      <c r="F939"/>
      <c r="G939"/>
      <c r="H939"/>
      <c r="I939"/>
    </row>
    <row r="940" spans="3:9">
      <c r="C940"/>
      <c r="D940"/>
      <c r="E940"/>
      <c r="F940"/>
      <c r="G940"/>
      <c r="H940"/>
      <c r="I940"/>
    </row>
    <row r="941" spans="3:9">
      <c r="C941"/>
      <c r="D941"/>
      <c r="E941"/>
      <c r="F941"/>
      <c r="G941"/>
      <c r="H941"/>
      <c r="I941"/>
    </row>
    <row r="942" spans="3:9">
      <c r="C942"/>
      <c r="D942"/>
      <c r="E942"/>
      <c r="F942"/>
      <c r="G942"/>
      <c r="H942"/>
      <c r="I942"/>
    </row>
    <row r="943" spans="3:9">
      <c r="C943"/>
      <c r="D943"/>
      <c r="E943"/>
      <c r="F943"/>
      <c r="G943"/>
      <c r="H943"/>
      <c r="I943"/>
    </row>
    <row r="944" spans="3:9">
      <c r="C944"/>
      <c r="D944"/>
      <c r="E944"/>
      <c r="F944"/>
      <c r="G944"/>
      <c r="H944"/>
      <c r="I944"/>
    </row>
    <row r="945" spans="3:9">
      <c r="C945"/>
      <c r="D945"/>
      <c r="E945"/>
      <c r="F945"/>
      <c r="G945"/>
      <c r="H945"/>
      <c r="I945"/>
    </row>
    <row r="946" spans="3:9">
      <c r="C946"/>
      <c r="D946"/>
      <c r="E946"/>
      <c r="F946"/>
      <c r="G946"/>
      <c r="H946"/>
      <c r="I946"/>
    </row>
    <row r="947" spans="3:9">
      <c r="C947"/>
      <c r="D947"/>
      <c r="E947"/>
      <c r="F947"/>
      <c r="G947"/>
      <c r="H947"/>
      <c r="I947"/>
    </row>
    <row r="948" spans="3:9">
      <c r="C948"/>
      <c r="D948"/>
      <c r="E948"/>
      <c r="F948"/>
      <c r="G948"/>
      <c r="H948"/>
      <c r="I948"/>
    </row>
    <row r="949" spans="3:9">
      <c r="C949"/>
      <c r="D949"/>
      <c r="E949"/>
      <c r="F949"/>
      <c r="G949"/>
      <c r="H949"/>
      <c r="I949"/>
    </row>
    <row r="950" spans="3:9">
      <c r="C950"/>
      <c r="D950"/>
      <c r="E950"/>
      <c r="F950"/>
      <c r="G950"/>
      <c r="H950"/>
      <c r="I950"/>
    </row>
    <row r="951" spans="3:9">
      <c r="C951"/>
      <c r="D951"/>
      <c r="E951"/>
      <c r="F951"/>
      <c r="G951"/>
      <c r="H951"/>
      <c r="I951"/>
    </row>
    <row r="952" spans="3:9">
      <c r="C952"/>
      <c r="D952"/>
      <c r="E952"/>
      <c r="F952"/>
      <c r="G952"/>
      <c r="H952"/>
      <c r="I952"/>
    </row>
    <row r="953" spans="3:9">
      <c r="C953"/>
      <c r="D953"/>
      <c r="E953"/>
      <c r="F953"/>
      <c r="G953"/>
      <c r="H953"/>
      <c r="I953"/>
    </row>
    <row r="954" spans="3:9">
      <c r="C954"/>
      <c r="D954"/>
      <c r="E954"/>
      <c r="F954"/>
      <c r="G954"/>
      <c r="H954"/>
      <c r="I954"/>
    </row>
    <row r="955" spans="3:9">
      <c r="C955"/>
      <c r="D955"/>
      <c r="E955"/>
      <c r="F955"/>
      <c r="G955"/>
      <c r="H955"/>
      <c r="I955"/>
    </row>
    <row r="956" spans="3:9">
      <c r="C956"/>
      <c r="D956"/>
      <c r="E956"/>
      <c r="F956"/>
      <c r="G956"/>
      <c r="H956"/>
      <c r="I956"/>
    </row>
    <row r="957" spans="3:9">
      <c r="C957"/>
      <c r="D957"/>
      <c r="E957"/>
      <c r="F957"/>
      <c r="G957"/>
      <c r="H957"/>
      <c r="I957"/>
    </row>
    <row r="958" spans="3:9">
      <c r="C958"/>
      <c r="D958"/>
      <c r="E958"/>
      <c r="F958"/>
      <c r="G958"/>
      <c r="H958"/>
      <c r="I958"/>
    </row>
    <row r="959" spans="3:9">
      <c r="C959"/>
      <c r="D959"/>
      <c r="E959"/>
      <c r="F959"/>
      <c r="G959"/>
      <c r="H959"/>
      <c r="I959"/>
    </row>
    <row r="960" spans="3:9">
      <c r="C960"/>
      <c r="D960"/>
      <c r="E960"/>
      <c r="F960"/>
      <c r="G960"/>
      <c r="H960"/>
      <c r="I960"/>
    </row>
    <row r="961" spans="3:9">
      <c r="C961"/>
      <c r="D961"/>
      <c r="E961"/>
      <c r="F961"/>
      <c r="G961"/>
      <c r="H961"/>
      <c r="I961"/>
    </row>
    <row r="962" spans="3:9">
      <c r="C962"/>
      <c r="D962"/>
      <c r="E962"/>
      <c r="F962"/>
      <c r="G962"/>
      <c r="H962"/>
      <c r="I962"/>
    </row>
    <row r="963" spans="3:9">
      <c r="C963"/>
      <c r="D963"/>
      <c r="E963"/>
      <c r="F963"/>
      <c r="G963"/>
      <c r="H963"/>
      <c r="I963"/>
    </row>
    <row r="964" spans="3:9">
      <c r="C964"/>
      <c r="D964"/>
      <c r="E964"/>
      <c r="F964"/>
      <c r="G964"/>
      <c r="H964"/>
      <c r="I964"/>
    </row>
    <row r="965" spans="3:9">
      <c r="C965"/>
      <c r="D965"/>
      <c r="E965"/>
      <c r="F965"/>
      <c r="G965"/>
      <c r="H965"/>
      <c r="I965"/>
    </row>
    <row r="966" spans="3:9">
      <c r="C966"/>
      <c r="D966"/>
      <c r="E966"/>
      <c r="F966"/>
      <c r="G966"/>
      <c r="H966"/>
      <c r="I966"/>
    </row>
    <row r="967" spans="3:9">
      <c r="C967"/>
      <c r="D967"/>
      <c r="E967"/>
      <c r="F967"/>
      <c r="G967"/>
      <c r="H967"/>
      <c r="I967"/>
    </row>
    <row r="968" spans="3:9">
      <c r="C968"/>
      <c r="D968"/>
      <c r="E968"/>
      <c r="F968"/>
      <c r="G968"/>
      <c r="H968"/>
      <c r="I968"/>
    </row>
    <row r="969" spans="3:9">
      <c r="C969"/>
      <c r="D969"/>
      <c r="E969"/>
      <c r="F969"/>
      <c r="G969"/>
      <c r="H969"/>
      <c r="I969"/>
    </row>
    <row r="970" spans="3:9">
      <c r="C970"/>
      <c r="D970"/>
      <c r="E970"/>
      <c r="F970"/>
      <c r="G970"/>
      <c r="H970"/>
      <c r="I970"/>
    </row>
    <row r="971" spans="3:9">
      <c r="C971"/>
      <c r="D971"/>
      <c r="E971"/>
      <c r="F971"/>
      <c r="G971"/>
      <c r="H971"/>
      <c r="I971"/>
    </row>
    <row r="972" spans="3:9">
      <c r="C972"/>
      <c r="D972"/>
      <c r="E972"/>
      <c r="F972"/>
      <c r="G972"/>
      <c r="H972"/>
      <c r="I972"/>
    </row>
    <row r="973" spans="3:9">
      <c r="C973"/>
      <c r="D973"/>
      <c r="E973"/>
      <c r="F973"/>
      <c r="G973"/>
      <c r="H973"/>
      <c r="I973"/>
    </row>
    <row r="974" spans="3:9">
      <c r="C974"/>
      <c r="D974"/>
      <c r="E974"/>
      <c r="F974"/>
      <c r="G974"/>
      <c r="H974"/>
      <c r="I974"/>
    </row>
    <row r="975" spans="3:9">
      <c r="C975"/>
      <c r="D975"/>
      <c r="E975"/>
      <c r="F975"/>
      <c r="G975"/>
      <c r="H975"/>
      <c r="I975"/>
    </row>
    <row r="976" spans="3:9">
      <c r="C976"/>
      <c r="D976"/>
      <c r="E976"/>
      <c r="F976"/>
      <c r="G976"/>
      <c r="H976"/>
      <c r="I976"/>
    </row>
    <row r="977" spans="3:9">
      <c r="C977"/>
      <c r="D977"/>
      <c r="E977"/>
      <c r="F977"/>
      <c r="G977"/>
      <c r="H977"/>
      <c r="I977"/>
    </row>
    <row r="978" spans="3:9">
      <c r="C978"/>
      <c r="D978"/>
      <c r="E978"/>
      <c r="F978"/>
      <c r="G978"/>
      <c r="H978"/>
      <c r="I978"/>
    </row>
    <row r="979" spans="3:9">
      <c r="C979"/>
      <c r="D979"/>
      <c r="E979"/>
      <c r="F979"/>
      <c r="G979"/>
      <c r="H979"/>
      <c r="I979"/>
    </row>
    <row r="980" spans="3:9">
      <c r="C980"/>
      <c r="D980"/>
      <c r="E980"/>
      <c r="F980"/>
      <c r="G980"/>
      <c r="H980"/>
      <c r="I980"/>
    </row>
    <row r="981" spans="3:9">
      <c r="C981"/>
      <c r="D981"/>
      <c r="E981"/>
      <c r="F981"/>
      <c r="G981"/>
      <c r="H981"/>
      <c r="I981"/>
    </row>
    <row r="982" spans="3:9">
      <c r="C982"/>
      <c r="D982"/>
      <c r="E982"/>
      <c r="F982"/>
      <c r="G982"/>
      <c r="H982"/>
      <c r="I982"/>
    </row>
    <row r="983" spans="3:9">
      <c r="C983"/>
      <c r="D983"/>
      <c r="E983"/>
      <c r="F983"/>
      <c r="G983"/>
      <c r="H983"/>
      <c r="I983"/>
    </row>
    <row r="984" spans="3:9">
      <c r="C984"/>
      <c r="D984"/>
      <c r="E984"/>
      <c r="F984"/>
      <c r="G984"/>
      <c r="H984"/>
      <c r="I984"/>
    </row>
    <row r="985" spans="3:9">
      <c r="C985"/>
      <c r="D985"/>
      <c r="E985"/>
      <c r="F985"/>
      <c r="G985"/>
      <c r="H985"/>
      <c r="I985"/>
    </row>
    <row r="986" spans="3:9">
      <c r="C986"/>
      <c r="D986"/>
      <c r="E986"/>
      <c r="F986"/>
      <c r="G986"/>
      <c r="H986"/>
      <c r="I986"/>
    </row>
    <row r="987" spans="3:9">
      <c r="C987"/>
      <c r="D987"/>
      <c r="E987"/>
      <c r="F987"/>
      <c r="G987"/>
      <c r="H987"/>
      <c r="I987"/>
    </row>
    <row r="988" spans="3:9">
      <c r="C988"/>
      <c r="D988"/>
      <c r="E988"/>
      <c r="F988"/>
      <c r="G988"/>
      <c r="H988"/>
      <c r="I988"/>
    </row>
    <row r="989" spans="3:9">
      <c r="C989"/>
      <c r="D989"/>
      <c r="E989"/>
      <c r="F989"/>
      <c r="G989"/>
      <c r="H989"/>
      <c r="I989"/>
    </row>
    <row r="990" spans="3:9">
      <c r="C990"/>
      <c r="D990"/>
      <c r="E990"/>
      <c r="F990"/>
      <c r="G990"/>
      <c r="H990"/>
      <c r="I990"/>
    </row>
    <row r="991" spans="3:9">
      <c r="C991"/>
      <c r="D991"/>
      <c r="E991"/>
      <c r="F991"/>
      <c r="G991"/>
      <c r="H991"/>
      <c r="I991"/>
    </row>
    <row r="992" spans="3:9">
      <c r="C992"/>
      <c r="D992"/>
      <c r="E992"/>
      <c r="F992"/>
      <c r="G992"/>
      <c r="H992"/>
      <c r="I992"/>
    </row>
    <row r="993" spans="3:9">
      <c r="C993"/>
      <c r="D993"/>
      <c r="E993"/>
      <c r="F993"/>
      <c r="G993"/>
      <c r="H993"/>
      <c r="I993"/>
    </row>
    <row r="994" spans="3:9">
      <c r="C994"/>
      <c r="D994"/>
      <c r="E994"/>
      <c r="F994"/>
      <c r="G994"/>
      <c r="H994"/>
      <c r="I994"/>
    </row>
    <row r="995" spans="3:9">
      <c r="C995"/>
      <c r="D995"/>
      <c r="E995"/>
      <c r="F995"/>
      <c r="G995"/>
      <c r="H995"/>
      <c r="I995"/>
    </row>
    <row r="996" spans="3:9">
      <c r="C996"/>
      <c r="D996"/>
      <c r="E996"/>
      <c r="F996"/>
      <c r="G996"/>
      <c r="H996"/>
      <c r="I996"/>
    </row>
    <row r="997" spans="3:9">
      <c r="C997"/>
      <c r="D997"/>
      <c r="E997"/>
      <c r="F997"/>
      <c r="G997"/>
      <c r="H997"/>
      <c r="I997"/>
    </row>
    <row r="998" spans="3:9">
      <c r="C998"/>
      <c r="D998"/>
      <c r="E998"/>
      <c r="F998"/>
      <c r="G998"/>
      <c r="H998"/>
      <c r="I998"/>
    </row>
    <row r="999" spans="3:9">
      <c r="C999"/>
      <c r="D999"/>
      <c r="E999"/>
      <c r="F999"/>
      <c r="G999"/>
      <c r="H999"/>
      <c r="I999"/>
    </row>
    <row r="1000" spans="3:9">
      <c r="C1000"/>
      <c r="D1000"/>
      <c r="E1000"/>
      <c r="F1000"/>
      <c r="G1000"/>
      <c r="H1000"/>
      <c r="I1000"/>
    </row>
    <row r="1001" spans="3:9">
      <c r="C1001"/>
      <c r="D1001"/>
      <c r="E1001"/>
      <c r="F1001"/>
      <c r="G1001"/>
      <c r="H1001"/>
      <c r="I1001"/>
    </row>
    <row r="1002" spans="3:9">
      <c r="C1002"/>
      <c r="D1002"/>
      <c r="E1002"/>
      <c r="F1002"/>
      <c r="G1002"/>
      <c r="H1002"/>
      <c r="I1002"/>
    </row>
    <row r="1003" spans="3:9">
      <c r="C1003"/>
      <c r="D1003"/>
      <c r="E1003"/>
      <c r="F1003"/>
      <c r="G1003"/>
      <c r="H1003"/>
      <c r="I1003"/>
    </row>
    <row r="1004" spans="3:9">
      <c r="C1004"/>
      <c r="D1004"/>
      <c r="E1004"/>
      <c r="F1004"/>
      <c r="G1004"/>
      <c r="H1004"/>
      <c r="I1004"/>
    </row>
    <row r="1005" spans="3:9">
      <c r="C1005"/>
      <c r="D1005"/>
      <c r="E1005"/>
      <c r="F1005"/>
      <c r="G1005"/>
      <c r="H1005"/>
      <c r="I1005"/>
    </row>
    <row r="1006" spans="3:9">
      <c r="C1006"/>
      <c r="D1006"/>
      <c r="E1006"/>
      <c r="F1006"/>
      <c r="G1006"/>
      <c r="H1006"/>
      <c r="I1006"/>
    </row>
    <row r="1007" spans="3:9">
      <c r="C1007"/>
      <c r="D1007"/>
      <c r="E1007"/>
      <c r="F1007"/>
      <c r="G1007"/>
      <c r="H1007"/>
      <c r="I1007"/>
    </row>
    <row r="1008" spans="3:9">
      <c r="C1008"/>
      <c r="D1008"/>
      <c r="E1008"/>
      <c r="F1008"/>
      <c r="G1008"/>
      <c r="H1008"/>
      <c r="I1008"/>
    </row>
    <row r="1009" spans="3:9">
      <c r="C1009"/>
      <c r="D1009"/>
      <c r="E1009"/>
      <c r="F1009"/>
      <c r="G1009"/>
      <c r="H1009"/>
      <c r="I1009"/>
    </row>
    <row r="1010" spans="3:9">
      <c r="C1010"/>
      <c r="D1010"/>
      <c r="E1010"/>
      <c r="F1010"/>
      <c r="G1010"/>
      <c r="H1010"/>
      <c r="I1010"/>
    </row>
    <row r="1011" spans="3:9">
      <c r="C1011"/>
      <c r="D1011"/>
      <c r="E1011"/>
      <c r="F1011"/>
      <c r="G1011"/>
      <c r="H1011"/>
      <c r="I1011"/>
    </row>
    <row r="1012" spans="3:9">
      <c r="C1012"/>
      <c r="D1012"/>
      <c r="E1012"/>
      <c r="F1012"/>
      <c r="G1012"/>
      <c r="H1012"/>
      <c r="I1012"/>
    </row>
    <row r="1013" spans="3:9">
      <c r="C1013"/>
      <c r="D1013"/>
      <c r="E1013"/>
      <c r="F1013"/>
      <c r="G1013"/>
      <c r="H1013"/>
      <c r="I1013"/>
    </row>
    <row r="1014" spans="3:9">
      <c r="C1014"/>
      <c r="D1014"/>
      <c r="E1014"/>
      <c r="F1014"/>
      <c r="G1014"/>
      <c r="H1014"/>
      <c r="I1014"/>
    </row>
    <row r="1015" spans="3:9">
      <c r="C1015"/>
      <c r="D1015"/>
      <c r="E1015"/>
      <c r="F1015"/>
      <c r="G1015"/>
      <c r="H1015"/>
      <c r="I1015"/>
    </row>
    <row r="1016" spans="3:9">
      <c r="C1016"/>
      <c r="D1016"/>
      <c r="E1016"/>
      <c r="F1016"/>
      <c r="G1016"/>
      <c r="H1016"/>
      <c r="I1016"/>
    </row>
    <row r="1017" spans="3:9">
      <c r="C1017"/>
      <c r="D1017"/>
      <c r="E1017"/>
      <c r="F1017"/>
      <c r="G1017"/>
      <c r="H1017"/>
      <c r="I1017"/>
    </row>
    <row r="1018" spans="3:9">
      <c r="C1018"/>
      <c r="D1018"/>
      <c r="E1018"/>
      <c r="F1018"/>
      <c r="G1018"/>
      <c r="H1018"/>
      <c r="I1018"/>
    </row>
    <row r="1019" spans="3:9">
      <c r="C1019"/>
      <c r="D1019"/>
      <c r="E1019"/>
      <c r="F1019"/>
      <c r="G1019"/>
      <c r="H1019"/>
      <c r="I1019"/>
    </row>
    <row r="1020" spans="3:9">
      <c r="C1020"/>
      <c r="D1020"/>
      <c r="E1020"/>
      <c r="F1020"/>
      <c r="G1020"/>
      <c r="H1020"/>
      <c r="I1020"/>
    </row>
    <row r="1021" spans="3:9">
      <c r="C1021"/>
      <c r="D1021"/>
      <c r="E1021"/>
      <c r="F1021"/>
      <c r="G1021"/>
      <c r="H1021"/>
      <c r="I1021"/>
    </row>
    <row r="1022" spans="3:9">
      <c r="C1022"/>
      <c r="D1022"/>
      <c r="E1022"/>
      <c r="F1022"/>
      <c r="G1022"/>
      <c r="H1022"/>
      <c r="I1022"/>
    </row>
    <row r="1023" spans="3:9">
      <c r="C1023"/>
      <c r="D1023"/>
      <c r="E1023"/>
      <c r="F1023"/>
      <c r="G1023"/>
      <c r="H1023"/>
      <c r="I1023"/>
    </row>
    <row r="1024" spans="3:9">
      <c r="C1024"/>
      <c r="D1024"/>
      <c r="E1024"/>
      <c r="F1024"/>
      <c r="G1024"/>
      <c r="H1024"/>
      <c r="I1024"/>
    </row>
    <row r="1025" spans="3:9">
      <c r="C1025"/>
      <c r="D1025"/>
      <c r="E1025"/>
      <c r="F1025"/>
      <c r="G1025"/>
      <c r="H1025"/>
      <c r="I1025"/>
    </row>
    <row r="1026" spans="3:9">
      <c r="C1026"/>
      <c r="D1026"/>
      <c r="E1026"/>
      <c r="F1026"/>
      <c r="G1026"/>
      <c r="H1026"/>
      <c r="I1026"/>
    </row>
    <row r="1027" spans="3:9">
      <c r="C1027"/>
      <c r="D1027"/>
      <c r="E1027"/>
      <c r="F1027"/>
      <c r="G1027"/>
      <c r="H1027"/>
      <c r="I1027"/>
    </row>
    <row r="1028" spans="3:9">
      <c r="C1028"/>
      <c r="D1028"/>
      <c r="E1028"/>
      <c r="F1028"/>
      <c r="G1028"/>
      <c r="H1028"/>
      <c r="I1028"/>
    </row>
    <row r="1029" spans="3:9">
      <c r="C1029"/>
      <c r="D1029"/>
      <c r="E1029"/>
      <c r="F1029"/>
      <c r="G1029"/>
      <c r="H1029"/>
      <c r="I1029"/>
    </row>
    <row r="1030" spans="3:9">
      <c r="C1030"/>
      <c r="D1030"/>
      <c r="E1030"/>
      <c r="F1030"/>
      <c r="G1030"/>
      <c r="H1030"/>
      <c r="I1030"/>
    </row>
    <row r="1031" spans="3:9">
      <c r="C1031"/>
      <c r="D1031"/>
      <c r="E1031"/>
      <c r="F1031"/>
      <c r="G1031"/>
      <c r="H1031"/>
      <c r="I1031"/>
    </row>
    <row r="1032" spans="3:9">
      <c r="C1032"/>
      <c r="D1032"/>
      <c r="E1032"/>
      <c r="F1032"/>
      <c r="G1032"/>
      <c r="H1032"/>
      <c r="I1032"/>
    </row>
    <row r="1033" spans="3:9">
      <c r="C1033"/>
      <c r="D1033"/>
      <c r="E1033"/>
      <c r="F1033"/>
      <c r="G1033"/>
      <c r="H1033"/>
      <c r="I1033"/>
    </row>
    <row r="1034" spans="3:9">
      <c r="C1034"/>
      <c r="D1034"/>
      <c r="E1034"/>
      <c r="F1034"/>
      <c r="G1034"/>
      <c r="H1034"/>
      <c r="I1034"/>
    </row>
    <row r="1035" spans="3:9">
      <c r="C1035"/>
      <c r="D1035"/>
      <c r="E1035"/>
      <c r="F1035"/>
      <c r="G1035"/>
      <c r="H1035"/>
      <c r="I1035"/>
    </row>
    <row r="1036" spans="3:9">
      <c r="C1036"/>
      <c r="D1036"/>
      <c r="E1036"/>
      <c r="F1036"/>
      <c r="G1036"/>
      <c r="H1036"/>
      <c r="I1036"/>
    </row>
    <row r="1037" spans="3:9">
      <c r="C1037"/>
      <c r="D1037"/>
      <c r="E1037"/>
      <c r="F1037"/>
      <c r="G1037"/>
      <c r="H1037"/>
      <c r="I1037"/>
    </row>
    <row r="1038" spans="3:9">
      <c r="C1038"/>
      <c r="D1038"/>
      <c r="E1038"/>
      <c r="F1038"/>
      <c r="G1038"/>
      <c r="H1038"/>
      <c r="I1038"/>
    </row>
    <row r="1039" spans="3:9">
      <c r="C1039"/>
      <c r="D1039"/>
      <c r="E1039"/>
      <c r="F1039"/>
      <c r="G1039"/>
      <c r="H1039"/>
      <c r="I1039"/>
    </row>
    <row r="1040" spans="3:9">
      <c r="C1040"/>
      <c r="D1040"/>
      <c r="E1040"/>
      <c r="F1040"/>
      <c r="G1040"/>
      <c r="H1040"/>
      <c r="I1040"/>
    </row>
    <row r="1041" spans="3:9">
      <c r="C1041"/>
      <c r="D1041"/>
      <c r="E1041"/>
      <c r="F1041"/>
      <c r="G1041"/>
      <c r="H1041"/>
      <c r="I1041"/>
    </row>
    <row r="1042" spans="3:9">
      <c r="C1042"/>
      <c r="D1042"/>
      <c r="E1042"/>
      <c r="F1042"/>
      <c r="G1042"/>
      <c r="H1042"/>
      <c r="I1042"/>
    </row>
    <row r="1043" spans="3:9">
      <c r="C1043"/>
      <c r="D1043"/>
      <c r="E1043"/>
      <c r="F1043"/>
      <c r="G1043"/>
      <c r="H1043"/>
      <c r="I1043"/>
    </row>
    <row r="1044" spans="3:9">
      <c r="C1044"/>
      <c r="D1044"/>
      <c r="E1044"/>
      <c r="F1044"/>
      <c r="G1044"/>
      <c r="H1044"/>
      <c r="I1044"/>
    </row>
    <row r="1045" spans="3:9">
      <c r="C1045"/>
      <c r="D1045"/>
      <c r="E1045"/>
      <c r="F1045"/>
      <c r="G1045"/>
      <c r="H1045"/>
      <c r="I1045"/>
    </row>
    <row r="1046" spans="3:9">
      <c r="C1046"/>
      <c r="D1046"/>
      <c r="E1046"/>
      <c r="F1046"/>
      <c r="G1046"/>
      <c r="H1046"/>
      <c r="I1046"/>
    </row>
    <row r="1047" spans="3:9">
      <c r="C1047"/>
      <c r="D1047"/>
      <c r="E1047"/>
      <c r="F1047"/>
      <c r="G1047"/>
      <c r="H1047"/>
      <c r="I1047"/>
    </row>
    <row r="1048" spans="3:9">
      <c r="C1048"/>
      <c r="D1048"/>
      <c r="E1048"/>
      <c r="F1048"/>
      <c r="G1048"/>
      <c r="H1048"/>
      <c r="I1048"/>
    </row>
    <row r="1049" spans="3:9">
      <c r="C1049"/>
      <c r="D1049"/>
      <c r="E1049"/>
      <c r="F1049"/>
      <c r="G1049"/>
      <c r="H1049"/>
      <c r="I1049"/>
    </row>
    <row r="1050" spans="3:9">
      <c r="C1050"/>
      <c r="D1050"/>
      <c r="E1050"/>
      <c r="F1050"/>
      <c r="G1050"/>
      <c r="H1050"/>
      <c r="I1050"/>
    </row>
    <row r="1051" spans="3:9">
      <c r="C1051"/>
      <c r="D1051"/>
      <c r="E1051"/>
      <c r="F1051"/>
      <c r="G1051"/>
      <c r="H1051"/>
      <c r="I1051"/>
    </row>
    <row r="1052" spans="3:9">
      <c r="C1052"/>
      <c r="D1052"/>
      <c r="E1052"/>
      <c r="F1052"/>
      <c r="G1052"/>
      <c r="H1052"/>
      <c r="I1052"/>
    </row>
    <row r="1053" spans="3:9">
      <c r="C1053"/>
      <c r="D1053"/>
      <c r="E1053"/>
      <c r="F1053"/>
      <c r="G1053"/>
      <c r="H1053"/>
      <c r="I1053"/>
    </row>
    <row r="1054" spans="3:9">
      <c r="C1054"/>
      <c r="D1054"/>
      <c r="E1054"/>
      <c r="F1054"/>
      <c r="G1054"/>
      <c r="H1054"/>
      <c r="I1054"/>
    </row>
    <row r="1055" spans="3:9">
      <c r="C1055"/>
      <c r="D1055"/>
      <c r="E1055"/>
      <c r="F1055"/>
      <c r="G1055"/>
      <c r="H1055"/>
      <c r="I1055"/>
    </row>
    <row r="1056" spans="3:9">
      <c r="C1056"/>
      <c r="D1056"/>
      <c r="E1056"/>
      <c r="F1056"/>
      <c r="G1056"/>
      <c r="H1056"/>
      <c r="I1056"/>
    </row>
    <row r="1057" spans="3:9">
      <c r="C1057"/>
      <c r="D1057"/>
      <c r="E1057"/>
      <c r="F1057"/>
      <c r="G1057"/>
      <c r="H1057"/>
      <c r="I1057"/>
    </row>
    <row r="1058" spans="3:9">
      <c r="C1058"/>
      <c r="D1058"/>
      <c r="E1058"/>
      <c r="F1058"/>
      <c r="G1058"/>
      <c r="H1058"/>
      <c r="I1058"/>
    </row>
    <row r="1059" spans="3:9">
      <c r="C1059"/>
      <c r="D1059"/>
      <c r="E1059"/>
      <c r="F1059"/>
      <c r="G1059"/>
      <c r="H1059"/>
      <c r="I1059"/>
    </row>
    <row r="1060" spans="3:9">
      <c r="C1060"/>
      <c r="D1060"/>
      <c r="E1060"/>
      <c r="F1060"/>
      <c r="G1060"/>
      <c r="H1060"/>
      <c r="I1060"/>
    </row>
    <row r="1061" spans="3:9">
      <c r="C1061"/>
      <c r="D1061"/>
      <c r="E1061"/>
      <c r="F1061"/>
      <c r="G1061"/>
      <c r="H1061"/>
      <c r="I1061"/>
    </row>
    <row r="1062" spans="3:9">
      <c r="C1062"/>
      <c r="D1062"/>
      <c r="E1062"/>
    </row>
    <row r="1063" spans="3:9">
      <c r="C1063"/>
      <c r="D1063"/>
      <c r="E1063"/>
    </row>
    <row r="1064" spans="3:9">
      <c r="C1064"/>
      <c r="D1064"/>
      <c r="E1064"/>
    </row>
    <row r="1065" spans="3:9">
      <c r="C1065"/>
      <c r="D1065"/>
      <c r="E1065"/>
    </row>
    <row r="1066" spans="3:9">
      <c r="C1066"/>
      <c r="D1066"/>
      <c r="E1066"/>
    </row>
    <row r="1067" spans="3:9">
      <c r="C1067"/>
      <c r="D1067"/>
      <c r="E1067"/>
    </row>
    <row r="1068" spans="3:9">
      <c r="C1068"/>
      <c r="D1068"/>
      <c r="E1068"/>
    </row>
    <row r="1069" spans="3:9">
      <c r="C1069"/>
      <c r="D1069"/>
      <c r="E1069"/>
    </row>
    <row r="1070" spans="3:9">
      <c r="C1070"/>
      <c r="D1070"/>
      <c r="E1070"/>
    </row>
    <row r="1071" spans="3:9">
      <c r="C1071"/>
      <c r="D1071"/>
      <c r="E1071"/>
    </row>
    <row r="1072" spans="3:9">
      <c r="C1072"/>
      <c r="D1072"/>
      <c r="E1072"/>
    </row>
    <row r="1073" spans="3:5">
      <c r="C1073"/>
      <c r="D1073"/>
      <c r="E1073"/>
    </row>
    <row r="1074" spans="3:5">
      <c r="C1074"/>
      <c r="D1074"/>
      <c r="E1074"/>
    </row>
    <row r="1075" spans="3:5">
      <c r="C1075"/>
      <c r="D1075"/>
      <c r="E1075"/>
    </row>
    <row r="1076" spans="3:5">
      <c r="C1076"/>
      <c r="D1076"/>
      <c r="E1076"/>
    </row>
    <row r="1077" spans="3:5">
      <c r="C1077"/>
      <c r="D1077"/>
      <c r="E1077"/>
    </row>
    <row r="1078" spans="3:5">
      <c r="C1078"/>
      <c r="D1078"/>
      <c r="E1078"/>
    </row>
    <row r="1079" spans="3:5">
      <c r="C1079"/>
      <c r="D1079"/>
      <c r="E1079"/>
    </row>
    <row r="1080" spans="3:5">
      <c r="C1080"/>
      <c r="D1080"/>
      <c r="E1080"/>
    </row>
    <row r="1081" spans="3:5">
      <c r="C1081"/>
      <c r="D1081"/>
      <c r="E1081"/>
    </row>
    <row r="1082" spans="3:5">
      <c r="C1082"/>
      <c r="D1082"/>
      <c r="E1082"/>
    </row>
    <row r="1083" spans="3:5">
      <c r="C1083"/>
      <c r="D1083"/>
      <c r="E1083"/>
    </row>
    <row r="1084" spans="3:5">
      <c r="C1084"/>
      <c r="D1084"/>
      <c r="E1084"/>
    </row>
    <row r="1085" spans="3:5">
      <c r="C1085"/>
      <c r="D1085"/>
      <c r="E1085"/>
    </row>
    <row r="1086" spans="3:5">
      <c r="C1086"/>
      <c r="D1086"/>
      <c r="E1086"/>
    </row>
    <row r="1087" spans="3:5">
      <c r="C1087"/>
      <c r="D1087"/>
      <c r="E1087"/>
    </row>
    <row r="1088" spans="3:5">
      <c r="C1088"/>
      <c r="D1088"/>
      <c r="E1088"/>
    </row>
    <row r="1089" spans="3:5">
      <c r="C1089"/>
      <c r="D1089"/>
      <c r="E1089"/>
    </row>
    <row r="1090" spans="3:5">
      <c r="C1090"/>
      <c r="D1090"/>
      <c r="E1090"/>
    </row>
    <row r="1091" spans="3:5">
      <c r="C1091"/>
      <c r="D1091"/>
      <c r="E1091"/>
    </row>
    <row r="1092" spans="3:5">
      <c r="C1092"/>
      <c r="D1092"/>
      <c r="E1092"/>
    </row>
    <row r="1093" spans="3:5">
      <c r="C1093"/>
      <c r="D1093"/>
      <c r="E1093"/>
    </row>
    <row r="1094" spans="3:5">
      <c r="C1094"/>
      <c r="D1094"/>
      <c r="E1094"/>
    </row>
    <row r="1095" spans="3:5">
      <c r="C1095"/>
      <c r="D1095"/>
      <c r="E1095"/>
    </row>
    <row r="1096" spans="3:5">
      <c r="C1096"/>
      <c r="D1096"/>
      <c r="E1096"/>
    </row>
    <row r="1097" spans="3:5">
      <c r="C1097"/>
      <c r="D1097"/>
      <c r="E1097"/>
    </row>
    <row r="1098" spans="3:5">
      <c r="C1098"/>
      <c r="D1098"/>
      <c r="E1098"/>
    </row>
    <row r="1099" spans="3:5">
      <c r="C1099"/>
      <c r="D1099"/>
      <c r="E1099"/>
    </row>
    <row r="1100" spans="3:5">
      <c r="C1100"/>
      <c r="D1100"/>
      <c r="E1100"/>
    </row>
    <row r="1101" spans="3:5">
      <c r="C1101"/>
      <c r="D1101"/>
      <c r="E1101"/>
    </row>
    <row r="1102" spans="3:5">
      <c r="C1102"/>
      <c r="D1102"/>
      <c r="E1102"/>
    </row>
    <row r="1103" spans="3:5">
      <c r="C1103"/>
      <c r="D1103"/>
      <c r="E1103"/>
    </row>
    <row r="1104" spans="3:5">
      <c r="C1104"/>
      <c r="D1104"/>
      <c r="E1104"/>
    </row>
    <row r="1105" spans="3:5">
      <c r="C1105"/>
      <c r="D1105"/>
      <c r="E1105"/>
    </row>
    <row r="1106" spans="3:5">
      <c r="C1106"/>
      <c r="D1106"/>
      <c r="E1106"/>
    </row>
    <row r="1107" spans="3:5">
      <c r="C1107"/>
      <c r="D1107"/>
      <c r="E1107"/>
    </row>
    <row r="1108" spans="3:5">
      <c r="C1108"/>
      <c r="D1108"/>
      <c r="E1108"/>
    </row>
    <row r="1109" spans="3:5">
      <c r="C1109"/>
      <c r="D1109"/>
      <c r="E1109"/>
    </row>
    <row r="1110" spans="3:5">
      <c r="C1110"/>
      <c r="D1110"/>
      <c r="E1110"/>
    </row>
    <row r="1111" spans="3:5">
      <c r="C1111"/>
      <c r="D1111"/>
      <c r="E1111"/>
    </row>
    <row r="1112" spans="3:5">
      <c r="C1112"/>
      <c r="D1112"/>
      <c r="E1112"/>
    </row>
    <row r="1113" spans="3:5">
      <c r="C1113"/>
      <c r="D1113"/>
      <c r="E1113"/>
    </row>
    <row r="1114" spans="3:5">
      <c r="C1114"/>
      <c r="D1114"/>
      <c r="E1114"/>
    </row>
    <row r="1115" spans="3:5">
      <c r="C1115"/>
      <c r="D1115"/>
      <c r="E1115"/>
    </row>
    <row r="1116" spans="3:5">
      <c r="C1116"/>
      <c r="D1116"/>
      <c r="E1116"/>
    </row>
    <row r="1117" spans="3:5">
      <c r="C1117"/>
      <c r="D1117"/>
      <c r="E1117"/>
    </row>
    <row r="1118" spans="3:5">
      <c r="C1118"/>
      <c r="D1118"/>
      <c r="E1118"/>
    </row>
    <row r="1119" spans="3:5">
      <c r="C1119"/>
      <c r="D1119"/>
      <c r="E1119"/>
    </row>
    <row r="1120" spans="3:5">
      <c r="C1120"/>
      <c r="D1120"/>
      <c r="E1120"/>
    </row>
    <row r="1121" spans="3:5">
      <c r="C1121"/>
      <c r="D1121"/>
      <c r="E1121"/>
    </row>
    <row r="1122" spans="3:5">
      <c r="C1122"/>
      <c r="D1122"/>
      <c r="E1122"/>
    </row>
    <row r="1123" spans="3:5">
      <c r="C1123"/>
      <c r="D1123"/>
      <c r="E1123"/>
    </row>
    <row r="1124" spans="3:5">
      <c r="C1124"/>
      <c r="D1124"/>
      <c r="E1124"/>
    </row>
    <row r="1125" spans="3:5">
      <c r="C1125"/>
      <c r="D1125"/>
      <c r="E1125"/>
    </row>
    <row r="1126" spans="3:5">
      <c r="C1126"/>
      <c r="D1126"/>
      <c r="E1126"/>
    </row>
    <row r="1127" spans="3:5">
      <c r="C1127"/>
      <c r="D1127"/>
      <c r="E1127"/>
    </row>
    <row r="1128" spans="3:5">
      <c r="C1128"/>
      <c r="D1128"/>
      <c r="E1128"/>
    </row>
    <row r="1129" spans="3:5">
      <c r="C1129"/>
      <c r="D1129"/>
      <c r="E1129"/>
    </row>
    <row r="1130" spans="3:5">
      <c r="C1130"/>
      <c r="D1130"/>
      <c r="E1130"/>
    </row>
    <row r="1131" spans="3:5">
      <c r="C1131"/>
      <c r="D1131"/>
      <c r="E1131"/>
    </row>
    <row r="1132" spans="3:5">
      <c r="C1132"/>
      <c r="D1132"/>
      <c r="E1132"/>
    </row>
    <row r="1133" spans="3:5">
      <c r="C1133"/>
      <c r="D1133"/>
      <c r="E1133"/>
    </row>
    <row r="1134" spans="3:5">
      <c r="C1134"/>
      <c r="D1134"/>
      <c r="E1134"/>
    </row>
    <row r="1135" spans="3:5">
      <c r="C1135"/>
      <c r="D1135"/>
      <c r="E1135"/>
    </row>
    <row r="1136" spans="3:5">
      <c r="C1136"/>
      <c r="D1136"/>
      <c r="E1136"/>
    </row>
    <row r="1137" spans="3:5">
      <c r="C1137"/>
      <c r="D1137"/>
      <c r="E1137"/>
    </row>
    <row r="1138" spans="3:5">
      <c r="C1138"/>
      <c r="D1138"/>
      <c r="E1138"/>
    </row>
    <row r="1139" spans="3:5">
      <c r="C1139"/>
      <c r="D1139"/>
      <c r="E1139"/>
    </row>
    <row r="1140" spans="3:5">
      <c r="C1140"/>
      <c r="D1140"/>
      <c r="E1140"/>
    </row>
    <row r="1141" spans="3:5">
      <c r="C1141"/>
      <c r="D1141"/>
      <c r="E1141"/>
    </row>
    <row r="1142" spans="3:5">
      <c r="C1142"/>
      <c r="D1142"/>
      <c r="E1142"/>
    </row>
    <row r="1143" spans="3:5">
      <c r="C1143"/>
      <c r="D1143"/>
      <c r="E1143"/>
    </row>
    <row r="1144" spans="3:5">
      <c r="C1144"/>
      <c r="D1144"/>
      <c r="E1144"/>
    </row>
    <row r="1145" spans="3:5">
      <c r="C1145"/>
      <c r="D1145"/>
      <c r="E1145"/>
    </row>
    <row r="1146" spans="3:5">
      <c r="C1146"/>
      <c r="D1146"/>
      <c r="E1146"/>
    </row>
    <row r="1147" spans="3:5">
      <c r="C1147"/>
      <c r="D1147"/>
      <c r="E1147"/>
    </row>
    <row r="1148" spans="3:5">
      <c r="C1148"/>
      <c r="D1148"/>
      <c r="E1148"/>
    </row>
    <row r="1149" spans="3:5">
      <c r="C1149"/>
      <c r="D1149"/>
      <c r="E1149"/>
    </row>
    <row r="1150" spans="3:5">
      <c r="C1150"/>
      <c r="D1150"/>
      <c r="E1150"/>
    </row>
    <row r="1151" spans="3:5">
      <c r="C1151"/>
      <c r="D1151"/>
      <c r="E1151"/>
    </row>
    <row r="1152" spans="3:5">
      <c r="C1152"/>
      <c r="D1152"/>
      <c r="E1152"/>
    </row>
    <row r="1153" spans="3:5">
      <c r="C1153"/>
      <c r="D1153"/>
      <c r="E1153"/>
    </row>
    <row r="1154" spans="3:5">
      <c r="C1154"/>
      <c r="D1154"/>
      <c r="E1154"/>
    </row>
    <row r="1155" spans="3:5">
      <c r="C1155"/>
      <c r="D1155"/>
      <c r="E1155"/>
    </row>
    <row r="1156" spans="3:5">
      <c r="C1156"/>
      <c r="D1156"/>
      <c r="E1156"/>
    </row>
    <row r="1157" spans="3:5">
      <c r="C1157"/>
      <c r="D1157"/>
      <c r="E1157"/>
    </row>
    <row r="1158" spans="3:5">
      <c r="C1158"/>
      <c r="D1158"/>
      <c r="E1158"/>
    </row>
    <row r="1159" spans="3:5">
      <c r="C1159"/>
      <c r="D1159"/>
      <c r="E1159"/>
    </row>
    <row r="1160" spans="3:5">
      <c r="C1160"/>
      <c r="D1160"/>
      <c r="E1160"/>
    </row>
    <row r="1161" spans="3:5">
      <c r="C1161"/>
      <c r="D1161"/>
      <c r="E1161"/>
    </row>
    <row r="1162" spans="3:5">
      <c r="C1162"/>
      <c r="D1162"/>
      <c r="E1162"/>
    </row>
    <row r="1163" spans="3:5">
      <c r="C1163"/>
      <c r="D1163"/>
      <c r="E1163"/>
    </row>
    <row r="1164" spans="3:5">
      <c r="C1164"/>
      <c r="D1164"/>
      <c r="E1164"/>
    </row>
    <row r="1165" spans="3:5">
      <c r="C1165"/>
      <c r="D1165"/>
      <c r="E1165"/>
    </row>
    <row r="1166" spans="3:5">
      <c r="C1166"/>
      <c r="D1166"/>
      <c r="E1166"/>
    </row>
    <row r="1167" spans="3:5">
      <c r="C1167"/>
      <c r="D1167"/>
      <c r="E1167"/>
    </row>
    <row r="1168" spans="3:5">
      <c r="C1168"/>
      <c r="D1168"/>
      <c r="E1168"/>
    </row>
    <row r="1169" spans="3:5">
      <c r="C1169"/>
      <c r="D1169"/>
      <c r="E1169"/>
    </row>
    <row r="1170" spans="3:5">
      <c r="C1170"/>
      <c r="D1170"/>
      <c r="E1170"/>
    </row>
    <row r="1171" spans="3:5">
      <c r="C1171"/>
      <c r="D1171"/>
      <c r="E1171"/>
    </row>
    <row r="1172" spans="3:5">
      <c r="C1172"/>
      <c r="D1172"/>
      <c r="E1172"/>
    </row>
    <row r="1173" spans="3:5">
      <c r="C1173"/>
      <c r="D1173"/>
      <c r="E1173"/>
    </row>
    <row r="1174" spans="3:5">
      <c r="C1174"/>
      <c r="D1174"/>
      <c r="E1174"/>
    </row>
    <row r="1175" spans="3:5">
      <c r="C1175"/>
      <c r="D1175"/>
      <c r="E1175"/>
    </row>
    <row r="1176" spans="3:5">
      <c r="C1176"/>
      <c r="D1176"/>
      <c r="E1176"/>
    </row>
    <row r="1177" spans="3:5">
      <c r="C1177"/>
      <c r="D1177"/>
      <c r="E1177"/>
    </row>
    <row r="1178" spans="3:5">
      <c r="C1178"/>
      <c r="D1178"/>
      <c r="E1178"/>
    </row>
    <row r="1179" spans="3:5">
      <c r="C1179"/>
      <c r="D1179"/>
      <c r="E1179"/>
    </row>
    <row r="1180" spans="3:5">
      <c r="C1180"/>
      <c r="D1180"/>
      <c r="E1180"/>
    </row>
    <row r="1181" spans="3:5">
      <c r="C1181"/>
      <c r="D1181"/>
      <c r="E1181"/>
    </row>
    <row r="1182" spans="3:5">
      <c r="C1182"/>
      <c r="D1182"/>
      <c r="E1182"/>
    </row>
    <row r="1183" spans="3:5">
      <c r="C1183"/>
      <c r="D1183"/>
      <c r="E1183"/>
    </row>
    <row r="1184" spans="3:5">
      <c r="C1184"/>
      <c r="D1184"/>
      <c r="E1184"/>
    </row>
    <row r="1185" spans="3:5">
      <c r="C1185"/>
      <c r="D1185"/>
      <c r="E1185"/>
    </row>
    <row r="1186" spans="3:5">
      <c r="C1186"/>
      <c r="D1186"/>
      <c r="E1186"/>
    </row>
    <row r="1187" spans="3:5">
      <c r="C1187"/>
      <c r="D1187"/>
      <c r="E1187"/>
    </row>
    <row r="1188" spans="3:5">
      <c r="C1188"/>
      <c r="D1188"/>
      <c r="E1188"/>
    </row>
    <row r="1189" spans="3:5">
      <c r="C1189"/>
      <c r="D1189"/>
      <c r="E1189"/>
    </row>
    <row r="1190" spans="3:5">
      <c r="C1190"/>
      <c r="D1190"/>
      <c r="E1190"/>
    </row>
    <row r="1191" spans="3:5">
      <c r="C1191"/>
      <c r="D1191"/>
      <c r="E1191"/>
    </row>
    <row r="1192" spans="3:5">
      <c r="C1192"/>
      <c r="D1192"/>
      <c r="E1192"/>
    </row>
    <row r="1193" spans="3:5">
      <c r="C1193"/>
      <c r="D1193"/>
      <c r="E1193"/>
    </row>
    <row r="1194" spans="3:5">
      <c r="C1194"/>
      <c r="D1194"/>
      <c r="E1194"/>
    </row>
    <row r="1195" spans="3:5">
      <c r="C1195"/>
      <c r="D1195"/>
      <c r="E1195"/>
    </row>
    <row r="1196" spans="3:5">
      <c r="C1196"/>
      <c r="D1196"/>
      <c r="E1196"/>
    </row>
    <row r="1197" spans="3:5">
      <c r="C1197"/>
      <c r="D1197"/>
      <c r="E1197"/>
    </row>
    <row r="1198" spans="3:5">
      <c r="C1198"/>
      <c r="D1198"/>
      <c r="E1198"/>
    </row>
    <row r="1199" spans="3:5">
      <c r="C1199"/>
      <c r="D1199"/>
      <c r="E1199"/>
    </row>
    <row r="1200" spans="3:5">
      <c r="C1200"/>
      <c r="D1200"/>
      <c r="E1200"/>
    </row>
    <row r="1201" spans="3:5">
      <c r="C1201"/>
      <c r="D1201"/>
      <c r="E1201"/>
    </row>
    <row r="1202" spans="3:5">
      <c r="C1202"/>
      <c r="D1202"/>
      <c r="E1202"/>
    </row>
    <row r="1203" spans="3:5">
      <c r="C1203"/>
      <c r="D1203"/>
      <c r="E1203"/>
    </row>
    <row r="1204" spans="3:5">
      <c r="C1204"/>
      <c r="D1204"/>
      <c r="E1204"/>
    </row>
    <row r="1205" spans="3:5">
      <c r="C1205"/>
      <c r="D1205"/>
      <c r="E1205"/>
    </row>
    <row r="1206" spans="3:5">
      <c r="C1206"/>
      <c r="D1206"/>
      <c r="E1206"/>
    </row>
    <row r="1207" spans="3:5">
      <c r="C1207"/>
      <c r="D1207"/>
      <c r="E1207"/>
    </row>
    <row r="1208" spans="3:5">
      <c r="C1208"/>
      <c r="D1208"/>
      <c r="E1208"/>
    </row>
    <row r="1209" spans="3:5">
      <c r="C1209"/>
      <c r="D1209"/>
      <c r="E1209"/>
    </row>
    <row r="1210" spans="3:5">
      <c r="C1210"/>
      <c r="D1210"/>
      <c r="E1210"/>
    </row>
    <row r="1211" spans="3:5">
      <c r="C1211"/>
      <c r="D1211"/>
      <c r="E1211"/>
    </row>
    <row r="1212" spans="3:5">
      <c r="C1212"/>
      <c r="D1212"/>
      <c r="E1212"/>
    </row>
    <row r="1213" spans="3:5">
      <c r="C1213"/>
      <c r="D1213"/>
      <c r="E1213"/>
    </row>
    <row r="1214" spans="3:5">
      <c r="C1214"/>
      <c r="D1214"/>
      <c r="E1214"/>
    </row>
    <row r="1215" spans="3:5">
      <c r="C1215"/>
      <c r="D1215"/>
      <c r="E1215"/>
    </row>
    <row r="1216" spans="3:5">
      <c r="C1216"/>
      <c r="D1216"/>
      <c r="E1216"/>
    </row>
    <row r="1217" spans="3:5">
      <c r="C1217"/>
      <c r="D1217"/>
      <c r="E1217"/>
    </row>
    <row r="1218" spans="3:5">
      <c r="C1218"/>
      <c r="D1218"/>
      <c r="E1218"/>
    </row>
    <row r="1219" spans="3:5">
      <c r="C1219"/>
      <c r="D1219"/>
      <c r="E1219"/>
    </row>
    <row r="1220" spans="3:5">
      <c r="C1220"/>
      <c r="D1220"/>
      <c r="E1220"/>
    </row>
    <row r="1221" spans="3:5">
      <c r="C1221"/>
      <c r="D1221"/>
      <c r="E1221"/>
    </row>
    <row r="1222" spans="3:5">
      <c r="C1222"/>
      <c r="D1222"/>
      <c r="E1222"/>
    </row>
    <row r="1223" spans="3:5">
      <c r="C1223"/>
      <c r="D1223"/>
      <c r="E1223"/>
    </row>
    <row r="1224" spans="3:5">
      <c r="C1224"/>
      <c r="D1224"/>
      <c r="E1224"/>
    </row>
    <row r="1225" spans="3:5">
      <c r="C1225"/>
      <c r="D1225"/>
      <c r="E1225"/>
    </row>
    <row r="1226" spans="3:5">
      <c r="C1226"/>
      <c r="D1226"/>
      <c r="E1226"/>
    </row>
    <row r="1227" spans="3:5">
      <c r="C1227"/>
      <c r="D1227"/>
      <c r="E1227"/>
    </row>
    <row r="1228" spans="3:5">
      <c r="C1228"/>
      <c r="D1228"/>
      <c r="E1228"/>
    </row>
    <row r="1229" spans="3:5">
      <c r="C1229"/>
      <c r="D1229"/>
      <c r="E1229"/>
    </row>
    <row r="1230" spans="3:5">
      <c r="C1230"/>
      <c r="D1230"/>
      <c r="E1230"/>
    </row>
    <row r="1231" spans="3:5">
      <c r="C1231"/>
      <c r="D1231"/>
      <c r="E1231"/>
    </row>
    <row r="1232" spans="3:5">
      <c r="C1232"/>
      <c r="D1232"/>
      <c r="E1232"/>
    </row>
    <row r="1233" spans="3:5">
      <c r="C1233"/>
      <c r="D1233"/>
      <c r="E1233"/>
    </row>
    <row r="1234" spans="3:5">
      <c r="C1234"/>
      <c r="D1234"/>
      <c r="E1234"/>
    </row>
    <row r="1235" spans="3:5">
      <c r="C1235"/>
      <c r="D1235"/>
      <c r="E1235"/>
    </row>
    <row r="1236" spans="3:5">
      <c r="C1236"/>
      <c r="D1236"/>
      <c r="E1236"/>
    </row>
    <row r="1237" spans="3:5">
      <c r="C1237"/>
      <c r="D1237"/>
      <c r="E1237"/>
    </row>
    <row r="1238" spans="3:5">
      <c r="C1238"/>
      <c r="D1238"/>
      <c r="E1238"/>
    </row>
    <row r="1239" spans="3:5">
      <c r="C1239"/>
      <c r="D1239"/>
      <c r="E1239"/>
    </row>
    <row r="1240" spans="3:5">
      <c r="C1240"/>
      <c r="D1240"/>
      <c r="E1240"/>
    </row>
    <row r="1241" spans="3:5">
      <c r="C1241"/>
      <c r="D1241"/>
      <c r="E1241"/>
    </row>
    <row r="1242" spans="3:5">
      <c r="C1242"/>
      <c r="D1242"/>
      <c r="E1242"/>
    </row>
    <row r="1243" spans="3:5">
      <c r="C1243"/>
      <c r="D1243"/>
      <c r="E1243"/>
    </row>
    <row r="1244" spans="3:5">
      <c r="C1244"/>
      <c r="D1244"/>
      <c r="E1244"/>
    </row>
    <row r="1245" spans="3:5">
      <c r="C1245"/>
      <c r="D1245"/>
      <c r="E1245"/>
    </row>
    <row r="1246" spans="3:5">
      <c r="C1246"/>
      <c r="D1246"/>
      <c r="E1246"/>
    </row>
    <row r="1247" spans="3:5">
      <c r="C1247"/>
      <c r="D1247"/>
      <c r="E1247"/>
    </row>
    <row r="1248" spans="3:5">
      <c r="C1248"/>
      <c r="D1248"/>
      <c r="E1248"/>
    </row>
    <row r="1249" spans="3:5">
      <c r="C1249"/>
      <c r="D1249"/>
      <c r="E1249"/>
    </row>
    <row r="1250" spans="3:5">
      <c r="C1250"/>
      <c r="D1250"/>
      <c r="E1250"/>
    </row>
    <row r="1251" spans="3:5">
      <c r="C1251"/>
      <c r="D1251"/>
      <c r="E1251"/>
    </row>
    <row r="1252" spans="3:5">
      <c r="C1252"/>
      <c r="D1252"/>
      <c r="E1252"/>
    </row>
    <row r="1253" spans="3:5">
      <c r="C1253"/>
      <c r="D1253"/>
      <c r="E1253"/>
    </row>
    <row r="1254" spans="3:5">
      <c r="C1254"/>
      <c r="D1254"/>
      <c r="E1254"/>
    </row>
    <row r="1255" spans="3:5">
      <c r="C1255"/>
      <c r="D1255"/>
      <c r="E1255"/>
    </row>
    <row r="1256" spans="3:5">
      <c r="C1256"/>
      <c r="D1256"/>
      <c r="E1256"/>
    </row>
    <row r="1257" spans="3:5">
      <c r="C1257"/>
      <c r="D1257"/>
      <c r="E1257"/>
    </row>
    <row r="1258" spans="3:5">
      <c r="C1258"/>
      <c r="D1258"/>
      <c r="E1258"/>
    </row>
    <row r="1259" spans="3:5">
      <c r="C1259"/>
      <c r="D1259"/>
      <c r="E1259"/>
    </row>
    <row r="1260" spans="3:5">
      <c r="C1260"/>
      <c r="D1260"/>
      <c r="E1260"/>
    </row>
    <row r="1261" spans="3:5">
      <c r="C1261"/>
      <c r="D1261"/>
      <c r="E1261"/>
    </row>
    <row r="1262" spans="3:5">
      <c r="C1262"/>
      <c r="D1262"/>
      <c r="E1262"/>
    </row>
    <row r="1263" spans="3:5">
      <c r="C1263"/>
      <c r="D1263"/>
      <c r="E1263"/>
    </row>
    <row r="1264" spans="3:5">
      <c r="C1264"/>
      <c r="D1264"/>
      <c r="E1264"/>
    </row>
    <row r="1265" spans="3:5">
      <c r="C1265"/>
      <c r="D1265"/>
      <c r="E1265"/>
    </row>
    <row r="1266" spans="3:5">
      <c r="C1266"/>
      <c r="D1266"/>
      <c r="E1266"/>
    </row>
    <row r="1267" spans="3:5">
      <c r="C1267"/>
      <c r="D1267"/>
      <c r="E1267"/>
    </row>
    <row r="1268" spans="3:5">
      <c r="C1268"/>
      <c r="D1268"/>
      <c r="E1268"/>
    </row>
    <row r="1269" spans="3:5">
      <c r="C1269"/>
      <c r="D1269"/>
      <c r="E1269"/>
    </row>
    <row r="1270" spans="3:5">
      <c r="C1270"/>
      <c r="D1270"/>
      <c r="E1270"/>
    </row>
    <row r="1271" spans="3:5">
      <c r="C1271"/>
      <c r="D1271"/>
      <c r="E1271"/>
    </row>
    <row r="1272" spans="3:5">
      <c r="C1272"/>
      <c r="D1272"/>
      <c r="E1272"/>
    </row>
    <row r="1273" spans="3:5">
      <c r="C1273"/>
      <c r="D1273"/>
      <c r="E1273"/>
    </row>
    <row r="1274" spans="3:5">
      <c r="C1274"/>
      <c r="D1274"/>
      <c r="E1274"/>
    </row>
    <row r="1275" spans="3:5">
      <c r="C1275"/>
      <c r="D1275"/>
      <c r="E1275"/>
    </row>
    <row r="1276" spans="3:5">
      <c r="C1276"/>
      <c r="D1276"/>
      <c r="E1276"/>
    </row>
    <row r="1277" spans="3:5">
      <c r="C1277"/>
      <c r="D1277"/>
      <c r="E1277"/>
    </row>
    <row r="1278" spans="3:5">
      <c r="C1278"/>
      <c r="D1278"/>
      <c r="E1278"/>
    </row>
    <row r="1279" spans="3:5">
      <c r="C1279"/>
      <c r="D1279"/>
      <c r="E1279"/>
    </row>
    <row r="1280" spans="3:5">
      <c r="C1280"/>
      <c r="D1280"/>
      <c r="E1280"/>
    </row>
    <row r="1281" spans="3:5">
      <c r="C1281"/>
      <c r="D1281"/>
      <c r="E1281"/>
    </row>
    <row r="1282" spans="3:5">
      <c r="C1282"/>
      <c r="D1282"/>
      <c r="E1282"/>
    </row>
    <row r="1283" spans="3:5">
      <c r="C1283"/>
      <c r="D1283"/>
      <c r="E1283"/>
    </row>
    <row r="1284" spans="3:5">
      <c r="C1284"/>
      <c r="D1284"/>
      <c r="E1284"/>
    </row>
    <row r="1285" spans="3:5">
      <c r="C1285"/>
      <c r="D1285"/>
      <c r="E1285"/>
    </row>
    <row r="1286" spans="3:5">
      <c r="C1286"/>
      <c r="D1286"/>
      <c r="E1286"/>
    </row>
    <row r="1287" spans="3:5">
      <c r="C1287"/>
      <c r="D1287"/>
      <c r="E1287"/>
    </row>
    <row r="1288" spans="3:5">
      <c r="C1288"/>
      <c r="D1288"/>
      <c r="E1288"/>
    </row>
    <row r="1289" spans="3:5">
      <c r="C1289"/>
      <c r="D1289"/>
      <c r="E1289"/>
    </row>
    <row r="1290" spans="3:5">
      <c r="C1290"/>
      <c r="D1290"/>
      <c r="E1290"/>
    </row>
    <row r="1291" spans="3:5">
      <c r="C1291"/>
      <c r="D1291"/>
      <c r="E1291"/>
    </row>
    <row r="1292" spans="3:5">
      <c r="C1292"/>
      <c r="D1292"/>
      <c r="E1292"/>
    </row>
    <row r="1293" spans="3:5">
      <c r="C1293"/>
      <c r="D1293"/>
      <c r="E1293"/>
    </row>
    <row r="1294" spans="3:5">
      <c r="C1294"/>
      <c r="D1294"/>
      <c r="E1294"/>
    </row>
    <row r="1295" spans="3:5">
      <c r="C1295"/>
      <c r="D1295"/>
      <c r="E1295"/>
    </row>
    <row r="1296" spans="3:5">
      <c r="C1296"/>
      <c r="D1296"/>
      <c r="E1296"/>
    </row>
    <row r="1297" spans="3:5">
      <c r="C1297"/>
      <c r="D1297"/>
      <c r="E1297"/>
    </row>
    <row r="1298" spans="3:5">
      <c r="C1298"/>
      <c r="D1298"/>
      <c r="E1298"/>
    </row>
    <row r="1299" spans="3:5">
      <c r="C1299"/>
      <c r="D1299"/>
      <c r="E1299"/>
    </row>
    <row r="1300" spans="3:5">
      <c r="C1300"/>
      <c r="D1300"/>
      <c r="E1300"/>
    </row>
    <row r="1301" spans="3:5">
      <c r="C1301"/>
      <c r="D1301"/>
      <c r="E1301"/>
    </row>
    <row r="1302" spans="3:5">
      <c r="C1302"/>
      <c r="D1302"/>
      <c r="E1302"/>
    </row>
    <row r="1303" spans="3:5">
      <c r="C1303"/>
      <c r="D1303"/>
      <c r="E1303"/>
    </row>
    <row r="1304" spans="3:5">
      <c r="C1304"/>
      <c r="D1304"/>
      <c r="E1304"/>
    </row>
    <row r="1305" spans="3:5">
      <c r="C1305"/>
      <c r="D1305"/>
      <c r="E1305"/>
    </row>
    <row r="1306" spans="3:5">
      <c r="C1306"/>
      <c r="D1306"/>
      <c r="E1306"/>
    </row>
    <row r="1307" spans="3:5">
      <c r="C1307"/>
      <c r="D1307"/>
      <c r="E1307"/>
    </row>
    <row r="1308" spans="3:5">
      <c r="C1308"/>
      <c r="D1308"/>
      <c r="E1308"/>
    </row>
    <row r="1309" spans="3:5">
      <c r="C1309"/>
      <c r="D1309"/>
      <c r="E1309"/>
    </row>
    <row r="1310" spans="3:5">
      <c r="C1310"/>
      <c r="D1310"/>
      <c r="E1310"/>
    </row>
    <row r="1311" spans="3:5">
      <c r="C1311"/>
      <c r="D1311"/>
      <c r="E1311"/>
    </row>
    <row r="1312" spans="3:5">
      <c r="C1312"/>
      <c r="D1312"/>
      <c r="E1312"/>
    </row>
    <row r="1313" spans="3:5">
      <c r="C1313"/>
      <c r="D1313"/>
      <c r="E1313"/>
    </row>
    <row r="1314" spans="3:5">
      <c r="C1314"/>
      <c r="D1314"/>
      <c r="E1314"/>
    </row>
    <row r="1315" spans="3:5">
      <c r="C1315"/>
      <c r="D1315"/>
      <c r="E1315"/>
    </row>
    <row r="1316" spans="3:5">
      <c r="C1316"/>
      <c r="D1316"/>
      <c r="E1316"/>
    </row>
    <row r="1317" spans="3:5">
      <c r="C1317"/>
      <c r="D1317"/>
      <c r="E1317"/>
    </row>
    <row r="1318" spans="3:5">
      <c r="C1318"/>
      <c r="D1318"/>
      <c r="E1318"/>
    </row>
    <row r="1319" spans="3:5">
      <c r="C1319"/>
      <c r="D1319"/>
      <c r="E1319"/>
    </row>
    <row r="1320" spans="3:5">
      <c r="C1320"/>
      <c r="D1320"/>
      <c r="E1320"/>
    </row>
    <row r="1321" spans="3:5">
      <c r="C1321"/>
      <c r="D1321"/>
      <c r="E1321"/>
    </row>
    <row r="1322" spans="3:5">
      <c r="C1322"/>
      <c r="D1322"/>
      <c r="E1322"/>
    </row>
    <row r="1323" spans="3:5">
      <c r="C1323"/>
      <c r="D1323"/>
      <c r="E1323"/>
    </row>
    <row r="1324" spans="3:5">
      <c r="C1324"/>
      <c r="D1324"/>
      <c r="E1324"/>
    </row>
    <row r="1325" spans="3:5">
      <c r="C1325"/>
      <c r="D1325"/>
      <c r="E1325"/>
    </row>
    <row r="1326" spans="3:5">
      <c r="C1326"/>
      <c r="D1326"/>
      <c r="E1326"/>
    </row>
    <row r="1327" spans="3:5">
      <c r="C1327"/>
      <c r="D1327"/>
      <c r="E1327"/>
    </row>
    <row r="1328" spans="3:5">
      <c r="C1328"/>
      <c r="D1328"/>
      <c r="E1328"/>
    </row>
    <row r="1329" spans="3:5">
      <c r="C1329"/>
      <c r="D1329"/>
      <c r="E1329"/>
    </row>
    <row r="1330" spans="3:5">
      <c r="C1330"/>
      <c r="D1330"/>
      <c r="E1330"/>
    </row>
    <row r="1331" spans="3:5">
      <c r="C1331"/>
      <c r="D1331"/>
      <c r="E1331"/>
    </row>
    <row r="1332" spans="3:5">
      <c r="C1332"/>
      <c r="D1332"/>
      <c r="E1332"/>
    </row>
    <row r="1333" spans="3:5">
      <c r="C1333"/>
      <c r="D1333"/>
      <c r="E1333"/>
    </row>
    <row r="1334" spans="3:5">
      <c r="C1334"/>
      <c r="D1334"/>
      <c r="E1334"/>
    </row>
    <row r="1335" spans="3:5">
      <c r="C1335"/>
      <c r="D1335"/>
      <c r="E1335"/>
    </row>
    <row r="1336" spans="3:5">
      <c r="C1336"/>
      <c r="D1336"/>
      <c r="E1336"/>
    </row>
    <row r="1337" spans="3:5">
      <c r="C1337"/>
      <c r="D1337"/>
      <c r="E1337"/>
    </row>
    <row r="1338" spans="3:5">
      <c r="C1338"/>
      <c r="D1338"/>
      <c r="E1338"/>
    </row>
    <row r="1339" spans="3:5">
      <c r="C1339"/>
      <c r="D1339"/>
      <c r="E1339"/>
    </row>
    <row r="1340" spans="3:5">
      <c r="C1340"/>
      <c r="D1340"/>
      <c r="E1340"/>
    </row>
    <row r="1341" spans="3:5">
      <c r="C1341"/>
      <c r="D1341"/>
      <c r="E1341"/>
    </row>
    <row r="1342" spans="3:5">
      <c r="C1342"/>
      <c r="D1342"/>
      <c r="E1342"/>
    </row>
    <row r="1343" spans="3:5">
      <c r="C1343"/>
      <c r="D1343"/>
      <c r="E1343"/>
    </row>
    <row r="1344" spans="3:5">
      <c r="C1344"/>
      <c r="D1344"/>
      <c r="E1344"/>
    </row>
    <row r="1345" spans="3:5">
      <c r="C1345"/>
      <c r="D1345"/>
      <c r="E1345"/>
    </row>
    <row r="1346" spans="3:5">
      <c r="C1346"/>
      <c r="D1346"/>
      <c r="E1346"/>
    </row>
    <row r="1347" spans="3:5">
      <c r="C1347"/>
      <c r="D1347"/>
      <c r="E1347"/>
    </row>
    <row r="1348" spans="3:5">
      <c r="C1348"/>
      <c r="D1348"/>
      <c r="E1348"/>
    </row>
    <row r="1349" spans="3:5">
      <c r="C1349"/>
      <c r="D1349"/>
      <c r="E1349"/>
    </row>
    <row r="1350" spans="3:5">
      <c r="C1350"/>
      <c r="D1350"/>
      <c r="E1350"/>
    </row>
    <row r="1351" spans="3:5">
      <c r="C1351"/>
      <c r="D1351"/>
      <c r="E1351"/>
    </row>
    <row r="1352" spans="3:5">
      <c r="C1352"/>
      <c r="D1352"/>
      <c r="E1352"/>
    </row>
    <row r="1353" spans="3:5">
      <c r="C1353"/>
      <c r="D1353"/>
      <c r="E1353"/>
    </row>
    <row r="1354" spans="3:5">
      <c r="C1354"/>
      <c r="D1354"/>
      <c r="E1354"/>
    </row>
    <row r="1355" spans="3:5">
      <c r="C1355"/>
      <c r="D1355"/>
      <c r="E1355"/>
    </row>
    <row r="1356" spans="3:5">
      <c r="C1356"/>
      <c r="D1356"/>
      <c r="E1356"/>
    </row>
    <row r="1357" spans="3:5">
      <c r="C1357"/>
      <c r="D1357"/>
      <c r="E1357"/>
    </row>
    <row r="1358" spans="3:5">
      <c r="C1358"/>
      <c r="D1358"/>
      <c r="E1358"/>
    </row>
    <row r="1359" spans="3:5">
      <c r="C1359"/>
      <c r="D1359"/>
      <c r="E1359"/>
    </row>
    <row r="1360" spans="3:5">
      <c r="C1360"/>
      <c r="D1360"/>
      <c r="E1360"/>
    </row>
    <row r="1361" spans="3:5">
      <c r="C1361"/>
      <c r="D1361"/>
      <c r="E1361"/>
    </row>
    <row r="1362" spans="3:5">
      <c r="C1362"/>
      <c r="D1362"/>
      <c r="E1362"/>
    </row>
    <row r="1363" spans="3:5">
      <c r="C1363"/>
      <c r="D1363"/>
      <c r="E1363"/>
    </row>
    <row r="1364" spans="3:5">
      <c r="C1364"/>
      <c r="D1364"/>
      <c r="E1364"/>
    </row>
    <row r="1365" spans="3:5">
      <c r="C1365"/>
      <c r="D1365"/>
      <c r="E1365"/>
    </row>
    <row r="1366" spans="3:5">
      <c r="C1366"/>
      <c r="D1366"/>
      <c r="E1366"/>
    </row>
    <row r="1367" spans="3:5">
      <c r="C1367"/>
      <c r="D1367"/>
      <c r="E1367"/>
    </row>
    <row r="1368" spans="3:5">
      <c r="C1368"/>
      <c r="D1368"/>
      <c r="E1368"/>
    </row>
    <row r="1369" spans="3:5">
      <c r="C1369"/>
      <c r="D1369"/>
      <c r="E1369"/>
    </row>
    <row r="1370" spans="3:5">
      <c r="C1370"/>
      <c r="D1370"/>
      <c r="E1370"/>
    </row>
    <row r="1371" spans="3:5">
      <c r="C1371"/>
      <c r="D1371"/>
      <c r="E1371"/>
    </row>
    <row r="1372" spans="3:5">
      <c r="C1372"/>
      <c r="D1372"/>
      <c r="E1372"/>
    </row>
    <row r="1373" spans="3:5">
      <c r="C1373"/>
      <c r="D1373"/>
      <c r="E1373"/>
    </row>
    <row r="1374" spans="3:5">
      <c r="C1374"/>
      <c r="D1374"/>
      <c r="E1374"/>
    </row>
    <row r="1375" spans="3:5">
      <c r="C1375"/>
      <c r="D1375"/>
      <c r="E1375"/>
    </row>
    <row r="1376" spans="3:5">
      <c r="C1376"/>
      <c r="D1376"/>
      <c r="E1376"/>
    </row>
    <row r="1377" spans="3:5">
      <c r="C1377"/>
      <c r="D1377"/>
      <c r="E1377"/>
    </row>
    <row r="1378" spans="3:5">
      <c r="C1378"/>
      <c r="D1378"/>
      <c r="E1378"/>
    </row>
    <row r="1379" spans="3:5">
      <c r="C1379"/>
      <c r="D1379"/>
      <c r="E1379"/>
    </row>
    <row r="1380" spans="3:5">
      <c r="C1380"/>
      <c r="D1380"/>
      <c r="E1380"/>
    </row>
    <row r="1381" spans="3:5">
      <c r="C1381"/>
      <c r="D1381"/>
      <c r="E1381"/>
    </row>
    <row r="1382" spans="3:5">
      <c r="C1382"/>
      <c r="D1382"/>
      <c r="E1382"/>
    </row>
    <row r="1383" spans="3:5">
      <c r="C1383"/>
      <c r="D1383"/>
      <c r="E1383"/>
    </row>
    <row r="1384" spans="3:5">
      <c r="C1384"/>
      <c r="D1384"/>
      <c r="E1384"/>
    </row>
    <row r="1385" spans="3:5">
      <c r="C1385"/>
      <c r="D1385"/>
      <c r="E1385"/>
    </row>
    <row r="1386" spans="3:5">
      <c r="C1386"/>
      <c r="D1386"/>
      <c r="E1386"/>
    </row>
    <row r="1387" spans="3:5">
      <c r="C1387"/>
      <c r="D1387"/>
      <c r="E1387"/>
    </row>
    <row r="1388" spans="3:5">
      <c r="C1388"/>
      <c r="D1388"/>
      <c r="E1388"/>
    </row>
    <row r="1389" spans="3:5">
      <c r="C1389"/>
      <c r="D1389"/>
      <c r="E1389"/>
    </row>
    <row r="1390" spans="3:5">
      <c r="C1390"/>
      <c r="D1390"/>
      <c r="E1390"/>
    </row>
    <row r="1391" spans="3:5">
      <c r="C1391"/>
      <c r="D1391"/>
      <c r="E1391"/>
    </row>
    <row r="1392" spans="3:5">
      <c r="C1392"/>
      <c r="D1392"/>
      <c r="E1392"/>
    </row>
    <row r="1393" spans="3:5">
      <c r="C1393"/>
      <c r="D1393"/>
      <c r="E1393"/>
    </row>
    <row r="1394" spans="3:5">
      <c r="C1394"/>
      <c r="D1394"/>
      <c r="E1394"/>
    </row>
    <row r="1395" spans="3:5">
      <c r="C1395"/>
      <c r="D1395"/>
      <c r="E1395"/>
    </row>
    <row r="1396" spans="3:5">
      <c r="C1396"/>
      <c r="D1396"/>
      <c r="E1396"/>
    </row>
    <row r="1397" spans="3:5">
      <c r="C1397"/>
      <c r="D1397"/>
      <c r="E1397"/>
    </row>
    <row r="1398" spans="3:5">
      <c r="C1398"/>
      <c r="D1398"/>
      <c r="E1398"/>
    </row>
    <row r="1399" spans="3:5">
      <c r="C1399"/>
      <c r="D1399"/>
      <c r="E1399"/>
    </row>
    <row r="1400" spans="3:5">
      <c r="C1400"/>
      <c r="D1400"/>
      <c r="E1400"/>
    </row>
    <row r="1401" spans="3:5">
      <c r="C1401"/>
      <c r="D1401"/>
      <c r="E1401"/>
    </row>
    <row r="1402" spans="3:5">
      <c r="C1402"/>
      <c r="D1402"/>
      <c r="E1402"/>
    </row>
    <row r="1403" spans="3:5">
      <c r="C1403"/>
      <c r="D1403"/>
      <c r="E1403"/>
    </row>
    <row r="1404" spans="3:5">
      <c r="C1404"/>
      <c r="D1404"/>
      <c r="E1404"/>
    </row>
    <row r="1405" spans="3:5">
      <c r="C1405"/>
      <c r="D1405"/>
      <c r="E1405"/>
    </row>
    <row r="1406" spans="3:5">
      <c r="C1406"/>
      <c r="D1406"/>
      <c r="E1406"/>
    </row>
    <row r="1407" spans="3:5">
      <c r="C1407"/>
      <c r="D1407"/>
      <c r="E1407"/>
    </row>
    <row r="1408" spans="3:5">
      <c r="C1408"/>
      <c r="D1408"/>
      <c r="E1408"/>
    </row>
    <row r="1409" spans="3:5">
      <c r="C1409"/>
      <c r="D1409"/>
      <c r="E1409"/>
    </row>
    <row r="1410" spans="3:5">
      <c r="C1410"/>
      <c r="D1410"/>
      <c r="E1410"/>
    </row>
    <row r="1411" spans="3:5">
      <c r="C1411"/>
      <c r="D1411"/>
      <c r="E1411"/>
    </row>
    <row r="1412" spans="3:5">
      <c r="C1412"/>
      <c r="D1412"/>
      <c r="E1412"/>
    </row>
    <row r="1413" spans="3:5">
      <c r="C1413"/>
      <c r="D1413"/>
      <c r="E1413"/>
    </row>
    <row r="1414" spans="3:5">
      <c r="C1414"/>
      <c r="D1414"/>
      <c r="E1414"/>
    </row>
    <row r="1415" spans="3:5">
      <c r="C1415"/>
      <c r="D1415"/>
      <c r="E1415"/>
    </row>
    <row r="1416" spans="3:5">
      <c r="C1416"/>
      <c r="D1416"/>
      <c r="E1416"/>
    </row>
    <row r="1417" spans="3:5">
      <c r="C1417"/>
      <c r="D1417"/>
      <c r="E1417"/>
    </row>
    <row r="1418" spans="3:5">
      <c r="C1418"/>
      <c r="D1418"/>
      <c r="E1418"/>
    </row>
    <row r="1419" spans="3:5">
      <c r="C1419"/>
      <c r="D1419"/>
      <c r="E1419"/>
    </row>
    <row r="1420" spans="3:5">
      <c r="C1420"/>
      <c r="D1420"/>
      <c r="E1420"/>
    </row>
    <row r="1421" spans="3:5">
      <c r="C1421"/>
      <c r="D1421"/>
      <c r="E1421"/>
    </row>
    <row r="1422" spans="3:5">
      <c r="C1422"/>
      <c r="D1422"/>
      <c r="E1422"/>
    </row>
    <row r="1423" spans="3:5">
      <c r="C1423"/>
      <c r="D1423"/>
      <c r="E1423"/>
    </row>
    <row r="1424" spans="3:5">
      <c r="C1424"/>
      <c r="D1424"/>
      <c r="E1424"/>
    </row>
    <row r="1425" spans="3:5">
      <c r="C1425"/>
      <c r="D1425"/>
      <c r="E1425"/>
    </row>
    <row r="1426" spans="3:5">
      <c r="C1426"/>
      <c r="D1426"/>
      <c r="E1426"/>
    </row>
    <row r="1427" spans="3:5">
      <c r="C1427"/>
      <c r="D1427"/>
      <c r="E1427"/>
    </row>
    <row r="1428" spans="3:5">
      <c r="C1428"/>
      <c r="D1428"/>
      <c r="E1428"/>
    </row>
    <row r="1429" spans="3:5">
      <c r="C1429"/>
      <c r="D1429"/>
      <c r="E1429"/>
    </row>
    <row r="1430" spans="3:5">
      <c r="C1430"/>
      <c r="D1430"/>
      <c r="E1430"/>
    </row>
    <row r="1431" spans="3:5">
      <c r="C1431"/>
      <c r="D1431"/>
      <c r="E1431"/>
    </row>
    <row r="1432" spans="3:5">
      <c r="C1432"/>
      <c r="D1432"/>
      <c r="E1432"/>
    </row>
    <row r="1433" spans="3:5">
      <c r="C1433"/>
      <c r="D1433"/>
      <c r="E1433"/>
    </row>
    <row r="1434" spans="3:5">
      <c r="C1434"/>
      <c r="D1434"/>
      <c r="E1434"/>
    </row>
    <row r="1435" spans="3:5">
      <c r="C1435"/>
      <c r="D1435"/>
      <c r="E1435"/>
    </row>
    <row r="1436" spans="3:5">
      <c r="C1436"/>
      <c r="D1436"/>
      <c r="E1436"/>
    </row>
    <row r="1437" spans="3:5">
      <c r="C1437"/>
      <c r="D1437"/>
      <c r="E1437"/>
    </row>
    <row r="1438" spans="3:5">
      <c r="C1438"/>
      <c r="D1438"/>
      <c r="E1438"/>
    </row>
    <row r="1439" spans="3:5">
      <c r="C1439"/>
      <c r="D1439"/>
      <c r="E1439"/>
    </row>
    <row r="1440" spans="3:5">
      <c r="C1440"/>
      <c r="D1440"/>
      <c r="E1440"/>
    </row>
    <row r="1441" spans="3:5">
      <c r="C1441"/>
      <c r="D1441"/>
      <c r="E1441"/>
    </row>
    <row r="1442" spans="3:5">
      <c r="C1442"/>
      <c r="D1442"/>
      <c r="E1442"/>
    </row>
    <row r="1443" spans="3:5">
      <c r="C1443"/>
      <c r="D1443"/>
      <c r="E1443"/>
    </row>
    <row r="1444" spans="3:5">
      <c r="C1444"/>
      <c r="D1444"/>
      <c r="E1444"/>
    </row>
    <row r="1445" spans="3:5">
      <c r="C1445"/>
      <c r="D1445"/>
      <c r="E1445"/>
    </row>
    <row r="1446" spans="3:5">
      <c r="C1446"/>
      <c r="D1446"/>
      <c r="E1446"/>
    </row>
    <row r="1447" spans="3:5">
      <c r="C1447"/>
      <c r="D1447"/>
      <c r="E1447"/>
    </row>
    <row r="1448" spans="3:5">
      <c r="C1448"/>
      <c r="D1448"/>
      <c r="E1448"/>
    </row>
    <row r="1449" spans="3:5">
      <c r="C1449"/>
      <c r="D1449"/>
      <c r="E1449"/>
    </row>
    <row r="1450" spans="3:5">
      <c r="C1450"/>
      <c r="D1450"/>
      <c r="E1450"/>
    </row>
    <row r="1451" spans="3:5">
      <c r="C1451"/>
      <c r="D1451"/>
      <c r="E1451"/>
    </row>
    <row r="1452" spans="3:5">
      <c r="C1452"/>
      <c r="D1452"/>
      <c r="E1452"/>
    </row>
    <row r="1453" spans="3:5">
      <c r="C1453"/>
      <c r="D1453"/>
      <c r="E1453"/>
    </row>
    <row r="1454" spans="3:5">
      <c r="C1454"/>
      <c r="D1454"/>
      <c r="E1454"/>
    </row>
    <row r="1455" spans="3:5">
      <c r="C1455"/>
      <c r="D1455"/>
      <c r="E1455"/>
    </row>
    <row r="1456" spans="3:5">
      <c r="C1456"/>
      <c r="D1456"/>
      <c r="E1456"/>
    </row>
    <row r="1457" spans="3:5">
      <c r="C1457"/>
      <c r="D1457"/>
      <c r="E1457"/>
    </row>
    <row r="1458" spans="3:5">
      <c r="C1458"/>
      <c r="D1458"/>
      <c r="E1458"/>
    </row>
    <row r="1459" spans="3:5">
      <c r="C1459"/>
      <c r="D1459"/>
      <c r="E1459"/>
    </row>
    <row r="1460" spans="3:5">
      <c r="C1460"/>
      <c r="D1460"/>
      <c r="E1460"/>
    </row>
    <row r="1461" spans="3:5">
      <c r="C1461"/>
      <c r="D1461"/>
      <c r="E1461"/>
    </row>
    <row r="1462" spans="3:5">
      <c r="C1462"/>
      <c r="D1462"/>
      <c r="E1462"/>
    </row>
    <row r="1463" spans="3:5">
      <c r="C1463"/>
      <c r="D1463"/>
      <c r="E1463"/>
    </row>
    <row r="1464" spans="3:5">
      <c r="C1464"/>
      <c r="D1464"/>
      <c r="E1464"/>
    </row>
    <row r="1465" spans="3:5">
      <c r="C1465"/>
      <c r="D1465"/>
      <c r="E1465"/>
    </row>
    <row r="1466" spans="3:5">
      <c r="C1466"/>
      <c r="D1466"/>
      <c r="E1466"/>
    </row>
    <row r="1467" spans="3:5">
      <c r="C1467"/>
      <c r="D1467"/>
      <c r="E1467"/>
    </row>
    <row r="1468" spans="3:5">
      <c r="C1468"/>
      <c r="D1468"/>
      <c r="E1468"/>
    </row>
    <row r="1469" spans="3:5">
      <c r="C1469"/>
      <c r="D1469"/>
      <c r="E1469"/>
    </row>
    <row r="1470" spans="3:5">
      <c r="C1470"/>
      <c r="D1470"/>
      <c r="E1470"/>
    </row>
    <row r="1471" spans="3:5">
      <c r="C1471"/>
      <c r="D1471"/>
      <c r="E1471"/>
    </row>
    <row r="1472" spans="3:5">
      <c r="C1472"/>
      <c r="D1472"/>
      <c r="E1472"/>
    </row>
    <row r="1473" spans="3:5">
      <c r="C1473"/>
      <c r="D1473"/>
      <c r="E1473"/>
    </row>
    <row r="1474" spans="3:5">
      <c r="C1474"/>
      <c r="D1474"/>
      <c r="E1474"/>
    </row>
    <row r="1475" spans="3:5">
      <c r="C1475"/>
      <c r="D1475"/>
      <c r="E1475"/>
    </row>
    <row r="1476" spans="3:5">
      <c r="C1476"/>
      <c r="D1476"/>
      <c r="E1476"/>
    </row>
    <row r="1477" spans="3:5">
      <c r="C1477"/>
      <c r="D1477"/>
      <c r="E1477"/>
    </row>
    <row r="1478" spans="3:5">
      <c r="C1478"/>
      <c r="D1478"/>
      <c r="E1478"/>
    </row>
    <row r="1479" spans="3:5">
      <c r="C1479"/>
      <c r="D1479"/>
      <c r="E1479"/>
    </row>
    <row r="1480" spans="3:5">
      <c r="C1480"/>
      <c r="D1480"/>
      <c r="E1480"/>
    </row>
    <row r="1481" spans="3:5">
      <c r="C1481"/>
      <c r="D1481"/>
      <c r="E1481"/>
    </row>
    <row r="1482" spans="3:5">
      <c r="C1482"/>
      <c r="D1482"/>
      <c r="E1482"/>
    </row>
    <row r="1483" spans="3:5">
      <c r="C1483"/>
      <c r="D1483"/>
      <c r="E1483"/>
    </row>
    <row r="1484" spans="3:5">
      <c r="C1484"/>
      <c r="D1484"/>
      <c r="E1484"/>
    </row>
    <row r="1485" spans="3:5">
      <c r="C1485"/>
      <c r="D1485"/>
      <c r="E1485"/>
    </row>
    <row r="1486" spans="3:5">
      <c r="C1486"/>
      <c r="D1486"/>
      <c r="E1486"/>
    </row>
    <row r="1487" spans="3:5">
      <c r="C1487"/>
      <c r="D1487"/>
      <c r="E1487"/>
    </row>
    <row r="1488" spans="3:5">
      <c r="C1488"/>
      <c r="D1488"/>
      <c r="E1488"/>
    </row>
    <row r="1489" spans="3:5">
      <c r="C1489"/>
      <c r="D1489"/>
      <c r="E1489"/>
    </row>
    <row r="1490" spans="3:5">
      <c r="C1490"/>
      <c r="D1490"/>
      <c r="E1490"/>
    </row>
    <row r="1491" spans="3:5">
      <c r="C1491"/>
      <c r="D1491"/>
      <c r="E1491"/>
    </row>
    <row r="1492" spans="3:5">
      <c r="C1492"/>
      <c r="D1492"/>
      <c r="E1492"/>
    </row>
    <row r="1493" spans="3:5">
      <c r="C1493"/>
      <c r="D1493"/>
      <c r="E1493"/>
    </row>
    <row r="1494" spans="3:5">
      <c r="C1494"/>
      <c r="D1494"/>
      <c r="E1494"/>
    </row>
    <row r="1495" spans="3:5">
      <c r="C1495"/>
      <c r="D1495"/>
      <c r="E1495"/>
    </row>
    <row r="1496" spans="3:5">
      <c r="C1496"/>
      <c r="D1496"/>
      <c r="E1496"/>
    </row>
    <row r="1497" spans="3:5">
      <c r="C1497"/>
      <c r="D1497"/>
      <c r="E1497"/>
    </row>
    <row r="1498" spans="3:5">
      <c r="C1498"/>
      <c r="D1498"/>
      <c r="E1498"/>
    </row>
    <row r="1499" spans="3:5">
      <c r="C1499"/>
      <c r="D1499"/>
      <c r="E1499"/>
    </row>
    <row r="1500" spans="3:5">
      <c r="C1500"/>
      <c r="D1500"/>
      <c r="E1500"/>
    </row>
    <row r="1501" spans="3:5">
      <c r="C1501"/>
      <c r="D1501"/>
      <c r="E1501"/>
    </row>
    <row r="1502" spans="3:5">
      <c r="C1502"/>
      <c r="D1502"/>
      <c r="E1502"/>
    </row>
    <row r="1503" spans="3:5">
      <c r="C1503"/>
      <c r="D1503"/>
      <c r="E1503"/>
    </row>
    <row r="1504" spans="3:5">
      <c r="C1504"/>
      <c r="D1504"/>
      <c r="E1504"/>
    </row>
    <row r="1505" spans="3:5">
      <c r="C1505"/>
      <c r="D1505"/>
      <c r="E1505"/>
    </row>
    <row r="1506" spans="3:5">
      <c r="C1506"/>
      <c r="D1506"/>
      <c r="E1506"/>
    </row>
    <row r="1507" spans="3:5">
      <c r="C1507"/>
      <c r="D1507"/>
      <c r="E1507"/>
    </row>
    <row r="1508" spans="3:5">
      <c r="C1508"/>
      <c r="D1508"/>
      <c r="E1508"/>
    </row>
    <row r="1509" spans="3:5">
      <c r="C1509"/>
      <c r="D1509"/>
      <c r="E1509"/>
    </row>
    <row r="1510" spans="3:5">
      <c r="C1510"/>
      <c r="D1510"/>
      <c r="E1510"/>
    </row>
    <row r="1511" spans="3:5">
      <c r="C1511"/>
      <c r="D1511"/>
      <c r="E1511"/>
    </row>
    <row r="1512" spans="3:5">
      <c r="C1512"/>
      <c r="D1512"/>
      <c r="E1512"/>
    </row>
    <row r="1513" spans="3:5">
      <c r="C1513"/>
      <c r="D1513"/>
      <c r="E1513"/>
    </row>
    <row r="1514" spans="3:5">
      <c r="C1514"/>
      <c r="D1514"/>
      <c r="E1514"/>
    </row>
    <row r="1515" spans="3:5">
      <c r="C1515"/>
      <c r="D1515"/>
      <c r="E1515"/>
    </row>
    <row r="1516" spans="3:5">
      <c r="C1516"/>
      <c r="D1516"/>
      <c r="E1516"/>
    </row>
    <row r="1517" spans="3:5">
      <c r="C1517"/>
      <c r="D1517"/>
      <c r="E1517"/>
    </row>
    <row r="1518" spans="3:5">
      <c r="C1518"/>
      <c r="D1518"/>
      <c r="E1518"/>
    </row>
    <row r="1519" spans="3:5">
      <c r="C1519"/>
      <c r="D1519"/>
      <c r="E1519"/>
    </row>
    <row r="1520" spans="3:5">
      <c r="C1520"/>
      <c r="D1520"/>
      <c r="E1520"/>
    </row>
    <row r="1521" spans="3:5">
      <c r="C1521"/>
      <c r="D1521"/>
      <c r="E1521"/>
    </row>
    <row r="1522" spans="3:5">
      <c r="C1522"/>
      <c r="D1522"/>
      <c r="E1522"/>
    </row>
    <row r="1523" spans="3:5">
      <c r="C1523"/>
      <c r="D1523"/>
      <c r="E1523"/>
    </row>
    <row r="1524" spans="3:5">
      <c r="C1524"/>
      <c r="D1524"/>
      <c r="E1524"/>
    </row>
    <row r="1525" spans="3:5">
      <c r="C1525"/>
      <c r="D1525"/>
      <c r="E1525"/>
    </row>
    <row r="1526" spans="3:5">
      <c r="C1526"/>
      <c r="D1526"/>
      <c r="E1526"/>
    </row>
    <row r="1527" spans="3:5">
      <c r="C1527"/>
      <c r="D1527"/>
      <c r="E1527"/>
    </row>
    <row r="1528" spans="3:5">
      <c r="C1528"/>
      <c r="D1528"/>
      <c r="E1528"/>
    </row>
    <row r="1529" spans="3:5">
      <c r="C1529"/>
      <c r="D1529"/>
      <c r="E1529"/>
    </row>
    <row r="1530" spans="3:5">
      <c r="C1530"/>
      <c r="D1530"/>
      <c r="E1530"/>
    </row>
    <row r="1531" spans="3:5">
      <c r="C1531"/>
      <c r="D1531"/>
      <c r="E1531"/>
    </row>
    <row r="1532" spans="3:5">
      <c r="C1532"/>
      <c r="D1532"/>
      <c r="E1532"/>
    </row>
    <row r="1533" spans="3:5">
      <c r="C1533"/>
      <c r="D1533"/>
      <c r="E1533"/>
    </row>
    <row r="1534" spans="3:5">
      <c r="C1534"/>
      <c r="D1534"/>
      <c r="E1534"/>
    </row>
    <row r="1535" spans="3:5">
      <c r="C1535"/>
      <c r="D1535"/>
      <c r="E1535"/>
    </row>
    <row r="1536" spans="3:5">
      <c r="C1536"/>
      <c r="D1536"/>
      <c r="E1536"/>
    </row>
    <row r="1537" spans="3:5">
      <c r="C1537"/>
      <c r="D1537"/>
      <c r="E1537"/>
    </row>
    <row r="1538" spans="3:5">
      <c r="C1538"/>
      <c r="D1538"/>
      <c r="E1538"/>
    </row>
    <row r="1539" spans="3:5">
      <c r="C1539"/>
      <c r="D1539"/>
      <c r="E1539"/>
    </row>
    <row r="1540" spans="3:5">
      <c r="C1540"/>
      <c r="D1540"/>
      <c r="E1540"/>
    </row>
    <row r="1541" spans="3:5">
      <c r="C1541"/>
      <c r="D1541"/>
      <c r="E1541"/>
    </row>
    <row r="1542" spans="3:5">
      <c r="C1542"/>
      <c r="D1542"/>
      <c r="E1542"/>
    </row>
    <row r="1543" spans="3:5">
      <c r="C1543"/>
      <c r="D1543"/>
      <c r="E1543"/>
    </row>
    <row r="1544" spans="3:5">
      <c r="C1544"/>
      <c r="D1544"/>
      <c r="E1544"/>
    </row>
    <row r="1545" spans="3:5">
      <c r="C1545"/>
      <c r="D1545"/>
      <c r="E1545"/>
    </row>
    <row r="1546" spans="3:5">
      <c r="C1546"/>
      <c r="D1546"/>
      <c r="E1546"/>
    </row>
    <row r="1547" spans="3:5">
      <c r="C1547"/>
      <c r="D1547"/>
      <c r="E1547"/>
    </row>
    <row r="1548" spans="3:5">
      <c r="C1548"/>
      <c r="D1548"/>
      <c r="E1548"/>
    </row>
    <row r="1549" spans="3:5">
      <c r="C1549"/>
      <c r="D1549"/>
      <c r="E1549"/>
    </row>
    <row r="1550" spans="3:5">
      <c r="C1550"/>
      <c r="D1550"/>
      <c r="E1550"/>
    </row>
    <row r="1551" spans="3:5">
      <c r="C1551"/>
      <c r="D1551"/>
      <c r="E1551"/>
    </row>
    <row r="1552" spans="3:5">
      <c r="C1552"/>
      <c r="D1552"/>
      <c r="E1552"/>
    </row>
    <row r="1553" spans="3:5">
      <c r="C1553"/>
      <c r="D1553"/>
      <c r="E1553"/>
    </row>
    <row r="1554" spans="3:5">
      <c r="C1554"/>
      <c r="D1554"/>
      <c r="E1554"/>
    </row>
    <row r="1555" spans="3:5">
      <c r="C1555"/>
      <c r="D1555"/>
      <c r="E1555"/>
    </row>
    <row r="1556" spans="3:5">
      <c r="C1556"/>
      <c r="D1556"/>
      <c r="E1556"/>
    </row>
    <row r="1557" spans="3:5">
      <c r="C1557"/>
      <c r="D1557"/>
      <c r="E1557"/>
    </row>
    <row r="1558" spans="3:5">
      <c r="C1558"/>
      <c r="D1558"/>
      <c r="E1558"/>
    </row>
    <row r="1559" spans="3:5">
      <c r="C1559"/>
      <c r="D1559"/>
      <c r="E1559"/>
    </row>
    <row r="1560" spans="3:5">
      <c r="C1560"/>
      <c r="D1560"/>
      <c r="E1560"/>
    </row>
    <row r="1561" spans="3:5">
      <c r="C1561"/>
      <c r="D1561"/>
      <c r="E1561"/>
    </row>
    <row r="1562" spans="3:5">
      <c r="C1562"/>
      <c r="D1562"/>
      <c r="E1562"/>
    </row>
    <row r="1563" spans="3:5">
      <c r="C1563"/>
      <c r="D1563"/>
      <c r="E1563"/>
    </row>
    <row r="1564" spans="3:5">
      <c r="C1564"/>
      <c r="D1564"/>
      <c r="E1564"/>
    </row>
    <row r="1565" spans="3:5">
      <c r="C1565"/>
      <c r="D1565"/>
      <c r="E1565"/>
    </row>
    <row r="1566" spans="3:5">
      <c r="C1566"/>
      <c r="D1566"/>
      <c r="E1566"/>
    </row>
    <row r="1567" spans="3:5">
      <c r="C1567"/>
      <c r="D1567"/>
      <c r="E1567"/>
    </row>
    <row r="1568" spans="3:5">
      <c r="C1568"/>
      <c r="D1568"/>
      <c r="E1568"/>
    </row>
    <row r="1569" spans="3:5">
      <c r="C1569"/>
      <c r="D1569"/>
      <c r="E1569"/>
    </row>
    <row r="1570" spans="3:5">
      <c r="C1570"/>
      <c r="D1570"/>
      <c r="E1570"/>
    </row>
    <row r="1571" spans="3:5">
      <c r="C1571"/>
      <c r="D1571"/>
      <c r="E1571"/>
    </row>
    <row r="1572" spans="3:5">
      <c r="C1572"/>
      <c r="D1572"/>
      <c r="E1572"/>
    </row>
    <row r="1573" spans="3:5">
      <c r="C1573"/>
      <c r="D1573"/>
      <c r="E1573"/>
    </row>
    <row r="1574" spans="3:5">
      <c r="C1574"/>
      <c r="D1574"/>
      <c r="E1574"/>
    </row>
    <row r="1575" spans="3:5">
      <c r="C1575"/>
      <c r="D1575"/>
      <c r="E1575"/>
    </row>
    <row r="1576" spans="3:5">
      <c r="C1576"/>
      <c r="D1576"/>
      <c r="E1576"/>
    </row>
    <row r="1577" spans="3:5">
      <c r="C1577"/>
      <c r="D1577"/>
      <c r="E1577"/>
    </row>
    <row r="1578" spans="3:5">
      <c r="C1578"/>
      <c r="D1578"/>
      <c r="E1578"/>
    </row>
    <row r="1579" spans="3:5">
      <c r="C1579"/>
      <c r="D1579"/>
      <c r="E1579"/>
    </row>
    <row r="1580" spans="3:5">
      <c r="C1580"/>
      <c r="D1580"/>
      <c r="E1580"/>
    </row>
    <row r="1581" spans="3:5">
      <c r="C1581"/>
      <c r="D1581"/>
      <c r="E1581"/>
    </row>
    <row r="1582" spans="3:5">
      <c r="C1582"/>
      <c r="D1582"/>
      <c r="E1582"/>
    </row>
    <row r="1583" spans="3:5">
      <c r="C1583"/>
      <c r="D1583"/>
      <c r="E1583"/>
    </row>
    <row r="1584" spans="3:5">
      <c r="C1584"/>
      <c r="D1584"/>
      <c r="E1584"/>
    </row>
    <row r="1585" spans="3:5">
      <c r="C1585"/>
      <c r="D1585"/>
      <c r="E1585"/>
    </row>
    <row r="1586" spans="3:5">
      <c r="C1586"/>
      <c r="D1586"/>
      <c r="E1586"/>
    </row>
    <row r="1587" spans="3:5">
      <c r="C1587"/>
      <c r="D1587"/>
      <c r="E1587"/>
    </row>
    <row r="1588" spans="3:5">
      <c r="C1588"/>
      <c r="D1588"/>
      <c r="E1588"/>
    </row>
    <row r="1589" spans="3:5">
      <c r="C1589"/>
      <c r="D1589"/>
      <c r="E1589"/>
    </row>
    <row r="1590" spans="3:5">
      <c r="C1590"/>
      <c r="D1590"/>
      <c r="E1590"/>
    </row>
    <row r="1591" spans="3:5">
      <c r="C1591"/>
      <c r="D1591"/>
      <c r="E1591"/>
    </row>
    <row r="1592" spans="3:5">
      <c r="C1592"/>
      <c r="D1592"/>
      <c r="E1592"/>
    </row>
    <row r="1593" spans="3:5">
      <c r="C1593"/>
      <c r="D1593"/>
      <c r="E1593"/>
    </row>
    <row r="1594" spans="3:5">
      <c r="C1594"/>
      <c r="D1594"/>
      <c r="E1594"/>
    </row>
    <row r="1595" spans="3:5">
      <c r="C1595"/>
      <c r="D1595"/>
      <c r="E1595"/>
    </row>
    <row r="1596" spans="3:5">
      <c r="C1596"/>
      <c r="D1596"/>
      <c r="E1596"/>
    </row>
    <row r="1597" spans="3:5">
      <c r="C1597"/>
      <c r="D1597"/>
      <c r="E1597"/>
    </row>
    <row r="1598" spans="3:5">
      <c r="C1598"/>
      <c r="D1598"/>
      <c r="E1598"/>
    </row>
    <row r="1599" spans="3:5">
      <c r="C1599"/>
      <c r="D1599"/>
      <c r="E1599"/>
    </row>
    <row r="1600" spans="3:5">
      <c r="C1600"/>
      <c r="D1600"/>
      <c r="E1600"/>
    </row>
    <row r="1601" spans="3:5">
      <c r="C1601"/>
      <c r="D1601"/>
      <c r="E1601"/>
    </row>
    <row r="1602" spans="3:5">
      <c r="C1602"/>
      <c r="D1602"/>
      <c r="E1602"/>
    </row>
    <row r="1603" spans="3:5">
      <c r="C1603"/>
      <c r="D1603"/>
      <c r="E1603"/>
    </row>
    <row r="1604" spans="3:5">
      <c r="C1604"/>
      <c r="D1604"/>
      <c r="E1604"/>
    </row>
    <row r="1605" spans="3:5">
      <c r="C1605"/>
      <c r="D1605"/>
      <c r="E1605"/>
    </row>
    <row r="1606" spans="3:5">
      <c r="C1606"/>
      <c r="D1606"/>
      <c r="E1606"/>
    </row>
    <row r="1607" spans="3:5">
      <c r="C1607"/>
      <c r="D1607"/>
      <c r="E1607"/>
    </row>
    <row r="1608" spans="3:5">
      <c r="C1608"/>
      <c r="D1608"/>
      <c r="E1608"/>
    </row>
    <row r="1609" spans="3:5">
      <c r="C1609"/>
      <c r="D1609"/>
      <c r="E1609"/>
    </row>
    <row r="1610" spans="3:5">
      <c r="C1610"/>
      <c r="D1610"/>
      <c r="E1610"/>
    </row>
    <row r="1611" spans="3:5">
      <c r="C1611"/>
      <c r="D1611"/>
      <c r="E1611"/>
    </row>
    <row r="1612" spans="3:5">
      <c r="C1612"/>
      <c r="D1612"/>
      <c r="E1612"/>
    </row>
    <row r="1613" spans="3:5">
      <c r="C1613"/>
      <c r="D1613"/>
      <c r="E1613"/>
    </row>
    <row r="1614" spans="3:5">
      <c r="C1614"/>
      <c r="D1614"/>
      <c r="E1614"/>
    </row>
    <row r="1615" spans="3:5">
      <c r="C1615"/>
      <c r="D1615"/>
      <c r="E1615"/>
    </row>
    <row r="1616" spans="3:5">
      <c r="C1616"/>
      <c r="D1616"/>
      <c r="E1616"/>
    </row>
    <row r="1617" spans="3:5">
      <c r="C1617"/>
      <c r="D1617"/>
      <c r="E1617"/>
    </row>
    <row r="1618" spans="3:5">
      <c r="C1618"/>
      <c r="D1618"/>
      <c r="E1618"/>
    </row>
    <row r="1619" spans="3:5">
      <c r="C1619"/>
      <c r="D1619"/>
      <c r="E1619"/>
    </row>
    <row r="1620" spans="3:5">
      <c r="C1620"/>
      <c r="D1620"/>
      <c r="E1620"/>
    </row>
    <row r="1621" spans="3:5">
      <c r="C1621"/>
      <c r="D1621"/>
      <c r="E1621"/>
    </row>
    <row r="1622" spans="3:5">
      <c r="C1622"/>
      <c r="D1622"/>
      <c r="E1622"/>
    </row>
    <row r="1623" spans="3:5">
      <c r="C1623"/>
      <c r="D1623"/>
      <c r="E1623"/>
    </row>
    <row r="1624" spans="3:5">
      <c r="C1624"/>
      <c r="D1624"/>
      <c r="E1624"/>
    </row>
    <row r="1625" spans="3:5">
      <c r="C1625"/>
      <c r="D1625"/>
      <c r="E1625"/>
    </row>
    <row r="1626" spans="3:5">
      <c r="C1626"/>
      <c r="D1626"/>
      <c r="E1626"/>
    </row>
    <row r="1627" spans="3:5">
      <c r="C1627"/>
      <c r="D1627"/>
      <c r="E1627"/>
    </row>
    <row r="1628" spans="3:5">
      <c r="C1628"/>
      <c r="D1628"/>
      <c r="E1628"/>
    </row>
    <row r="1629" spans="3:5">
      <c r="C1629"/>
      <c r="D1629"/>
      <c r="E1629"/>
    </row>
    <row r="1630" spans="3:5">
      <c r="C1630"/>
      <c r="D1630"/>
      <c r="E1630"/>
    </row>
    <row r="1631" spans="3:5">
      <c r="C1631"/>
      <c r="D1631"/>
      <c r="E1631"/>
    </row>
    <row r="1632" spans="3:5">
      <c r="C1632"/>
      <c r="D1632"/>
      <c r="E1632"/>
    </row>
    <row r="1633" spans="3:5">
      <c r="C1633"/>
      <c r="D1633"/>
      <c r="E1633"/>
    </row>
    <row r="1634" spans="3:5">
      <c r="C1634"/>
      <c r="D1634"/>
      <c r="E1634"/>
    </row>
    <row r="1635" spans="3:5">
      <c r="C1635"/>
      <c r="D1635"/>
      <c r="E1635"/>
    </row>
    <row r="1636" spans="3:5">
      <c r="C1636"/>
      <c r="D1636"/>
      <c r="E1636"/>
    </row>
    <row r="1637" spans="3:5">
      <c r="C1637"/>
      <c r="D1637"/>
      <c r="E1637"/>
    </row>
    <row r="1638" spans="3:5">
      <c r="C1638"/>
      <c r="D1638"/>
      <c r="E1638"/>
    </row>
    <row r="1639" spans="3:5">
      <c r="C1639"/>
      <c r="D1639"/>
      <c r="E1639"/>
    </row>
    <row r="1640" spans="3:5">
      <c r="C1640"/>
      <c r="D1640"/>
      <c r="E1640"/>
    </row>
    <row r="1641" spans="3:5">
      <c r="C1641"/>
      <c r="D1641"/>
      <c r="E1641"/>
    </row>
    <row r="1642" spans="3:5">
      <c r="C1642"/>
      <c r="D1642"/>
      <c r="E1642"/>
    </row>
    <row r="1643" spans="3:5">
      <c r="C1643"/>
      <c r="D1643"/>
      <c r="E1643"/>
    </row>
    <row r="1644" spans="3:5">
      <c r="C1644"/>
      <c r="D1644"/>
      <c r="E1644"/>
    </row>
    <row r="1645" spans="3:5">
      <c r="C1645"/>
      <c r="D1645"/>
      <c r="E1645"/>
    </row>
    <row r="1646" spans="3:5">
      <c r="C1646"/>
      <c r="D1646"/>
      <c r="E1646"/>
    </row>
    <row r="1647" spans="3:5">
      <c r="C1647"/>
      <c r="D1647"/>
      <c r="E1647"/>
    </row>
    <row r="1648" spans="3:5">
      <c r="C1648"/>
      <c r="D1648"/>
      <c r="E1648"/>
    </row>
    <row r="1649" spans="3:5">
      <c r="C1649"/>
      <c r="D1649"/>
      <c r="E1649"/>
    </row>
    <row r="1650" spans="3:5">
      <c r="C1650"/>
      <c r="D1650"/>
      <c r="E1650"/>
    </row>
    <row r="1651" spans="3:5">
      <c r="C1651"/>
      <c r="D1651"/>
      <c r="E1651"/>
    </row>
    <row r="1652" spans="3:5">
      <c r="C1652"/>
      <c r="D1652"/>
      <c r="E1652"/>
    </row>
    <row r="1653" spans="3:5">
      <c r="C1653"/>
      <c r="D1653"/>
      <c r="E1653"/>
    </row>
    <row r="1654" spans="3:5">
      <c r="C1654"/>
      <c r="D1654"/>
      <c r="E1654"/>
    </row>
    <row r="1655" spans="3:5">
      <c r="C1655"/>
      <c r="D1655"/>
      <c r="E1655"/>
    </row>
    <row r="1656" spans="3:5">
      <c r="C1656"/>
      <c r="D1656"/>
      <c r="E1656"/>
    </row>
    <row r="1657" spans="3:5">
      <c r="C1657"/>
      <c r="D1657"/>
      <c r="E1657"/>
    </row>
    <row r="1658" spans="3:5">
      <c r="C1658"/>
      <c r="D1658"/>
      <c r="E1658"/>
    </row>
    <row r="1659" spans="3:5">
      <c r="C1659"/>
      <c r="D1659"/>
      <c r="E1659"/>
    </row>
    <row r="1660" spans="3:5">
      <c r="C1660"/>
      <c r="D1660"/>
      <c r="E1660"/>
    </row>
    <row r="1661" spans="3:5">
      <c r="C1661"/>
      <c r="D1661"/>
      <c r="E1661"/>
    </row>
    <row r="1662" spans="3:5">
      <c r="C1662"/>
      <c r="D1662"/>
      <c r="E1662"/>
    </row>
    <row r="1663" spans="3:5">
      <c r="C1663"/>
      <c r="D1663"/>
      <c r="E1663"/>
    </row>
    <row r="1664" spans="3:5">
      <c r="C1664"/>
      <c r="D1664"/>
      <c r="E1664"/>
    </row>
    <row r="1665" spans="3:5">
      <c r="C1665"/>
      <c r="D1665"/>
      <c r="E1665"/>
    </row>
    <row r="1666" spans="3:5">
      <c r="C1666"/>
      <c r="D1666"/>
      <c r="E1666"/>
    </row>
    <row r="1667" spans="3:5">
      <c r="C1667"/>
      <c r="D1667"/>
      <c r="E1667"/>
    </row>
    <row r="1668" spans="3:5">
      <c r="C1668"/>
      <c r="D1668"/>
      <c r="E1668"/>
    </row>
    <row r="1669" spans="3:5">
      <c r="C1669"/>
      <c r="D1669"/>
      <c r="E1669"/>
    </row>
    <row r="1670" spans="3:5">
      <c r="C1670"/>
      <c r="D1670"/>
      <c r="E1670"/>
    </row>
    <row r="1671" spans="3:5">
      <c r="C1671"/>
      <c r="D1671"/>
      <c r="E1671"/>
    </row>
    <row r="1672" spans="3:5">
      <c r="C1672"/>
      <c r="D1672"/>
      <c r="E1672"/>
    </row>
    <row r="1673" spans="3:5">
      <c r="C1673"/>
      <c r="D1673"/>
      <c r="E1673"/>
    </row>
    <row r="1674" spans="3:5">
      <c r="C1674"/>
      <c r="D1674"/>
      <c r="E1674"/>
    </row>
    <row r="1675" spans="3:5">
      <c r="C1675"/>
      <c r="D1675"/>
      <c r="E1675"/>
    </row>
    <row r="1676" spans="3:5">
      <c r="C1676"/>
      <c r="D1676"/>
      <c r="E1676"/>
    </row>
    <row r="1677" spans="3:5">
      <c r="C1677"/>
      <c r="D1677"/>
      <c r="E1677"/>
    </row>
    <row r="1678" spans="3:5">
      <c r="C1678"/>
      <c r="D1678"/>
      <c r="E1678"/>
    </row>
    <row r="1679" spans="3:5">
      <c r="C1679"/>
      <c r="D1679"/>
      <c r="E1679"/>
    </row>
    <row r="1680" spans="3:5">
      <c r="C1680"/>
      <c r="D1680"/>
      <c r="E1680"/>
    </row>
    <row r="1681" spans="3:5">
      <c r="C1681"/>
      <c r="D1681"/>
      <c r="E1681"/>
    </row>
    <row r="1682" spans="3:5">
      <c r="C1682"/>
      <c r="D1682"/>
      <c r="E1682"/>
    </row>
    <row r="1683" spans="3:5">
      <c r="C1683"/>
      <c r="D1683"/>
      <c r="E1683"/>
    </row>
    <row r="1684" spans="3:5">
      <c r="C1684"/>
      <c r="D1684"/>
      <c r="E1684"/>
    </row>
    <row r="1685" spans="3:5">
      <c r="C1685"/>
      <c r="D1685"/>
      <c r="E1685"/>
    </row>
    <row r="1686" spans="3:5">
      <c r="C1686"/>
      <c r="D1686"/>
      <c r="E1686"/>
    </row>
    <row r="1687" spans="3:5">
      <c r="C1687"/>
      <c r="D1687"/>
      <c r="E1687"/>
    </row>
    <row r="1688" spans="3:5">
      <c r="C1688"/>
      <c r="D1688"/>
      <c r="E1688"/>
    </row>
    <row r="1689" spans="3:5">
      <c r="C1689"/>
      <c r="D1689"/>
      <c r="E1689"/>
    </row>
    <row r="1690" spans="3:5">
      <c r="C1690"/>
      <c r="D1690"/>
      <c r="E1690"/>
    </row>
    <row r="1691" spans="3:5">
      <c r="C1691"/>
      <c r="D1691"/>
      <c r="E1691"/>
    </row>
    <row r="1692" spans="3:5">
      <c r="C1692"/>
      <c r="D1692"/>
      <c r="E1692"/>
    </row>
    <row r="1693" spans="3:5">
      <c r="C1693"/>
      <c r="D1693"/>
      <c r="E1693"/>
    </row>
    <row r="1694" spans="3:5">
      <c r="C1694"/>
      <c r="D1694"/>
      <c r="E1694"/>
    </row>
    <row r="1695" spans="3:5">
      <c r="C1695"/>
      <c r="D1695"/>
      <c r="E1695"/>
    </row>
    <row r="1696" spans="3:5">
      <c r="C1696"/>
      <c r="D1696"/>
      <c r="E1696"/>
    </row>
    <row r="1697" spans="3:5">
      <c r="C1697"/>
      <c r="D1697"/>
      <c r="E1697"/>
    </row>
    <row r="1698" spans="3:5">
      <c r="C1698"/>
      <c r="D1698"/>
      <c r="E1698"/>
    </row>
    <row r="1699" spans="3:5">
      <c r="C1699"/>
      <c r="D1699"/>
      <c r="E1699"/>
    </row>
    <row r="1700" spans="3:5">
      <c r="C1700"/>
      <c r="D1700"/>
      <c r="E1700"/>
    </row>
    <row r="1701" spans="3:5">
      <c r="C1701"/>
      <c r="D1701"/>
      <c r="E1701"/>
    </row>
    <row r="1702" spans="3:5">
      <c r="C1702"/>
      <c r="D1702"/>
      <c r="E1702"/>
    </row>
    <row r="1703" spans="3:5">
      <c r="C1703"/>
      <c r="D1703"/>
      <c r="E1703"/>
    </row>
    <row r="1704" spans="3:5">
      <c r="C1704"/>
      <c r="D1704"/>
      <c r="E1704"/>
    </row>
    <row r="1705" spans="3:5">
      <c r="C1705"/>
      <c r="D1705"/>
      <c r="E1705"/>
    </row>
    <row r="1706" spans="3:5">
      <c r="C1706"/>
      <c r="D1706"/>
      <c r="E1706"/>
    </row>
    <row r="1707" spans="3:5">
      <c r="C1707"/>
      <c r="D1707"/>
      <c r="E1707"/>
    </row>
    <row r="1708" spans="3:5">
      <c r="C1708"/>
      <c r="D1708"/>
      <c r="E1708"/>
    </row>
    <row r="1709" spans="3:5">
      <c r="C1709"/>
      <c r="D1709"/>
      <c r="E1709"/>
    </row>
    <row r="1710" spans="3:5">
      <c r="C1710"/>
      <c r="D1710"/>
      <c r="E1710"/>
    </row>
    <row r="1711" spans="3:5">
      <c r="C1711"/>
      <c r="D1711"/>
      <c r="E1711"/>
    </row>
    <row r="1712" spans="3:5">
      <c r="C1712"/>
      <c r="D1712"/>
      <c r="E1712"/>
    </row>
    <row r="1713" spans="3:5">
      <c r="C1713"/>
      <c r="D1713"/>
      <c r="E1713"/>
    </row>
    <row r="1714" spans="3:5">
      <c r="C1714"/>
      <c r="D1714"/>
      <c r="E1714"/>
    </row>
    <row r="1715" spans="3:5">
      <c r="C1715"/>
      <c r="D1715"/>
      <c r="E1715"/>
    </row>
    <row r="1716" spans="3:5">
      <c r="C1716"/>
      <c r="D1716"/>
      <c r="E1716"/>
    </row>
    <row r="1717" spans="3:5">
      <c r="C1717"/>
      <c r="D1717"/>
      <c r="E1717"/>
    </row>
    <row r="1718" spans="3:5">
      <c r="C1718"/>
      <c r="D1718"/>
      <c r="E1718"/>
    </row>
    <row r="1719" spans="3:5">
      <c r="C1719"/>
      <c r="D1719"/>
      <c r="E1719"/>
    </row>
    <row r="1720" spans="3:5">
      <c r="C1720"/>
      <c r="D1720"/>
      <c r="E1720"/>
    </row>
    <row r="1721" spans="3:5">
      <c r="C1721"/>
      <c r="D1721"/>
      <c r="E1721"/>
    </row>
    <row r="1722" spans="3:5">
      <c r="C1722"/>
      <c r="D1722"/>
      <c r="E1722"/>
    </row>
    <row r="1723" spans="3:5">
      <c r="C1723"/>
      <c r="D1723"/>
      <c r="E1723"/>
    </row>
    <row r="1724" spans="3:5">
      <c r="C1724"/>
      <c r="D1724"/>
      <c r="E1724"/>
    </row>
    <row r="1725" spans="3:5">
      <c r="C1725"/>
      <c r="D1725"/>
      <c r="E1725"/>
    </row>
    <row r="1726" spans="3:5">
      <c r="C1726"/>
      <c r="D1726"/>
      <c r="E1726"/>
    </row>
    <row r="1727" spans="3:5">
      <c r="C1727"/>
      <c r="D1727"/>
      <c r="E1727"/>
    </row>
    <row r="1728" spans="3:5">
      <c r="C1728"/>
      <c r="D1728"/>
      <c r="E1728"/>
    </row>
    <row r="1729" spans="3:5">
      <c r="C1729"/>
      <c r="D1729"/>
      <c r="E1729"/>
    </row>
    <row r="1730" spans="3:5">
      <c r="C1730"/>
      <c r="D1730"/>
      <c r="E1730"/>
    </row>
    <row r="1731" spans="3:5">
      <c r="C1731"/>
      <c r="D1731"/>
      <c r="E1731"/>
    </row>
    <row r="1732" spans="3:5">
      <c r="C1732"/>
      <c r="D1732"/>
      <c r="E1732"/>
    </row>
    <row r="1733" spans="3:5">
      <c r="C1733"/>
      <c r="D1733"/>
      <c r="E1733"/>
    </row>
    <row r="1734" spans="3:5">
      <c r="C1734"/>
      <c r="D1734"/>
      <c r="E1734"/>
    </row>
    <row r="1735" spans="3:5">
      <c r="C1735"/>
      <c r="D1735"/>
      <c r="E1735"/>
    </row>
    <row r="1736" spans="3:5">
      <c r="C1736"/>
      <c r="D1736"/>
      <c r="E1736"/>
    </row>
    <row r="1737" spans="3:5">
      <c r="C1737"/>
      <c r="D1737"/>
      <c r="E1737"/>
    </row>
    <row r="1738" spans="3:5">
      <c r="C1738"/>
      <c r="D1738"/>
      <c r="E1738"/>
    </row>
    <row r="1739" spans="3:5">
      <c r="C1739"/>
      <c r="D1739"/>
      <c r="E1739"/>
    </row>
    <row r="1740" spans="3:5">
      <c r="C1740"/>
      <c r="D1740"/>
      <c r="E1740"/>
    </row>
    <row r="1741" spans="3:5">
      <c r="C1741"/>
      <c r="D1741"/>
      <c r="E1741"/>
    </row>
    <row r="1742" spans="3:5">
      <c r="C1742"/>
      <c r="D1742"/>
      <c r="E1742"/>
    </row>
    <row r="1743" spans="3:5">
      <c r="C1743"/>
      <c r="D1743"/>
      <c r="E1743"/>
    </row>
    <row r="1744" spans="3:5">
      <c r="C1744"/>
      <c r="D1744"/>
      <c r="E1744"/>
    </row>
    <row r="1745" spans="3:5">
      <c r="C1745"/>
      <c r="D1745"/>
      <c r="E1745"/>
    </row>
    <row r="1746" spans="3:5">
      <c r="C1746"/>
      <c r="D1746"/>
      <c r="E1746"/>
    </row>
    <row r="1747" spans="3:5">
      <c r="C1747"/>
      <c r="D1747"/>
      <c r="E1747"/>
    </row>
    <row r="1748" spans="3:5">
      <c r="C1748"/>
      <c r="D1748"/>
      <c r="E1748"/>
    </row>
    <row r="1749" spans="3:5">
      <c r="C1749"/>
      <c r="D1749"/>
      <c r="E1749"/>
    </row>
    <row r="1750" spans="3:5">
      <c r="C1750"/>
      <c r="D1750"/>
      <c r="E1750"/>
    </row>
    <row r="1751" spans="3:5">
      <c r="C1751"/>
      <c r="D1751"/>
      <c r="E1751"/>
    </row>
    <row r="1752" spans="3:5">
      <c r="C1752"/>
      <c r="D1752"/>
      <c r="E1752"/>
    </row>
    <row r="1753" spans="3:5">
      <c r="C1753"/>
      <c r="D1753"/>
      <c r="E1753"/>
    </row>
    <row r="1754" spans="3:5">
      <c r="C1754"/>
      <c r="D1754"/>
      <c r="E1754"/>
    </row>
    <row r="1755" spans="3:5">
      <c r="C1755"/>
      <c r="D1755"/>
      <c r="E1755"/>
    </row>
    <row r="1756" spans="3:5">
      <c r="C1756"/>
      <c r="D1756"/>
      <c r="E1756"/>
    </row>
    <row r="1757" spans="3:5">
      <c r="C1757"/>
      <c r="D1757"/>
      <c r="E1757"/>
    </row>
    <row r="1758" spans="3:5">
      <c r="C1758"/>
      <c r="D1758"/>
      <c r="E1758"/>
    </row>
    <row r="1759" spans="3:5">
      <c r="C1759"/>
      <c r="D1759"/>
      <c r="E1759"/>
    </row>
    <row r="1760" spans="3:5">
      <c r="C1760"/>
      <c r="D1760"/>
      <c r="E1760"/>
    </row>
    <row r="1761" spans="3:5">
      <c r="C1761"/>
      <c r="D1761"/>
      <c r="E1761"/>
    </row>
    <row r="1762" spans="3:5">
      <c r="C1762"/>
      <c r="D1762"/>
      <c r="E1762"/>
    </row>
    <row r="1763" spans="3:5">
      <c r="C1763"/>
      <c r="D1763"/>
      <c r="E1763"/>
    </row>
    <row r="1764" spans="3:5">
      <c r="C1764"/>
      <c r="D1764"/>
      <c r="E1764"/>
    </row>
    <row r="1765" spans="3:5">
      <c r="C1765"/>
      <c r="D1765"/>
      <c r="E1765"/>
    </row>
    <row r="1766" spans="3:5">
      <c r="C1766"/>
      <c r="D1766"/>
      <c r="E1766"/>
    </row>
    <row r="1767" spans="3:5">
      <c r="C1767"/>
      <c r="D1767"/>
      <c r="E1767"/>
    </row>
    <row r="1768" spans="3:5">
      <c r="C1768"/>
      <c r="D1768"/>
      <c r="E1768"/>
    </row>
    <row r="1769" spans="3:5">
      <c r="C1769"/>
      <c r="D1769"/>
      <c r="E1769"/>
    </row>
    <row r="1770" spans="3:5">
      <c r="C1770"/>
      <c r="D1770"/>
      <c r="E1770"/>
    </row>
    <row r="1771" spans="3:5">
      <c r="C1771"/>
      <c r="D1771"/>
      <c r="E1771"/>
    </row>
    <row r="1772" spans="3:5">
      <c r="C1772"/>
      <c r="D1772"/>
      <c r="E1772"/>
    </row>
    <row r="1773" spans="3:5">
      <c r="C1773"/>
      <c r="D1773"/>
      <c r="E1773"/>
    </row>
    <row r="1774" spans="3:5">
      <c r="C1774"/>
      <c r="D1774"/>
      <c r="E1774"/>
    </row>
    <row r="1775" spans="3:5">
      <c r="C1775"/>
      <c r="D1775"/>
      <c r="E1775"/>
    </row>
    <row r="1776" spans="3:5">
      <c r="C1776"/>
      <c r="D1776"/>
      <c r="E1776"/>
    </row>
    <row r="1777" spans="3:5">
      <c r="C1777"/>
      <c r="D1777"/>
      <c r="E1777"/>
    </row>
    <row r="1778" spans="3:5">
      <c r="C1778"/>
      <c r="D1778"/>
      <c r="E1778"/>
    </row>
    <row r="1779" spans="3:5">
      <c r="C1779"/>
      <c r="D1779"/>
      <c r="E1779"/>
    </row>
    <row r="1780" spans="3:5">
      <c r="C1780"/>
      <c r="D1780"/>
      <c r="E1780"/>
    </row>
    <row r="1781" spans="3:5">
      <c r="C1781"/>
      <c r="D1781"/>
      <c r="E1781"/>
    </row>
    <row r="1782" spans="3:5">
      <c r="C1782"/>
      <c r="D1782"/>
      <c r="E1782"/>
    </row>
    <row r="1783" spans="3:5">
      <c r="C1783"/>
      <c r="D1783"/>
      <c r="E1783"/>
    </row>
    <row r="1784" spans="3:5">
      <c r="C1784"/>
      <c r="D1784"/>
      <c r="E1784"/>
    </row>
    <row r="1785" spans="3:5">
      <c r="C1785"/>
      <c r="D1785"/>
      <c r="E1785"/>
    </row>
    <row r="1786" spans="3:5">
      <c r="C1786"/>
      <c r="D1786"/>
      <c r="E1786"/>
    </row>
    <row r="1787" spans="3:5">
      <c r="C1787"/>
      <c r="D1787"/>
      <c r="E1787"/>
    </row>
    <row r="1788" spans="3:5">
      <c r="C1788"/>
      <c r="D1788"/>
      <c r="E1788"/>
    </row>
    <row r="1789" spans="3:5">
      <c r="C1789"/>
      <c r="D1789"/>
      <c r="E1789"/>
    </row>
    <row r="1790" spans="3:5">
      <c r="C1790"/>
      <c r="D1790"/>
      <c r="E1790"/>
    </row>
    <row r="1791" spans="3:5">
      <c r="C1791"/>
      <c r="D1791"/>
      <c r="E1791"/>
    </row>
    <row r="1792" spans="3:5">
      <c r="C1792"/>
      <c r="D1792"/>
      <c r="E1792"/>
    </row>
    <row r="1793" spans="3:5">
      <c r="C1793"/>
      <c r="D1793"/>
      <c r="E1793"/>
    </row>
    <row r="1794" spans="3:5">
      <c r="C1794"/>
      <c r="D1794"/>
      <c r="E1794"/>
    </row>
    <row r="1795" spans="3:5">
      <c r="C1795"/>
      <c r="D1795"/>
      <c r="E1795"/>
    </row>
    <row r="1796" spans="3:5">
      <c r="C1796"/>
      <c r="D1796"/>
      <c r="E1796"/>
    </row>
    <row r="1797" spans="3:5">
      <c r="C1797"/>
      <c r="D1797"/>
      <c r="E1797"/>
    </row>
    <row r="1798" spans="3:5">
      <c r="C1798"/>
      <c r="D1798"/>
      <c r="E1798"/>
    </row>
    <row r="1799" spans="3:5">
      <c r="C1799"/>
      <c r="D1799"/>
      <c r="E1799"/>
    </row>
    <row r="1800" spans="3:5">
      <c r="C1800"/>
      <c r="D1800"/>
      <c r="E1800"/>
    </row>
    <row r="1801" spans="3:5">
      <c r="C1801"/>
      <c r="D1801"/>
      <c r="E1801"/>
    </row>
    <row r="1802" spans="3:5">
      <c r="C1802"/>
      <c r="D1802"/>
      <c r="E1802"/>
    </row>
    <row r="1803" spans="3:5">
      <c r="C1803"/>
      <c r="D1803"/>
      <c r="E1803"/>
    </row>
    <row r="1804" spans="3:5">
      <c r="C1804"/>
      <c r="D1804"/>
      <c r="E1804"/>
    </row>
    <row r="1805" spans="3:5">
      <c r="C1805"/>
      <c r="D1805"/>
      <c r="E1805"/>
    </row>
    <row r="1806" spans="3:5">
      <c r="C1806"/>
      <c r="D1806"/>
      <c r="E1806"/>
    </row>
    <row r="1807" spans="3:5">
      <c r="C1807"/>
      <c r="D1807"/>
      <c r="E1807"/>
    </row>
    <row r="1808" spans="3:5">
      <c r="C1808"/>
      <c r="D1808"/>
      <c r="E1808"/>
    </row>
    <row r="1809" spans="3:5">
      <c r="C1809"/>
      <c r="D1809"/>
      <c r="E1809"/>
    </row>
    <row r="1810" spans="3:5">
      <c r="C1810"/>
      <c r="D1810"/>
      <c r="E1810"/>
    </row>
    <row r="1811" spans="3:5">
      <c r="C1811"/>
      <c r="D1811"/>
      <c r="E1811"/>
    </row>
    <row r="1812" spans="3:5">
      <c r="C1812"/>
      <c r="D1812"/>
      <c r="E1812"/>
    </row>
    <row r="1813" spans="3:5">
      <c r="C1813"/>
      <c r="D1813"/>
      <c r="E1813"/>
    </row>
    <row r="1814" spans="3:5">
      <c r="C1814"/>
      <c r="D1814"/>
      <c r="E1814"/>
    </row>
    <row r="1815" spans="3:5">
      <c r="C1815"/>
      <c r="D1815"/>
      <c r="E1815"/>
    </row>
    <row r="1816" spans="3:5">
      <c r="C1816"/>
      <c r="D1816"/>
      <c r="E1816"/>
    </row>
    <row r="1817" spans="3:5">
      <c r="C1817"/>
      <c r="D1817"/>
      <c r="E1817"/>
    </row>
    <row r="1818" spans="3:5">
      <c r="C1818"/>
      <c r="D1818"/>
      <c r="E1818"/>
    </row>
    <row r="1819" spans="3:5">
      <c r="C1819"/>
      <c r="D1819"/>
      <c r="E1819"/>
    </row>
    <row r="1820" spans="3:5">
      <c r="C1820"/>
      <c r="D1820"/>
      <c r="E1820"/>
    </row>
    <row r="1821" spans="3:5">
      <c r="C1821"/>
      <c r="D1821"/>
      <c r="E1821"/>
    </row>
    <row r="1822" spans="3:5">
      <c r="C1822"/>
      <c r="D1822"/>
      <c r="E1822"/>
    </row>
    <row r="1823" spans="3:5">
      <c r="C1823"/>
      <c r="D1823"/>
      <c r="E1823"/>
    </row>
    <row r="1824" spans="3:5">
      <c r="C1824"/>
      <c r="D1824"/>
      <c r="E1824"/>
    </row>
    <row r="1825" spans="3:5">
      <c r="C1825"/>
      <c r="D1825"/>
      <c r="E1825"/>
    </row>
    <row r="1826" spans="3:5">
      <c r="C1826"/>
      <c r="D1826"/>
      <c r="E1826"/>
    </row>
    <row r="1827" spans="3:5">
      <c r="C1827"/>
      <c r="D1827"/>
      <c r="E1827"/>
    </row>
    <row r="1828" spans="3:5">
      <c r="C1828"/>
      <c r="D1828"/>
      <c r="E1828"/>
    </row>
    <row r="1829" spans="3:5">
      <c r="C1829"/>
      <c r="D1829"/>
      <c r="E1829"/>
    </row>
    <row r="1830" spans="3:5">
      <c r="C1830"/>
      <c r="D1830"/>
      <c r="E1830"/>
    </row>
    <row r="1831" spans="3:5">
      <c r="C1831"/>
      <c r="D1831"/>
      <c r="E1831"/>
    </row>
    <row r="1832" spans="3:5">
      <c r="C1832"/>
      <c r="D1832"/>
      <c r="E1832"/>
    </row>
    <row r="1833" spans="3:5">
      <c r="C1833"/>
      <c r="D1833"/>
      <c r="E1833"/>
    </row>
    <row r="1834" spans="3:5">
      <c r="C1834"/>
      <c r="D1834"/>
      <c r="E1834"/>
    </row>
    <row r="1835" spans="3:5">
      <c r="C1835"/>
      <c r="D1835"/>
      <c r="E1835"/>
    </row>
    <row r="1836" spans="3:5">
      <c r="C1836"/>
      <c r="D1836"/>
      <c r="E1836"/>
    </row>
    <row r="1837" spans="3:5">
      <c r="C1837"/>
      <c r="D1837"/>
      <c r="E1837"/>
    </row>
    <row r="1838" spans="3:5">
      <c r="C1838"/>
      <c r="D1838"/>
      <c r="E1838"/>
    </row>
    <row r="1839" spans="3:5">
      <c r="C1839"/>
      <c r="D1839"/>
      <c r="E1839"/>
    </row>
    <row r="1840" spans="3:5">
      <c r="C1840"/>
      <c r="D1840"/>
      <c r="E1840"/>
    </row>
    <row r="1841" spans="3:5">
      <c r="C1841"/>
      <c r="D1841"/>
      <c r="E1841"/>
    </row>
    <row r="1842" spans="3:5">
      <c r="C1842"/>
      <c r="D1842"/>
      <c r="E1842"/>
    </row>
    <row r="1843" spans="3:5">
      <c r="C1843"/>
      <c r="D1843"/>
      <c r="E1843"/>
    </row>
    <row r="1844" spans="3:5">
      <c r="C1844"/>
      <c r="D1844"/>
      <c r="E1844"/>
    </row>
    <row r="1845" spans="3:5">
      <c r="C1845"/>
      <c r="D1845"/>
      <c r="E1845"/>
    </row>
    <row r="1846" spans="3:5">
      <c r="C1846"/>
      <c r="D1846"/>
      <c r="E1846"/>
    </row>
    <row r="1847" spans="3:5">
      <c r="C1847"/>
      <c r="D1847"/>
      <c r="E1847"/>
    </row>
    <row r="1848" spans="3:5">
      <c r="C1848"/>
      <c r="D1848"/>
      <c r="E1848"/>
    </row>
    <row r="1849" spans="3:5">
      <c r="C1849"/>
      <c r="D1849"/>
      <c r="E1849"/>
    </row>
    <row r="1850" spans="3:5">
      <c r="C1850"/>
      <c r="D1850"/>
      <c r="E1850"/>
    </row>
    <row r="1851" spans="3:5">
      <c r="C1851"/>
      <c r="D1851"/>
      <c r="E1851"/>
    </row>
    <row r="1852" spans="3:5">
      <c r="C1852"/>
      <c r="D1852"/>
      <c r="E1852"/>
    </row>
    <row r="1853" spans="3:5">
      <c r="C1853"/>
      <c r="D1853"/>
      <c r="E1853"/>
    </row>
    <row r="1854" spans="3:5">
      <c r="C1854"/>
      <c r="D1854"/>
      <c r="E1854"/>
    </row>
    <row r="1855" spans="3:5">
      <c r="C1855"/>
      <c r="D1855"/>
      <c r="E1855"/>
    </row>
    <row r="1856" spans="3:5">
      <c r="C1856"/>
      <c r="D1856"/>
      <c r="E1856"/>
    </row>
    <row r="1857" spans="3:5">
      <c r="C1857"/>
      <c r="D1857"/>
      <c r="E1857"/>
    </row>
    <row r="1858" spans="3:5">
      <c r="C1858"/>
      <c r="D1858"/>
      <c r="E1858"/>
    </row>
    <row r="1859" spans="3:5">
      <c r="C1859"/>
      <c r="D1859"/>
      <c r="E1859"/>
    </row>
    <row r="1860" spans="3:5">
      <c r="C1860"/>
      <c r="D1860"/>
      <c r="E1860"/>
    </row>
    <row r="1861" spans="3:5">
      <c r="C1861"/>
      <c r="D1861"/>
      <c r="E1861"/>
    </row>
    <row r="1862" spans="3:5">
      <c r="C1862"/>
      <c r="D1862"/>
      <c r="E1862"/>
    </row>
    <row r="1863" spans="3:5">
      <c r="C1863"/>
      <c r="D1863"/>
      <c r="E1863"/>
    </row>
    <row r="1864" spans="3:5">
      <c r="C1864"/>
      <c r="D1864"/>
      <c r="E1864"/>
    </row>
    <row r="1865" spans="3:5">
      <c r="C1865"/>
      <c r="D1865"/>
      <c r="E1865"/>
    </row>
    <row r="1866" spans="3:5">
      <c r="C1866"/>
      <c r="D1866"/>
      <c r="E1866"/>
    </row>
    <row r="1867" spans="3:5">
      <c r="C1867"/>
      <c r="D1867"/>
      <c r="E1867"/>
    </row>
    <row r="1868" spans="3:5">
      <c r="C1868"/>
      <c r="D1868"/>
      <c r="E1868"/>
    </row>
    <row r="1869" spans="3:5">
      <c r="C1869"/>
      <c r="D1869"/>
      <c r="E1869"/>
    </row>
    <row r="1870" spans="3:5">
      <c r="C1870"/>
      <c r="D1870"/>
      <c r="E1870"/>
    </row>
    <row r="1871" spans="3:5">
      <c r="C1871"/>
      <c r="D1871"/>
      <c r="E1871"/>
    </row>
    <row r="1872" spans="3:5">
      <c r="C1872"/>
      <c r="D1872"/>
      <c r="E1872"/>
    </row>
    <row r="1873" spans="3:5">
      <c r="C1873"/>
      <c r="D1873"/>
      <c r="E1873"/>
    </row>
    <row r="1874" spans="3:5">
      <c r="C1874"/>
      <c r="D1874"/>
      <c r="E1874"/>
    </row>
    <row r="1875" spans="3:5">
      <c r="C1875"/>
      <c r="D1875"/>
      <c r="E1875"/>
    </row>
    <row r="1876" spans="3:5">
      <c r="C1876"/>
      <c r="D1876"/>
      <c r="E1876"/>
    </row>
    <row r="1877" spans="3:5">
      <c r="C1877"/>
      <c r="D1877"/>
      <c r="E1877"/>
    </row>
    <row r="1878" spans="3:5">
      <c r="C1878"/>
      <c r="D1878"/>
      <c r="E1878"/>
    </row>
    <row r="1879" spans="3:5">
      <c r="C1879"/>
      <c r="D1879"/>
      <c r="E1879"/>
    </row>
    <row r="1880" spans="3:5">
      <c r="C1880"/>
      <c r="D1880"/>
      <c r="E1880"/>
    </row>
    <row r="1881" spans="3:5">
      <c r="C1881"/>
      <c r="D1881"/>
      <c r="E1881"/>
    </row>
    <row r="1882" spans="3:5">
      <c r="C1882"/>
      <c r="D1882"/>
      <c r="E1882"/>
    </row>
    <row r="1883" spans="3:5">
      <c r="C1883"/>
      <c r="D1883"/>
      <c r="E1883"/>
    </row>
    <row r="1884" spans="3:5">
      <c r="C1884"/>
      <c r="D1884"/>
      <c r="E1884"/>
    </row>
    <row r="1885" spans="3:5">
      <c r="C1885"/>
      <c r="D1885"/>
      <c r="E1885"/>
    </row>
    <row r="1886" spans="3:5">
      <c r="C1886"/>
      <c r="D1886"/>
      <c r="E1886"/>
    </row>
    <row r="1887" spans="3:5">
      <c r="C1887"/>
      <c r="D1887"/>
      <c r="E1887"/>
    </row>
    <row r="1888" spans="3:5">
      <c r="C1888"/>
      <c r="D1888"/>
      <c r="E1888"/>
    </row>
    <row r="1889" spans="3:5">
      <c r="C1889"/>
      <c r="D1889"/>
      <c r="E1889"/>
    </row>
    <row r="1890" spans="3:5">
      <c r="C1890"/>
      <c r="D1890"/>
      <c r="E1890"/>
    </row>
    <row r="1891" spans="3:5">
      <c r="C1891"/>
      <c r="D1891"/>
      <c r="E1891"/>
    </row>
    <row r="1892" spans="3:5">
      <c r="C1892"/>
      <c r="D1892"/>
      <c r="E1892"/>
    </row>
    <row r="1893" spans="3:5">
      <c r="C1893"/>
      <c r="D1893"/>
      <c r="E1893"/>
    </row>
    <row r="1894" spans="3:5">
      <c r="C1894"/>
      <c r="D1894"/>
      <c r="E1894"/>
    </row>
    <row r="1895" spans="3:5">
      <c r="C1895"/>
      <c r="D1895"/>
      <c r="E1895"/>
    </row>
    <row r="1896" spans="3:5">
      <c r="C1896"/>
      <c r="D1896"/>
      <c r="E1896"/>
    </row>
    <row r="1897" spans="3:5">
      <c r="C1897"/>
      <c r="D1897"/>
      <c r="E1897"/>
    </row>
    <row r="1898" spans="3:5">
      <c r="C1898"/>
      <c r="D1898"/>
      <c r="E1898"/>
    </row>
    <row r="1899" spans="3:5">
      <c r="C1899"/>
      <c r="D1899"/>
      <c r="E1899"/>
    </row>
    <row r="1900" spans="3:5">
      <c r="C1900"/>
      <c r="D1900"/>
      <c r="E1900"/>
    </row>
    <row r="1901" spans="3:5">
      <c r="C1901"/>
      <c r="D1901"/>
      <c r="E1901"/>
    </row>
    <row r="1902" spans="3:5">
      <c r="C1902"/>
      <c r="D1902"/>
      <c r="E1902"/>
    </row>
    <row r="1903" spans="3:5">
      <c r="C1903"/>
      <c r="D1903"/>
      <c r="E1903"/>
    </row>
    <row r="1904" spans="3:5">
      <c r="C1904"/>
      <c r="D1904"/>
      <c r="E1904"/>
    </row>
    <row r="1905" spans="3:5">
      <c r="C1905"/>
      <c r="D1905"/>
      <c r="E1905"/>
    </row>
    <row r="1906" spans="3:5">
      <c r="C1906"/>
      <c r="D1906"/>
      <c r="E1906"/>
    </row>
    <row r="1907" spans="3:5">
      <c r="C1907"/>
      <c r="D1907"/>
      <c r="E1907"/>
    </row>
    <row r="1908" spans="3:5">
      <c r="C1908"/>
      <c r="D1908"/>
      <c r="E1908"/>
    </row>
    <row r="1909" spans="3:5">
      <c r="C1909"/>
      <c r="D1909"/>
      <c r="E1909"/>
    </row>
    <row r="1910" spans="3:5">
      <c r="C1910"/>
      <c r="D1910"/>
      <c r="E1910"/>
    </row>
    <row r="1911" spans="3:5">
      <c r="C1911"/>
      <c r="D1911"/>
      <c r="E1911"/>
    </row>
    <row r="1912" spans="3:5">
      <c r="C1912"/>
      <c r="D1912"/>
      <c r="E1912"/>
    </row>
    <row r="1913" spans="3:5">
      <c r="C1913"/>
      <c r="D1913"/>
      <c r="E1913"/>
    </row>
    <row r="1914" spans="3:5">
      <c r="C1914"/>
      <c r="D1914"/>
      <c r="E1914"/>
    </row>
    <row r="1915" spans="3:5">
      <c r="C1915"/>
      <c r="D1915"/>
      <c r="E1915"/>
    </row>
    <row r="1916" spans="3:5">
      <c r="C1916"/>
      <c r="D1916"/>
      <c r="E1916"/>
    </row>
    <row r="1917" spans="3:5">
      <c r="C1917"/>
      <c r="D1917"/>
      <c r="E1917"/>
    </row>
    <row r="1918" spans="3:5">
      <c r="C1918"/>
      <c r="D1918"/>
      <c r="E1918"/>
    </row>
    <row r="1919" spans="3:5">
      <c r="C1919"/>
      <c r="D1919"/>
      <c r="E1919"/>
    </row>
    <row r="1920" spans="3:5">
      <c r="C1920"/>
      <c r="D1920"/>
      <c r="E1920"/>
    </row>
    <row r="1921" spans="3:5">
      <c r="C1921"/>
      <c r="D1921"/>
      <c r="E1921"/>
    </row>
    <row r="1922" spans="3:5">
      <c r="C1922"/>
      <c r="D1922"/>
      <c r="E1922"/>
    </row>
    <row r="1923" spans="3:5">
      <c r="C1923"/>
      <c r="D1923"/>
      <c r="E1923"/>
    </row>
    <row r="1924" spans="3:5">
      <c r="C1924"/>
      <c r="D1924"/>
      <c r="E1924"/>
    </row>
    <row r="1925" spans="3:5">
      <c r="C1925"/>
      <c r="D1925"/>
      <c r="E1925"/>
    </row>
    <row r="1926" spans="3:5">
      <c r="C1926"/>
      <c r="D1926"/>
      <c r="E1926"/>
    </row>
    <row r="1927" spans="3:5">
      <c r="C1927"/>
      <c r="D1927"/>
      <c r="E1927"/>
    </row>
    <row r="1928" spans="3:5">
      <c r="C1928"/>
      <c r="D1928"/>
      <c r="E1928"/>
    </row>
    <row r="1929" spans="3:5">
      <c r="C1929"/>
      <c r="D1929"/>
      <c r="E1929"/>
    </row>
    <row r="1930" spans="3:5">
      <c r="C1930"/>
      <c r="D1930"/>
      <c r="E1930"/>
    </row>
    <row r="1931" spans="3:5">
      <c r="C1931"/>
      <c r="D1931"/>
      <c r="E1931"/>
    </row>
    <row r="1932" spans="3:5">
      <c r="C1932"/>
      <c r="D1932"/>
      <c r="E1932"/>
    </row>
    <row r="1933" spans="3:5">
      <c r="C1933"/>
      <c r="D1933"/>
      <c r="E1933"/>
    </row>
    <row r="1934" spans="3:5">
      <c r="C1934"/>
      <c r="D1934"/>
      <c r="E1934"/>
    </row>
    <row r="1935" spans="3:5">
      <c r="C1935"/>
      <c r="D1935"/>
      <c r="E1935"/>
    </row>
    <row r="1936" spans="3:5">
      <c r="C1936"/>
      <c r="D1936"/>
      <c r="E1936"/>
    </row>
    <row r="1937" spans="3:5">
      <c r="C1937"/>
      <c r="D1937"/>
      <c r="E1937"/>
    </row>
    <row r="1938" spans="3:5">
      <c r="C1938"/>
      <c r="D1938"/>
      <c r="E1938"/>
    </row>
    <row r="1939" spans="3:5">
      <c r="C1939"/>
      <c r="D1939"/>
      <c r="E1939"/>
    </row>
    <row r="1940" spans="3:5">
      <c r="C1940"/>
      <c r="D1940"/>
      <c r="E1940"/>
    </row>
    <row r="1941" spans="3:5">
      <c r="C1941"/>
      <c r="D1941"/>
      <c r="E1941"/>
    </row>
    <row r="1942" spans="3:5">
      <c r="C1942"/>
      <c r="D1942"/>
      <c r="E1942"/>
    </row>
    <row r="1943" spans="3:5">
      <c r="C1943"/>
      <c r="D1943"/>
      <c r="E1943"/>
    </row>
    <row r="1944" spans="3:5">
      <c r="C1944"/>
      <c r="D1944"/>
      <c r="E1944"/>
    </row>
    <row r="1945" spans="3:5">
      <c r="C1945"/>
      <c r="D1945"/>
      <c r="E1945"/>
    </row>
    <row r="1946" spans="3:5">
      <c r="C1946"/>
      <c r="D1946"/>
      <c r="E1946"/>
    </row>
    <row r="1947" spans="3:5">
      <c r="C1947"/>
      <c r="D1947"/>
      <c r="E1947"/>
    </row>
    <row r="1948" spans="3:5">
      <c r="C1948"/>
      <c r="D1948"/>
      <c r="E1948"/>
    </row>
    <row r="1949" spans="3:5">
      <c r="C1949"/>
      <c r="D1949"/>
      <c r="E1949"/>
    </row>
    <row r="1950" spans="3:5">
      <c r="C1950"/>
      <c r="D1950"/>
      <c r="E1950"/>
    </row>
    <row r="1951" spans="3:5">
      <c r="C1951"/>
      <c r="D1951"/>
      <c r="E1951"/>
    </row>
    <row r="1952" spans="3:5">
      <c r="C1952"/>
      <c r="D1952"/>
      <c r="E1952"/>
    </row>
    <row r="1953" spans="3:5">
      <c r="C1953"/>
      <c r="D1953"/>
      <c r="E1953"/>
    </row>
    <row r="1954" spans="3:5">
      <c r="C1954"/>
      <c r="D1954"/>
      <c r="E1954"/>
    </row>
    <row r="1955" spans="3:5">
      <c r="C1955"/>
      <c r="D1955"/>
      <c r="E1955"/>
    </row>
    <row r="1956" spans="3:5">
      <c r="C1956"/>
      <c r="D1956"/>
      <c r="E1956"/>
    </row>
    <row r="1957" spans="3:5">
      <c r="C1957"/>
      <c r="D1957"/>
      <c r="E1957"/>
    </row>
    <row r="1958" spans="3:5">
      <c r="C1958"/>
      <c r="D1958"/>
      <c r="E1958"/>
    </row>
    <row r="1959" spans="3:5">
      <c r="C1959"/>
      <c r="D1959"/>
      <c r="E1959"/>
    </row>
    <row r="1960" spans="3:5">
      <c r="C1960"/>
      <c r="D1960"/>
      <c r="E1960"/>
    </row>
    <row r="1961" spans="3:5">
      <c r="C1961"/>
      <c r="D1961"/>
      <c r="E1961"/>
    </row>
    <row r="1962" spans="3:5">
      <c r="C1962"/>
      <c r="D1962"/>
      <c r="E1962"/>
    </row>
    <row r="1963" spans="3:5">
      <c r="C1963"/>
      <c r="D1963"/>
      <c r="E1963"/>
    </row>
    <row r="1964" spans="3:5">
      <c r="C1964"/>
      <c r="D1964"/>
      <c r="E1964"/>
    </row>
    <row r="1965" spans="3:5">
      <c r="C1965"/>
      <c r="D1965"/>
      <c r="E1965"/>
    </row>
    <row r="1966" spans="3:5">
      <c r="C1966"/>
      <c r="D1966"/>
      <c r="E1966"/>
    </row>
    <row r="1967" spans="3:5">
      <c r="C1967"/>
      <c r="D1967"/>
      <c r="E1967"/>
    </row>
    <row r="1968" spans="3:5">
      <c r="C1968"/>
      <c r="D1968"/>
      <c r="E1968"/>
    </row>
    <row r="1969" spans="3:5">
      <c r="C1969"/>
      <c r="D1969"/>
      <c r="E1969"/>
    </row>
    <row r="1970" spans="3:5">
      <c r="C1970"/>
      <c r="D1970"/>
      <c r="E1970"/>
    </row>
    <row r="1971" spans="3:5">
      <c r="C1971"/>
      <c r="D1971"/>
      <c r="E1971"/>
    </row>
    <row r="1972" spans="3:5">
      <c r="C1972"/>
      <c r="D1972"/>
      <c r="E1972"/>
    </row>
    <row r="1973" spans="3:5">
      <c r="C1973"/>
      <c r="D1973"/>
      <c r="E1973"/>
    </row>
    <row r="1974" spans="3:5">
      <c r="C1974"/>
      <c r="D1974"/>
      <c r="E1974"/>
    </row>
    <row r="1975" spans="3:5">
      <c r="C1975"/>
      <c r="D1975"/>
      <c r="E1975"/>
    </row>
    <row r="1976" spans="3:5">
      <c r="C1976"/>
      <c r="D1976"/>
      <c r="E1976"/>
    </row>
    <row r="1977" spans="3:5">
      <c r="C1977"/>
      <c r="D1977"/>
      <c r="E1977"/>
    </row>
    <row r="1978" spans="3:5">
      <c r="C1978"/>
      <c r="D1978"/>
      <c r="E1978"/>
    </row>
    <row r="1979" spans="3:5">
      <c r="C1979"/>
      <c r="D1979"/>
      <c r="E1979"/>
    </row>
    <row r="1980" spans="3:5">
      <c r="C1980"/>
      <c r="D1980"/>
      <c r="E1980"/>
    </row>
    <row r="1981" spans="3:5">
      <c r="C1981"/>
      <c r="D1981"/>
      <c r="E1981"/>
    </row>
    <row r="1982" spans="3:5">
      <c r="C1982"/>
      <c r="D1982"/>
      <c r="E1982"/>
    </row>
    <row r="1983" spans="3:5">
      <c r="C1983"/>
      <c r="D1983"/>
      <c r="E1983"/>
    </row>
    <row r="1984" spans="3:5">
      <c r="C1984"/>
      <c r="D1984"/>
      <c r="E1984"/>
    </row>
    <row r="1985" spans="3:5">
      <c r="C1985"/>
      <c r="D1985"/>
      <c r="E1985"/>
    </row>
    <row r="1986" spans="3:5">
      <c r="C1986"/>
      <c r="D1986"/>
      <c r="E1986"/>
    </row>
    <row r="1987" spans="3:5">
      <c r="C1987"/>
      <c r="D1987"/>
      <c r="E1987"/>
    </row>
    <row r="1988" spans="3:5">
      <c r="C1988"/>
      <c r="D1988"/>
      <c r="E1988"/>
    </row>
    <row r="1989" spans="3:5">
      <c r="C1989"/>
      <c r="D1989"/>
      <c r="E1989"/>
    </row>
    <row r="1990" spans="3:5">
      <c r="C1990"/>
      <c r="D1990"/>
      <c r="E1990"/>
    </row>
    <row r="1991" spans="3:5">
      <c r="C1991"/>
      <c r="D1991"/>
      <c r="E1991"/>
    </row>
    <row r="1992" spans="3:5">
      <c r="C1992"/>
      <c r="D1992"/>
      <c r="E1992"/>
    </row>
    <row r="1993" spans="3:5">
      <c r="C1993"/>
      <c r="D1993"/>
      <c r="E1993"/>
    </row>
    <row r="1994" spans="3:5">
      <c r="C1994"/>
      <c r="D1994"/>
      <c r="E1994"/>
    </row>
    <row r="1995" spans="3:5">
      <c r="C1995"/>
      <c r="D1995"/>
      <c r="E1995"/>
    </row>
    <row r="1996" spans="3:5">
      <c r="C1996"/>
      <c r="D1996"/>
      <c r="E1996"/>
    </row>
    <row r="1997" spans="3:5">
      <c r="C1997"/>
      <c r="D1997"/>
      <c r="E1997"/>
    </row>
    <row r="1998" spans="3:5">
      <c r="C1998"/>
      <c r="D1998"/>
      <c r="E1998"/>
    </row>
    <row r="1999" spans="3:5">
      <c r="C1999"/>
      <c r="D1999"/>
      <c r="E1999"/>
    </row>
    <row r="2000" spans="3:5">
      <c r="C2000"/>
      <c r="D2000"/>
      <c r="E2000"/>
    </row>
    <row r="2001" spans="3:5">
      <c r="C2001"/>
      <c r="D2001"/>
      <c r="E2001"/>
    </row>
    <row r="2002" spans="3:5">
      <c r="C2002"/>
      <c r="D2002"/>
      <c r="E2002"/>
    </row>
    <row r="2003" spans="3:5">
      <c r="C2003"/>
      <c r="D2003"/>
      <c r="E2003"/>
    </row>
    <row r="2004" spans="3:5">
      <c r="C2004"/>
      <c r="D2004"/>
      <c r="E2004"/>
    </row>
    <row r="2005" spans="3:5">
      <c r="C2005"/>
      <c r="D2005"/>
      <c r="E2005"/>
    </row>
    <row r="2006" spans="3:5">
      <c r="C2006"/>
      <c r="D2006"/>
      <c r="E2006"/>
    </row>
    <row r="2007" spans="3:5">
      <c r="C2007"/>
      <c r="D2007"/>
      <c r="E2007"/>
    </row>
    <row r="2008" spans="3:5">
      <c r="C2008"/>
      <c r="D2008"/>
      <c r="E2008"/>
    </row>
    <row r="2009" spans="3:5">
      <c r="C2009"/>
      <c r="D2009"/>
      <c r="E2009"/>
    </row>
    <row r="2010" spans="3:5">
      <c r="C2010"/>
      <c r="D2010"/>
      <c r="E2010"/>
    </row>
    <row r="2011" spans="3:5">
      <c r="C2011"/>
      <c r="D2011"/>
      <c r="E2011"/>
    </row>
    <row r="2012" spans="3:5">
      <c r="C2012"/>
      <c r="D2012"/>
      <c r="E2012"/>
    </row>
    <row r="2013" spans="3:5">
      <c r="C2013"/>
      <c r="D2013"/>
      <c r="E2013"/>
    </row>
    <row r="2014" spans="3:5">
      <c r="C2014"/>
      <c r="D2014"/>
      <c r="E2014"/>
    </row>
    <row r="2015" spans="3:5">
      <c r="C2015"/>
      <c r="D2015"/>
      <c r="E2015"/>
    </row>
    <row r="2016" spans="3:5">
      <c r="C2016"/>
      <c r="D2016"/>
      <c r="E2016"/>
    </row>
    <row r="2017" spans="3:5">
      <c r="C2017"/>
      <c r="D2017"/>
      <c r="E2017"/>
    </row>
    <row r="2018" spans="3:5">
      <c r="C2018"/>
      <c r="D2018"/>
      <c r="E2018"/>
    </row>
    <row r="2019" spans="3:5">
      <c r="C2019"/>
      <c r="D2019"/>
      <c r="E2019"/>
    </row>
    <row r="2020" spans="3:5">
      <c r="C2020"/>
      <c r="D2020"/>
      <c r="E2020"/>
    </row>
    <row r="2021" spans="3:5">
      <c r="C2021"/>
      <c r="D2021"/>
      <c r="E2021"/>
    </row>
    <row r="2022" spans="3:5">
      <c r="C2022"/>
      <c r="D2022"/>
      <c r="E2022"/>
    </row>
    <row r="2023" spans="3:5">
      <c r="C2023"/>
      <c r="D2023"/>
      <c r="E2023"/>
    </row>
    <row r="2024" spans="3:5">
      <c r="C2024"/>
      <c r="D2024"/>
      <c r="E2024"/>
    </row>
    <row r="2025" spans="3:5">
      <c r="C2025"/>
      <c r="D2025"/>
      <c r="E2025"/>
    </row>
    <row r="2026" spans="3:5">
      <c r="C2026"/>
      <c r="D2026"/>
      <c r="E2026"/>
    </row>
    <row r="2027" spans="3:5">
      <c r="C2027"/>
      <c r="D2027"/>
      <c r="E2027"/>
    </row>
    <row r="2028" spans="3:5">
      <c r="C2028"/>
      <c r="D2028"/>
      <c r="E2028"/>
    </row>
    <row r="2029" spans="3:5">
      <c r="C2029"/>
      <c r="D2029"/>
      <c r="E2029"/>
    </row>
    <row r="2030" spans="3:5">
      <c r="C2030"/>
      <c r="D2030"/>
      <c r="E2030"/>
    </row>
    <row r="2031" spans="3:5">
      <c r="C2031"/>
      <c r="D2031"/>
      <c r="E2031"/>
    </row>
    <row r="2032" spans="3:5">
      <c r="C2032"/>
      <c r="D2032"/>
      <c r="E2032"/>
    </row>
    <row r="2033" spans="3:5">
      <c r="C2033"/>
      <c r="D2033"/>
      <c r="E2033"/>
    </row>
    <row r="2034" spans="3:5">
      <c r="C2034"/>
      <c r="D2034"/>
      <c r="E2034"/>
    </row>
    <row r="2035" spans="3:5">
      <c r="C2035"/>
      <c r="D2035"/>
      <c r="E2035"/>
    </row>
    <row r="2036" spans="3:5">
      <c r="C2036"/>
      <c r="D2036"/>
      <c r="E2036"/>
    </row>
    <row r="2037" spans="3:5">
      <c r="C2037"/>
      <c r="D2037"/>
      <c r="E2037"/>
    </row>
    <row r="2038" spans="3:5">
      <c r="C2038"/>
      <c r="D2038"/>
      <c r="E2038"/>
    </row>
    <row r="2039" spans="3:5">
      <c r="C2039"/>
      <c r="D2039"/>
      <c r="E2039"/>
    </row>
    <row r="2040" spans="3:5">
      <c r="C2040"/>
      <c r="D2040"/>
      <c r="E2040"/>
    </row>
    <row r="2041" spans="3:5">
      <c r="C2041"/>
      <c r="D2041"/>
      <c r="E2041"/>
    </row>
    <row r="2042" spans="3:5">
      <c r="C2042"/>
      <c r="D2042"/>
      <c r="E2042"/>
    </row>
    <row r="2043" spans="3:5">
      <c r="C2043"/>
      <c r="D2043"/>
      <c r="E2043"/>
    </row>
    <row r="2044" spans="3:5">
      <c r="C2044"/>
      <c r="D2044"/>
      <c r="E2044"/>
    </row>
    <row r="2045" spans="3:5">
      <c r="C2045"/>
      <c r="D2045"/>
      <c r="E2045"/>
    </row>
    <row r="2046" spans="3:5">
      <c r="C2046"/>
      <c r="D2046"/>
      <c r="E2046"/>
    </row>
    <row r="2047" spans="3:5">
      <c r="C2047"/>
      <c r="D2047"/>
      <c r="E2047"/>
    </row>
    <row r="2048" spans="3:5">
      <c r="C2048"/>
      <c r="D2048"/>
      <c r="E2048"/>
    </row>
    <row r="2049" spans="3:5">
      <c r="C2049"/>
      <c r="D2049"/>
      <c r="E2049"/>
    </row>
    <row r="2050" spans="3:5">
      <c r="C2050"/>
      <c r="D2050"/>
      <c r="E2050"/>
    </row>
    <row r="2051" spans="3:5">
      <c r="C2051"/>
      <c r="D2051"/>
      <c r="E2051"/>
    </row>
    <row r="2052" spans="3:5">
      <c r="C2052"/>
      <c r="D2052"/>
      <c r="E2052"/>
    </row>
    <row r="2053" spans="3:5">
      <c r="C2053"/>
      <c r="D2053"/>
      <c r="E2053"/>
    </row>
    <row r="2054" spans="3:5">
      <c r="C2054"/>
      <c r="D2054"/>
      <c r="E2054"/>
    </row>
    <row r="2055" spans="3:5">
      <c r="C2055"/>
      <c r="D2055"/>
      <c r="E2055"/>
    </row>
    <row r="2056" spans="3:5">
      <c r="C2056"/>
      <c r="D2056"/>
      <c r="E2056"/>
    </row>
    <row r="2057" spans="3:5">
      <c r="C2057"/>
      <c r="D2057"/>
      <c r="E2057"/>
    </row>
    <row r="2058" spans="3:5">
      <c r="C2058"/>
      <c r="D2058"/>
      <c r="E2058"/>
    </row>
    <row r="2059" spans="3:5">
      <c r="C2059"/>
      <c r="D2059"/>
      <c r="E2059"/>
    </row>
    <row r="2060" spans="3:5">
      <c r="C2060"/>
      <c r="D2060"/>
      <c r="E2060"/>
    </row>
    <row r="2061" spans="3:5">
      <c r="C2061"/>
      <c r="D2061"/>
      <c r="E2061"/>
    </row>
    <row r="2062" spans="3:5">
      <c r="C2062"/>
      <c r="D2062"/>
      <c r="E2062"/>
    </row>
    <row r="2063" spans="3:5">
      <c r="C2063"/>
      <c r="D2063"/>
      <c r="E2063"/>
    </row>
    <row r="2064" spans="3:5">
      <c r="C2064"/>
      <c r="D2064"/>
      <c r="E2064"/>
    </row>
    <row r="2065" spans="3:5">
      <c r="C2065"/>
      <c r="D2065"/>
      <c r="E2065"/>
    </row>
    <row r="2066" spans="3:5">
      <c r="C2066"/>
      <c r="D2066"/>
      <c r="E2066"/>
    </row>
    <row r="2067" spans="3:5">
      <c r="C2067"/>
      <c r="D2067"/>
      <c r="E2067"/>
    </row>
    <row r="2068" spans="3:5">
      <c r="C2068"/>
      <c r="D2068"/>
      <c r="E2068"/>
    </row>
    <row r="2069" spans="3:5">
      <c r="C2069"/>
      <c r="D2069"/>
      <c r="E2069"/>
    </row>
    <row r="2070" spans="3:5">
      <c r="C2070"/>
      <c r="D2070"/>
      <c r="E2070"/>
    </row>
    <row r="2071" spans="3:5">
      <c r="C2071"/>
      <c r="D2071"/>
      <c r="E2071"/>
    </row>
    <row r="2072" spans="3:5">
      <c r="C2072"/>
      <c r="D2072"/>
      <c r="E2072"/>
    </row>
    <row r="2073" spans="3:5">
      <c r="C2073"/>
      <c r="D2073"/>
      <c r="E2073"/>
    </row>
    <row r="2074" spans="3:5">
      <c r="C2074"/>
      <c r="D2074"/>
      <c r="E2074"/>
    </row>
    <row r="2075" spans="3:5">
      <c r="C2075"/>
      <c r="D2075"/>
      <c r="E2075"/>
    </row>
    <row r="2076" spans="3:5">
      <c r="C2076"/>
      <c r="D2076"/>
      <c r="E2076"/>
    </row>
    <row r="2077" spans="3:5">
      <c r="C2077"/>
      <c r="D2077"/>
      <c r="E2077"/>
    </row>
    <row r="2078" spans="3:5">
      <c r="C2078"/>
      <c r="D2078"/>
      <c r="E2078"/>
    </row>
    <row r="2079" spans="3:5">
      <c r="C2079"/>
      <c r="D2079"/>
      <c r="E2079"/>
    </row>
    <row r="2080" spans="3:5">
      <c r="C2080"/>
      <c r="D2080"/>
      <c r="E2080"/>
    </row>
    <row r="2081" spans="3:5">
      <c r="C2081"/>
      <c r="D2081"/>
      <c r="E2081"/>
    </row>
    <row r="2082" spans="3:5">
      <c r="C2082"/>
      <c r="D2082"/>
      <c r="E2082"/>
    </row>
    <row r="2083" spans="3:5">
      <c r="C2083"/>
      <c r="D2083"/>
      <c r="E2083"/>
    </row>
    <row r="2084" spans="3:5">
      <c r="C2084"/>
      <c r="D2084"/>
      <c r="E2084"/>
    </row>
    <row r="2085" spans="3:5">
      <c r="C2085"/>
      <c r="D2085"/>
      <c r="E2085"/>
    </row>
    <row r="2086" spans="3:5">
      <c r="C2086"/>
      <c r="D2086"/>
      <c r="E2086"/>
    </row>
    <row r="2087" spans="3:5">
      <c r="C2087"/>
      <c r="D2087"/>
      <c r="E2087"/>
    </row>
    <row r="2088" spans="3:5">
      <c r="C2088"/>
      <c r="D2088"/>
      <c r="E2088"/>
    </row>
    <row r="2089" spans="3:5">
      <c r="C2089"/>
      <c r="D2089"/>
      <c r="E2089"/>
    </row>
    <row r="2090" spans="3:5">
      <c r="C2090"/>
      <c r="D2090"/>
      <c r="E2090"/>
    </row>
    <row r="2091" spans="3:5">
      <c r="C2091"/>
      <c r="D2091"/>
      <c r="E2091"/>
    </row>
    <row r="2092" spans="3:5">
      <c r="C2092"/>
      <c r="D2092"/>
      <c r="E2092"/>
    </row>
    <row r="2093" spans="3:5">
      <c r="C2093"/>
      <c r="D2093"/>
      <c r="E2093"/>
    </row>
    <row r="2094" spans="3:5">
      <c r="C2094"/>
      <c r="D2094"/>
      <c r="E2094"/>
    </row>
    <row r="2095" spans="3:5">
      <c r="C2095"/>
      <c r="D2095"/>
      <c r="E2095"/>
    </row>
    <row r="2096" spans="3:5">
      <c r="C2096"/>
      <c r="D2096"/>
      <c r="E2096"/>
    </row>
    <row r="2097" spans="3:5">
      <c r="C2097"/>
      <c r="D2097"/>
      <c r="E2097"/>
    </row>
    <row r="2098" spans="3:5">
      <c r="C2098"/>
      <c r="D2098"/>
      <c r="E2098"/>
    </row>
    <row r="2099" spans="3:5">
      <c r="C2099"/>
      <c r="D2099"/>
      <c r="E2099"/>
    </row>
    <row r="2100" spans="3:5">
      <c r="C2100"/>
      <c r="D2100"/>
      <c r="E2100"/>
    </row>
    <row r="2101" spans="3:5">
      <c r="C2101"/>
      <c r="D2101"/>
      <c r="E2101"/>
    </row>
    <row r="2102" spans="3:5">
      <c r="C2102"/>
      <c r="D2102"/>
      <c r="E2102"/>
    </row>
    <row r="2103" spans="3:5">
      <c r="C2103"/>
      <c r="D2103"/>
      <c r="E2103"/>
    </row>
    <row r="2104" spans="3:5">
      <c r="C2104"/>
      <c r="D2104"/>
      <c r="E2104"/>
    </row>
    <row r="2105" spans="3:5">
      <c r="C2105"/>
      <c r="D2105"/>
      <c r="E2105"/>
    </row>
    <row r="2106" spans="3:5">
      <c r="C2106"/>
      <c r="D2106"/>
      <c r="E2106"/>
    </row>
    <row r="2107" spans="3:5">
      <c r="C2107"/>
      <c r="D2107"/>
      <c r="E2107"/>
    </row>
    <row r="2108" spans="3:5">
      <c r="C2108"/>
      <c r="D2108"/>
      <c r="E2108"/>
    </row>
    <row r="2109" spans="3:5">
      <c r="C2109"/>
      <c r="D2109"/>
      <c r="E2109"/>
    </row>
    <row r="2110" spans="3:5">
      <c r="C2110"/>
      <c r="D2110"/>
      <c r="E2110"/>
    </row>
    <row r="2111" spans="3:5">
      <c r="C2111"/>
      <c r="D2111"/>
      <c r="E2111"/>
    </row>
    <row r="2112" spans="3:5">
      <c r="C2112"/>
      <c r="D2112"/>
      <c r="E2112"/>
    </row>
    <row r="2113" spans="3:5">
      <c r="C2113"/>
      <c r="D2113"/>
      <c r="E2113"/>
    </row>
    <row r="2114" spans="3:5">
      <c r="C2114"/>
      <c r="D2114"/>
      <c r="E2114"/>
    </row>
    <row r="2115" spans="3:5">
      <c r="C2115"/>
      <c r="D2115"/>
      <c r="E2115"/>
    </row>
    <row r="2116" spans="3:5">
      <c r="C2116"/>
      <c r="D2116"/>
      <c r="E2116"/>
    </row>
    <row r="2117" spans="3:5">
      <c r="C2117"/>
      <c r="D2117"/>
      <c r="E2117"/>
    </row>
    <row r="2118" spans="3:5">
      <c r="C2118"/>
      <c r="D2118"/>
      <c r="E2118"/>
    </row>
    <row r="2119" spans="3:5">
      <c r="C2119"/>
      <c r="D2119"/>
      <c r="E2119"/>
    </row>
    <row r="2120" spans="3:5">
      <c r="C2120"/>
      <c r="D2120"/>
      <c r="E2120"/>
    </row>
    <row r="2121" spans="3:5">
      <c r="C2121"/>
      <c r="D2121"/>
      <c r="E2121"/>
    </row>
    <row r="2122" spans="3:5">
      <c r="C2122"/>
      <c r="D2122"/>
      <c r="E2122"/>
    </row>
    <row r="2123" spans="3:5">
      <c r="C2123"/>
      <c r="D2123"/>
      <c r="E2123"/>
    </row>
    <row r="2124" spans="3:5">
      <c r="C2124"/>
      <c r="D2124"/>
      <c r="E2124"/>
    </row>
    <row r="2125" spans="3:5">
      <c r="C2125"/>
      <c r="D2125"/>
      <c r="E2125"/>
    </row>
    <row r="2126" spans="3:5">
      <c r="C2126"/>
      <c r="D2126"/>
      <c r="E2126"/>
    </row>
    <row r="2127" spans="3:5">
      <c r="C2127"/>
      <c r="D2127"/>
      <c r="E2127"/>
    </row>
    <row r="2128" spans="3:5">
      <c r="C2128"/>
      <c r="D2128"/>
      <c r="E2128"/>
    </row>
    <row r="2129" spans="3:5">
      <c r="C2129"/>
      <c r="D2129"/>
      <c r="E2129"/>
    </row>
    <row r="2130" spans="3:5">
      <c r="C2130"/>
      <c r="D2130"/>
      <c r="E2130"/>
    </row>
    <row r="2131" spans="3:5">
      <c r="C2131"/>
      <c r="D2131"/>
      <c r="E2131"/>
    </row>
    <row r="2132" spans="3:5">
      <c r="C2132"/>
      <c r="D2132"/>
      <c r="E2132"/>
    </row>
    <row r="2133" spans="3:5">
      <c r="C2133"/>
      <c r="D2133"/>
      <c r="E2133"/>
    </row>
    <row r="2134" spans="3:5">
      <c r="C2134"/>
      <c r="D2134"/>
      <c r="E2134"/>
    </row>
    <row r="2135" spans="3:5">
      <c r="C2135"/>
      <c r="D2135"/>
      <c r="E2135"/>
    </row>
    <row r="2136" spans="3:5">
      <c r="C2136"/>
      <c r="D2136"/>
      <c r="E2136"/>
    </row>
    <row r="2137" spans="3:5">
      <c r="C2137"/>
      <c r="D2137"/>
      <c r="E2137"/>
    </row>
    <row r="2138" spans="3:5">
      <c r="C2138"/>
      <c r="D2138"/>
      <c r="E2138"/>
    </row>
    <row r="2139" spans="3:5">
      <c r="C2139"/>
      <c r="D2139"/>
      <c r="E2139"/>
    </row>
    <row r="2140" spans="3:5" ht="15" thickBot="1">
      <c r="C2140"/>
      <c r="D2140"/>
      <c r="E2140"/>
    </row>
    <row r="2141" spans="3:5" ht="15" thickBot="1">
      <c r="C2141"/>
      <c r="D2141"/>
      <c r="E2141"/>
    </row>
  </sheetData>
  <mergeCells count="9">
    <mergeCell ref="B158:H158"/>
    <mergeCell ref="B123:G123"/>
    <mergeCell ref="B137:I137"/>
    <mergeCell ref="B4:K4"/>
    <mergeCell ref="B27:G27"/>
    <mergeCell ref="B45:G45"/>
    <mergeCell ref="B63:G63"/>
    <mergeCell ref="B82:H82"/>
    <mergeCell ref="B103:G103"/>
  </mergeCells>
  <conditionalFormatting sqref="M130:Q136">
    <cfRule type="colorScale" priority="1">
      <colorScale>
        <cfvo type="min"/>
        <cfvo type="percentile" val="50"/>
        <cfvo type="max"/>
        <color rgb="FFF8696B"/>
        <color rgb="FFFFEB84"/>
        <color rgb="FF63BE7B"/>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EE0D-58DF-476F-849D-91D0DDB5D5C4}">
  <dimension ref="A1"/>
  <sheetViews>
    <sheetView showGridLines="0" tabSelected="1" topLeftCell="D1" zoomScale="68" zoomScaleNormal="60" workbookViewId="0">
      <selection activeCell="V54" sqref="V54"/>
    </sheetView>
  </sheetViews>
  <sheetFormatPr defaultRowHeight="14.4"/>
  <sheetData>
    <row r="1"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RAVULA NAMRATHA</dc:creator>
  <cp:lastModifiedBy>Ravula Namratha</cp:lastModifiedBy>
  <dcterms:created xsi:type="dcterms:W3CDTF">2025-11-23T04:22:34Z</dcterms:created>
  <dcterms:modified xsi:type="dcterms:W3CDTF">2025-11-25T09:22:37Z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1235D66523C5493E9B989706F2B6F2D8_13</vt:lpwstr>
  </property>
  <property fmtid="{D5CDD505-2E9C-101B-9397-08002B2CF9AE}" pid="3" name="KSOProductBuildVer">
    <vt:lpwstr>2057-12.2.0.23149</vt:lpwstr>
  </property>
</Properties>
</file>